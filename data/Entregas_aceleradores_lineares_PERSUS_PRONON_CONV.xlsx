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thiago.rodrigues\Documents\2- PERSUS\2026\7 - Entregas Aceleradores\"/>
    </mc:Choice>
  </mc:AlternateContent>
  <xr:revisionPtr revIDLastSave="0" documentId="8_{CDDFC7C6-BF3A-486C-87B4-854F1F957781}" xr6:coauthVersionLast="47" xr6:coauthVersionMax="47" xr10:uidLastSave="{00000000-0000-0000-0000-000000000000}"/>
  <bookViews>
    <workbookView xWindow="0" yWindow="0" windowWidth="28770" windowHeight="9000" firstSheet="2" activeTab="2" xr2:uid="{00000000-000D-0000-FFFF-FFFF00000000}"/>
  </bookViews>
  <sheets>
    <sheet name="consolidado" sheetId="1" r:id="rId1"/>
    <sheet name="PERSUS-I" sheetId="2" r:id="rId2"/>
    <sheet name="CONVÊNIO" sheetId="3" r:id="rId3"/>
    <sheet name="PRONON" sheetId="4" r:id="rId4"/>
  </sheets>
  <definedNames>
    <definedName name="_xlnm._FilterDatabase" localSheetId="3" hidden="1">PRONON!$A$1:$N$22</definedName>
    <definedName name="_xlnm._FilterDatabase" localSheetId="2" hidden="1">CONVÊNIO!$A$1:$O$48</definedName>
    <definedName name="_xlnm._FilterDatabase" localSheetId="1" hidden="1">'PERSUS-I'!$A$1:$O$41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3" l="1"/>
  <c r="L5" i="1"/>
  <c r="L4" i="1"/>
  <c r="J9" i="1"/>
  <c r="K6" i="1"/>
  <c r="E9" i="1"/>
  <c r="L9" i="1"/>
  <c r="K4" i="1"/>
  <c r="K5" i="1"/>
  <c r="K7" i="1"/>
  <c r="K8" i="1"/>
  <c r="K9" i="1"/>
  <c r="F9" i="1"/>
  <c r="G9" i="1"/>
  <c r="H9" i="1"/>
  <c r="D9" i="1"/>
  <c r="C9" i="1"/>
</calcChain>
</file>

<file path=xl/sharedStrings.xml><?xml version="1.0" encoding="utf-8"?>
<sst xmlns="http://schemas.openxmlformats.org/spreadsheetml/2006/main" count="1118" uniqueCount="572">
  <si>
    <t>Modalidade</t>
  </si>
  <si>
    <t>TOTAL</t>
  </si>
  <si>
    <t>CONTRATADOS</t>
  </si>
  <si>
    <t>ENTREGUES</t>
  </si>
  <si>
    <t>CONVÊNIO</t>
  </si>
  <si>
    <t>PERSUS 1</t>
  </si>
  <si>
    <t>PERSUS 2</t>
  </si>
  <si>
    <t>PRONON 2024</t>
  </si>
  <si>
    <t>PRONON 2025</t>
  </si>
  <si>
    <t>OBS.: Para anúncio da entrega, é necessário que o serviço esteja com licença de operação emitida e apto para funcionamento</t>
  </si>
  <si>
    <t>Nº</t>
  </si>
  <si>
    <t>UF</t>
  </si>
  <si>
    <t>MUNICÍPIO</t>
  </si>
  <si>
    <t>HOSPITAL</t>
  </si>
  <si>
    <t>DATA LICENÇA CNEN</t>
  </si>
  <si>
    <t>SITUAÇÃO</t>
  </si>
  <si>
    <t>PREVISÃO</t>
  </si>
  <si>
    <t>INAUGURAÇÃO</t>
  </si>
  <si>
    <t>SITUAÇÃO PAC</t>
  </si>
  <si>
    <t>SCRA</t>
  </si>
  <si>
    <t>PROJETO</t>
  </si>
  <si>
    <t>FISCALIZAÇÃO</t>
  </si>
  <si>
    <t>OBRA</t>
  </si>
  <si>
    <t>EQUIPAMENTO</t>
  </si>
  <si>
    <t>RJ</t>
  </si>
  <si>
    <t>RIO DE JANEIRO</t>
  </si>
  <si>
    <t>HOSPITAL DO CÂNCER INCA III</t>
  </si>
  <si>
    <t>INAUGURADO</t>
  </si>
  <si>
    <t>NÃO PAC</t>
  </si>
  <si>
    <t>Licença emitida</t>
  </si>
  <si>
    <t>R$ 0,00</t>
  </si>
  <si>
    <t>R$ 3.186.575,26</t>
  </si>
  <si>
    <t>BA</t>
  </si>
  <si>
    <t>JUAZEIRO</t>
  </si>
  <si>
    <t>HOSPITAL DE JUAZEIRO</t>
  </si>
  <si>
    <t>R$ 3.092.532,98</t>
  </si>
  <si>
    <t>MG</t>
  </si>
  <si>
    <t>UBERABA</t>
  </si>
  <si>
    <t>HOSPITAL HÉLIO ANGOTTI</t>
  </si>
  <si>
    <t>R$ 3.011.067,39</t>
  </si>
  <si>
    <t>SC</t>
  </si>
  <si>
    <t>JOAÇABA</t>
  </si>
  <si>
    <t>HOSPITAL UNIVERSITÁRIO SANTA TEREZINHA</t>
  </si>
  <si>
    <t>R$ 61.470,58</t>
  </si>
  <si>
    <t>R$ 214.083,35</t>
  </si>
  <si>
    <t>R$ 10.896.233,69</t>
  </si>
  <si>
    <t>R$ 3.353.723,28</t>
  </si>
  <si>
    <t>R$ 14.525.510,90</t>
  </si>
  <si>
    <t>CE</t>
  </si>
  <si>
    <t>FORTALEZA</t>
  </si>
  <si>
    <t>HOSPITAL CURA D'ARS/SOCIEDADE BENEFICENTE SÃO CAMILO</t>
  </si>
  <si>
    <t>R$ 200.277,15</t>
  </si>
  <si>
    <t>R$ 6.338.651,98</t>
  </si>
  <si>
    <t>R$ 3.313.302,65</t>
  </si>
  <si>
    <t>R$ 9.913.702,36</t>
  </si>
  <si>
    <t>RS</t>
  </si>
  <si>
    <t>SANTA MARIA</t>
  </si>
  <si>
    <t>HOSPITAL UNIVERSITÁRIO DE SANTA MARIA</t>
  </si>
  <si>
    <t>PAC</t>
  </si>
  <si>
    <t>R$ 58.010,15</t>
  </si>
  <si>
    <t>R$ 220.898,53</t>
  </si>
  <si>
    <t>R$ 4.070.278,07</t>
  </si>
  <si>
    <t>R$ 3.030.000,00</t>
  </si>
  <si>
    <t>R$ 7.379.186,75</t>
  </si>
  <si>
    <t>PR</t>
  </si>
  <si>
    <t>CURITIBA</t>
  </si>
  <si>
    <t>HOSPITAL DE CLÍNICAS DA UNIVERSIDADE FEDERAL DO PARANÁ</t>
  </si>
  <si>
    <t>R$ 3.304.342,48</t>
  </si>
  <si>
    <t>PORTO ALEGRE</t>
  </si>
  <si>
    <t>GRUPO HOSPITALAR CONCEIÇÃO - GHC</t>
  </si>
  <si>
    <t>R$ 3.263.815,50</t>
  </si>
  <si>
    <t>SP</t>
  </si>
  <si>
    <t>JACAREÍ</t>
  </si>
  <si>
    <t>HOSPITAL SÃO FRANCISCO DE ASSIS</t>
  </si>
  <si>
    <t>R$ 68.184,76</t>
  </si>
  <si>
    <t>R$ 263.485,92</t>
  </si>
  <si>
    <t>R$ 6.486.071,84</t>
  </si>
  <si>
    <t>R$ 3.041.000,00</t>
  </si>
  <si>
    <t>R$ 9.858.742,52</t>
  </si>
  <si>
    <t>MARILIA</t>
  </si>
  <si>
    <t>SANTA CASA DE MISERICÓRDIA DE MARÍLIA</t>
  </si>
  <si>
    <t>R$ 73.804,18</t>
  </si>
  <si>
    <t>R$ 231.130,81</t>
  </si>
  <si>
    <t>R$ 9.162.047,83</t>
  </si>
  <si>
    <t>R$ 3.085.789,20</t>
  </si>
  <si>
    <t>R$ 12.552.772,02</t>
  </si>
  <si>
    <t>BAURU</t>
  </si>
  <si>
    <t>HOSPITAL ESTADUAL DE BAURU</t>
  </si>
  <si>
    <t>R$ 297.652,07</t>
  </si>
  <si>
    <t>R$ 7.556.769,29</t>
  </si>
  <si>
    <t>R$ 10.953.431,51</t>
  </si>
  <si>
    <t>HOSPITAL GERAL DE ANDARAÍ</t>
  </si>
  <si>
    <t>R$ 196.062,68</t>
  </si>
  <si>
    <t>R$ 10.097.307,58</t>
  </si>
  <si>
    <t>R$ 13.452.963,64</t>
  </si>
  <si>
    <t>PI</t>
  </si>
  <si>
    <t>TERESINA</t>
  </si>
  <si>
    <t>HOSPITAL UNIVERSITÁRIO DA UNIVERSIDADE FEDERAL DO PIAUÍ</t>
  </si>
  <si>
    <t>R$ 235.912,83</t>
  </si>
  <si>
    <t>R$ 9.404.922,04</t>
  </si>
  <si>
    <t>R$ 3.090.989,20</t>
  </si>
  <si>
    <t>R$ 12.805.628,25</t>
  </si>
  <si>
    <t>SÃO PAULO</t>
  </si>
  <si>
    <t>HOSPITAL SÃO PAULO</t>
  </si>
  <si>
    <t>R$ 284.795,66</t>
  </si>
  <si>
    <t>R$ 3.292.482,35</t>
  </si>
  <si>
    <t>R$ 3.209.367,30</t>
  </si>
  <si>
    <t>R$ 6.860.449,49</t>
  </si>
  <si>
    <t>HOSPITAL SANTA CASA DE MISERICÓRDIA DE FORTALEZA</t>
  </si>
  <si>
    <t>R$ 238.569,49</t>
  </si>
  <si>
    <t>R$ 10.211.915,12</t>
  </si>
  <si>
    <t>R$ 3.075.389,20</t>
  </si>
  <si>
    <t>R$ 13.594.058,57</t>
  </si>
  <si>
    <t>ITAPEVA</t>
  </si>
  <si>
    <t>SANTA CASA DE MISERICÓRDIA DE ITAPEVA</t>
  </si>
  <si>
    <t>R$ 279.482,30</t>
  </si>
  <si>
    <t>R$ 11.238.257,82</t>
  </si>
  <si>
    <t>R$ 14.855.359,80</t>
  </si>
  <si>
    <t>PARNAÍBA</t>
  </si>
  <si>
    <t>HOSPITAL E MATERNIDADE MARQUES BASTO</t>
  </si>
  <si>
    <t>R$ 270.449,61</t>
  </si>
  <si>
    <t>R$ 10.819.467,78</t>
  </si>
  <si>
    <t>R$ 14.427.537,07</t>
  </si>
  <si>
    <t>GUARATINGUETA</t>
  </si>
  <si>
    <t>SANTA CASA DE MISERICÓDIA DE GUARATINGUETA</t>
  </si>
  <si>
    <t>R$ 242.288,85</t>
  </si>
  <si>
    <t>R$ 9.595.731,73</t>
  </si>
  <si>
    <t>R$ 3.252.815,50</t>
  </si>
  <si>
    <t>R$ 13.164.640,26</t>
  </si>
  <si>
    <t>VITÓRIA DA CONQUISTA</t>
  </si>
  <si>
    <t>HOSPITAL GERAL DE VITÓRIA DA CONQUISTA</t>
  </si>
  <si>
    <t>R$ 364.695,74</t>
  </si>
  <si>
    <t>R$ 11.147.894,60</t>
  </si>
  <si>
    <t>R$ 3.983.456,40</t>
  </si>
  <si>
    <t>R$ 15.564.231,50</t>
  </si>
  <si>
    <t>ES</t>
  </si>
  <si>
    <t>COLATINA</t>
  </si>
  <si>
    <t>HOSPITAL MATERNIDADE SÃO JOSÉ</t>
  </si>
  <si>
    <t>R$ 299.673,05</t>
  </si>
  <si>
    <t>R$ 12.506.871,03</t>
  </si>
  <si>
    <t>R$ 15.971.337,46</t>
  </si>
  <si>
    <t>HOSPITAL  FACULDADE DE MEDICINA DE MARÍLIA</t>
  </si>
  <si>
    <t>R$ 227.411,65</t>
  </si>
  <si>
    <t>R$ 4.250.048,48</t>
  </si>
  <si>
    <t>R$ 7.804.079,81</t>
  </si>
  <si>
    <t>ITABIRA</t>
  </si>
  <si>
    <t>HOSPITAL NOSSA SENHORA DAS DORES</t>
  </si>
  <si>
    <t>R$ 302.860,97</t>
  </si>
  <si>
    <t>R$ 10.271.066,61</t>
  </si>
  <si>
    <t>R$ 13.911.547,26</t>
  </si>
  <si>
    <t>MA</t>
  </si>
  <si>
    <t>SÃO LUIS</t>
  </si>
  <si>
    <t>HOSPITAL GERAL TARQUÍNIO LOPES</t>
  </si>
  <si>
    <t>R$ 365.419,14</t>
  </si>
  <si>
    <t>R$ 11.282.352,39</t>
  </si>
  <si>
    <t>R$ 3.634.032,69</t>
  </si>
  <si>
    <t>R$ 15.349.988,98</t>
  </si>
  <si>
    <t>GO</t>
  </si>
  <si>
    <t>GOIÂNIA</t>
  </si>
  <si>
    <t>HOSPITAL DAS CLÍNICAS DA UNIVERSIDADE FEDERAL DE GOIÁS</t>
  </si>
  <si>
    <t>R$ 410.159,58</t>
  </si>
  <si>
    <t>R$ 10.327.710,56</t>
  </si>
  <si>
    <t>R$ 3.773.453,93</t>
  </si>
  <si>
    <t>R$ 14.572.794,65</t>
  </si>
  <si>
    <t>AP</t>
  </si>
  <si>
    <t>MACAPÁ</t>
  </si>
  <si>
    <t>HOSPITAL DAS CLÍNICAS DR. ALBERTO LIMA</t>
  </si>
  <si>
    <t>R$ 253.446,80</t>
  </si>
  <si>
    <t>R$ 13.110.861,45</t>
  </si>
  <si>
    <t>R$ 3.634.030,40</t>
  </si>
  <si>
    <t>R$ 17.072.142,83</t>
  </si>
  <si>
    <t>LINHARES</t>
  </si>
  <si>
    <t>HOSPITAL RIO DOCE</t>
  </si>
  <si>
    <t>R$ 296.485,04</t>
  </si>
  <si>
    <t>R$ 11.843.163,08</t>
  </si>
  <si>
    <t>R$ 3.080.589,20</t>
  </si>
  <si>
    <t>R$ 15.294.041,50</t>
  </si>
  <si>
    <t>PE</t>
  </si>
  <si>
    <t>PETROLINA</t>
  </si>
  <si>
    <t>HOSPITAL DOM THOMÁS</t>
  </si>
  <si>
    <t>R$ 280.544,99</t>
  </si>
  <si>
    <t>R$ 8.790.153,69</t>
  </si>
  <si>
    <t>R$ 3.447.641,80</t>
  </si>
  <si>
    <t>R$ 12.592.144,66</t>
  </si>
  <si>
    <t>TEIXEIRA DE FREITAS</t>
  </si>
  <si>
    <t>HOSPITAL MUNICIPAL DE TEIXEIRA DE FREITAS</t>
  </si>
  <si>
    <t>15/05/26</t>
  </si>
  <si>
    <t>R$ 317.506,73</t>
  </si>
  <si>
    <t>R$ 9.625.056,27</t>
  </si>
  <si>
    <t>R$ 13.096.536,96</t>
  </si>
  <si>
    <t>PRESIDENTE PRUDENTE</t>
  </si>
  <si>
    <t>HOSPITAL REGIONAL DE PRESIDENTE PRUDENTE</t>
  </si>
  <si>
    <t>R$ 68.184,80</t>
  </si>
  <si>
    <t>R$ 325.318,75</t>
  </si>
  <si>
    <t>R$ 9.957.517,85</t>
  </si>
  <si>
    <t>R$ 13.442.010,60</t>
  </si>
  <si>
    <t>ANÁPOLIS</t>
  </si>
  <si>
    <t>SANTA CASA DE MISERIDÓRDIA DE ANÁPOLIS</t>
  </si>
  <si>
    <t>R$ 344.305,19</t>
  </si>
  <si>
    <t>R$ 9.839.183,77</t>
  </si>
  <si>
    <t>R$ 13.466.660,44</t>
  </si>
  <si>
    <t>TERESÓPOLIS</t>
  </si>
  <si>
    <t>HOSPITAL SÃO JOSÉ</t>
  </si>
  <si>
    <t>R$ 335.803,83</t>
  </si>
  <si>
    <t>R$ 10.803.649,55</t>
  </si>
  <si>
    <t>R$ 14.471.453,64</t>
  </si>
  <si>
    <t>CAMPINA GRANDE DO SUL</t>
  </si>
  <si>
    <t>HOSPITAL ANGELINA CARON</t>
  </si>
  <si>
    <t>pendente</t>
  </si>
  <si>
    <t>Em análise</t>
  </si>
  <si>
    <t>R$ 357.973,36</t>
  </si>
  <si>
    <t>R$ 10.087.444,24</t>
  </si>
  <si>
    <t>R$ 13.584.016,95</t>
  </si>
  <si>
    <t>MT</t>
  </si>
  <si>
    <t>SINOP</t>
  </si>
  <si>
    <t>HOSPITAL SANTO ANTÔNIO</t>
  </si>
  <si>
    <t>18/06/26</t>
  </si>
  <si>
    <t>23/06/26</t>
  </si>
  <si>
    <t>R$ 371.557,27</t>
  </si>
  <si>
    <t>R$ 13.144.987,42</t>
  </si>
  <si>
    <t>R$ 17.568.185,85</t>
  </si>
  <si>
    <t>BARREIRAS</t>
  </si>
  <si>
    <t>HOSPITAL DO OESTE</t>
  </si>
  <si>
    <t>26/06/26</t>
  </si>
  <si>
    <t>R$ 3.316.062,03</t>
  </si>
  <si>
    <t>HOSPITAL UNIVERSITÁRIO CLEMENTINO FRAGA FILHO</t>
  </si>
  <si>
    <t>27/06/26</t>
  </si>
  <si>
    <t>PARIQUERA-AÇU</t>
  </si>
  <si>
    <t>HOSPITAL REGIONAL DO VALE DO RIBEIRA</t>
  </si>
  <si>
    <t>13/07/26</t>
  </si>
  <si>
    <t>R$ 348.555,88</t>
  </si>
  <si>
    <t>R$ 10.771.939,43</t>
  </si>
  <si>
    <t>R$ 14.285.288,69</t>
  </si>
  <si>
    <t>ARAPONGAS</t>
  </si>
  <si>
    <t>HOSPITAL NORTE PARANAENSE</t>
  </si>
  <si>
    <t>APTA INAUGURAÇÃO</t>
  </si>
  <si>
    <t>R$ 277.356,97</t>
  </si>
  <si>
    <t>R$ 11.136.476,68</t>
  </si>
  <si>
    <t>R$ 14.751.453,33</t>
  </si>
  <si>
    <t>RR</t>
  </si>
  <si>
    <t>BOA VISTA</t>
  </si>
  <si>
    <t>HOSPITTAL GERAL DE RORAIMA</t>
  </si>
  <si>
    <t>NÃO INAUGURADO</t>
  </si>
  <si>
    <t>sem pedido</t>
  </si>
  <si>
    <t>R$ 270.092,86</t>
  </si>
  <si>
    <t>R$ 12.630.197,80</t>
  </si>
  <si>
    <t>R$ 4.053.341,60</t>
  </si>
  <si>
    <t>R$ 17.021.817,02</t>
  </si>
  <si>
    <t>RIO BONITO</t>
  </si>
  <si>
    <t>HOSPITAL REGIONAL DARCY VARGAS</t>
  </si>
  <si>
    <t>R$ 12.114.514,58</t>
  </si>
  <si>
    <t>R$ 15.751.807,31</t>
  </si>
  <si>
    <t>MS</t>
  </si>
  <si>
    <t>CAMPO GRANDE</t>
  </si>
  <si>
    <t>HOSPITAL REGIONAL DE MATO GROSSO DO SUL</t>
  </si>
  <si>
    <t>OBRA PARALISADA</t>
  </si>
  <si>
    <t>R$ 376.248,87</t>
  </si>
  <si>
    <t>R$ 11.870.147,99</t>
  </si>
  <si>
    <t>R$ 16.367.923,22</t>
  </si>
  <si>
    <t>CNES</t>
  </si>
  <si>
    <t>N° Convênio</t>
  </si>
  <si>
    <t>Ano</t>
  </si>
  <si>
    <t>INAUGURADO EM</t>
  </si>
  <si>
    <t>MODALIDADE</t>
  </si>
  <si>
    <t>Valor Golbal</t>
  </si>
  <si>
    <t>7066376</t>
  </si>
  <si>
    <t>JALES</t>
  </si>
  <si>
    <t>FUNDACAO PIO XII</t>
  </si>
  <si>
    <t>APTA PARA INAUGURAR</t>
  </si>
  <si>
    <t>2081482</t>
  </si>
  <si>
    <t>CAMPINAS</t>
  </si>
  <si>
    <t>CENTRO INF DE INVEST HEMAT DR DOMINGOS A BOLDRINI</t>
  </si>
  <si>
    <t>31/08/2026</t>
  </si>
  <si>
    <t>0015644</t>
  </si>
  <si>
    <t>HOSPITAL ERASTO GAERTNER - LIGA PARANAENSE DE COMBATE AO CANCER</t>
  </si>
  <si>
    <t>30/05/2025</t>
  </si>
  <si>
    <t>NÃO PAC/PROGRAMA</t>
  </si>
  <si>
    <t>2772310</t>
  </si>
  <si>
    <t>PIRACICABA</t>
  </si>
  <si>
    <t>IRMANDADE DA SANTA CASA DE MISERICORDIA DE PIRACICABA</t>
  </si>
  <si>
    <t>BLUMENAU</t>
  </si>
  <si>
    <t>FUNDACAO HOSPITALAR DE BLUMENAU</t>
  </si>
  <si>
    <t>2082187</t>
  </si>
  <si>
    <t>RIBEIRAO PRETO</t>
  </si>
  <si>
    <t>FUND DE APOIO AO ENSINO PESQ E ASSISTENCIA HCFMRPUSP</t>
  </si>
  <si>
    <t>15/09/2025</t>
  </si>
  <si>
    <t>2246988</t>
  </si>
  <si>
    <t>PASSO FUNDO</t>
  </si>
  <si>
    <t>ASSOCIACAO HOSPITALAR BENEFICENTE SAO VICENTE DE PAULO</t>
  </si>
  <si>
    <t>27/08/2025</t>
  </si>
  <si>
    <t>LIMEIRA</t>
  </si>
  <si>
    <t> IRMANDADE DA SANTA CASA DE MISERICORDIA DE LIMEIRA</t>
  </si>
  <si>
    <t>NÃO PAC/EMENDA</t>
  </si>
  <si>
    <t>2261057</t>
  </si>
  <si>
    <t>IJUI</t>
  </si>
  <si>
    <t>ASSOCIACAO HOSPITAL DE CARIDADE IJUI</t>
  </si>
  <si>
    <t>23/01/2026</t>
  </si>
  <si>
    <t>21/02/2026</t>
  </si>
  <si>
    <t>2089696</t>
  </si>
  <si>
    <t>SAO PAULO</t>
  </si>
  <si>
    <t>GRUPO DE APOIO AO ADOLESCENTE E A CRIANCA COM C GRAACC</t>
  </si>
  <si>
    <t>23/02/2026</t>
  </si>
  <si>
    <t>2252287</t>
  </si>
  <si>
    <t>LAJEADO</t>
  </si>
  <si>
    <t>SOCIEDADE BENEFICENCIA E CARIDADE DE LAJEADO</t>
  </si>
  <si>
    <t>27/02/2026</t>
  </si>
  <si>
    <t>27/04/2026</t>
  </si>
  <si>
    <t>2306336</t>
  </si>
  <si>
    <t>JARAGUA DO SUL</t>
  </si>
  <si>
    <t>ASSOCIACAO HOSPITALAR SAO JOSE DE JARAGUA DO SUL</t>
  </si>
  <si>
    <t>2237601</t>
  </si>
  <si>
    <t>HOSPITAL DE CLINICAS DE PORTO ALEGRE</t>
  </si>
  <si>
    <t>25000185040202348</t>
  </si>
  <si>
    <t>18/06/2026</t>
  </si>
  <si>
    <t>TED</t>
  </si>
  <si>
    <t>2200457</t>
  </si>
  <si>
    <t>BELO HORIZONTE</t>
  </si>
  <si>
    <t>ASSOCIACAO MARIO PENNA</t>
  </si>
  <si>
    <t>19/06/2026</t>
  </si>
  <si>
    <t>2077477</t>
  </si>
  <si>
    <t>CASA DE SAUDE SANTA MARCELINA</t>
  </si>
  <si>
    <t>18/05/2026</t>
  </si>
  <si>
    <t>23/06/2026</t>
  </si>
  <si>
    <t>2723220</t>
  </si>
  <si>
    <t>INSTITUTO DO CANCER DO CEARA</t>
  </si>
  <si>
    <t>14 A</t>
  </si>
  <si>
    <t>ASSOCIACAO PIAUIENSE DE COMBATE AO CANCER</t>
  </si>
  <si>
    <r>
      <rPr>
        <sz val="11"/>
        <color rgb="FF000000"/>
        <rFont val="Calibri"/>
        <scheme val="minor"/>
      </rPr>
      <t xml:space="preserve">Licença emitida </t>
    </r>
    <r>
      <rPr>
        <b/>
        <sz val="11"/>
        <color rgb="FFFF0000"/>
        <rFont val="Calibri"/>
        <scheme val="minor"/>
      </rPr>
      <t>(Valor global R$ 15.519.124,00)</t>
    </r>
  </si>
  <si>
    <t>2786435</t>
  </si>
  <si>
    <t>JUNDIAI</t>
  </si>
  <si>
    <t>HOSPITAL DE CARIDADE SAO VICENTE DE PAULO</t>
  </si>
  <si>
    <t>14/08/2026</t>
  </si>
  <si>
    <t>2078015</t>
  </si>
  <si>
    <t>FUNDACAO FACULDADE DE MEDICINA - HCFMUSP</t>
  </si>
  <si>
    <r>
      <rPr>
        <sz val="11"/>
        <color rgb="FF000000"/>
        <rFont val="Calibri"/>
        <scheme val="minor"/>
      </rPr>
      <t xml:space="preserve">Previsão de entrega reagendada de </t>
    </r>
    <r>
      <rPr>
        <b/>
        <sz val="11"/>
        <color rgb="FFFF0000"/>
        <rFont val="Calibri"/>
        <scheme val="minor"/>
      </rPr>
      <t>julho para novembro de 2026</t>
    </r>
  </si>
  <si>
    <t>3021114</t>
  </si>
  <si>
    <t>SOBRAL</t>
  </si>
  <si>
    <t>SANTA CASA DE MISERICORDIA DE SOBRAL</t>
  </si>
  <si>
    <t>2772280</t>
  </si>
  <si>
    <t>ITABUNA</t>
  </si>
  <si>
    <t>SANTA CASA DE MISERICORDIA DE ITABUNA</t>
  </si>
  <si>
    <r>
      <rPr>
        <b/>
        <sz val="11"/>
        <color rgb="FF000000"/>
        <rFont val="Calibri"/>
        <scheme val="minor"/>
      </rPr>
      <t xml:space="preserve">Abertura de SCRA prevista para 10/09 - </t>
    </r>
    <r>
      <rPr>
        <b/>
        <sz val="11"/>
        <color rgb="FFFF0000"/>
        <rFont val="Calibri"/>
        <scheme val="minor"/>
      </rPr>
      <t>2026SCRA1869 (status aberta)</t>
    </r>
  </si>
  <si>
    <t>0003786</t>
  </si>
  <si>
    <t>SALVADOR</t>
  </si>
  <si>
    <t>LIGA BAHIANA CONTRA O CANCER</t>
  </si>
  <si>
    <t>2761092</t>
  </si>
  <si>
    <t>VARGINHA</t>
  </si>
  <si>
    <t>FUNDO MUNICIPAL DE SAUDE</t>
  </si>
  <si>
    <t>25000198305202459</t>
  </si>
  <si>
    <t>FAF</t>
  </si>
  <si>
    <t>10/09 - Problemas com Levantamento Radiométrico,
prevista no Guia de Planejamento. Previsão de entrega reprogramado para dezembro/2026</t>
  </si>
  <si>
    <t>LONDRINA</t>
  </si>
  <si>
    <t xml:space="preserve">INSTITUTO DE CANCER DE LONDRINA </t>
  </si>
  <si>
    <r>
      <rPr>
        <b/>
        <sz val="11"/>
        <color rgb="FF000000"/>
        <rFont val="Calibri"/>
      </rPr>
      <t xml:space="preserve">2026SCRA0007 - Mod. Casamata - </t>
    </r>
    <r>
      <rPr>
        <b/>
        <sz val="11"/>
        <color rgb="FF00B050"/>
        <rFont val="Calibri"/>
      </rPr>
      <t>Licença Emitida</t>
    </r>
    <r>
      <rPr>
        <b/>
        <sz val="11"/>
        <color rgb="FF000000"/>
        <rFont val="Calibri"/>
      </rPr>
      <t xml:space="preserve"> - </t>
    </r>
    <r>
      <rPr>
        <b/>
        <sz val="11"/>
        <color rgb="FFFF0000"/>
        <rFont val="Calibri"/>
      </rPr>
      <t>Ofício será emitido em 25/03</t>
    </r>
  </si>
  <si>
    <t>0009776</t>
  </si>
  <si>
    <t>FUNDACAO CARMEM PRUDENTE DE MATO GROSSO DO SUL</t>
  </si>
  <si>
    <t>2025752</t>
  </si>
  <si>
    <t>SANTOS</t>
  </si>
  <si>
    <t>IRMANDADE DA SANTA CASA DE MISERICORDIA DE SANTOS</t>
  </si>
  <si>
    <r>
      <rPr>
        <sz val="11"/>
        <color rgb="FF000000"/>
        <rFont val="Calibri"/>
        <scheme val="minor"/>
      </rPr>
      <t xml:space="preserve">2025SCRA0633 - Mod. Casamata.  Pendente na emissão da licença - </t>
    </r>
    <r>
      <rPr>
        <sz val="11"/>
        <color rgb="FFFF0000"/>
        <rFont val="Calibri"/>
        <scheme val="minor"/>
      </rPr>
      <t xml:space="preserve">Reunião agendada para 26/05 </t>
    </r>
  </si>
  <si>
    <t>2080354</t>
  </si>
  <si>
    <t>SOCIEDADE PORTUGUESA DE BENEFICENCIA</t>
  </si>
  <si>
    <r>
      <rPr>
        <b/>
        <sz val="11"/>
        <color rgb="FF000000"/>
        <rFont val="Calibri"/>
        <scheme val="minor"/>
      </rPr>
      <t>2025SCRA2001</t>
    </r>
    <r>
      <rPr>
        <b/>
        <sz val="11"/>
        <color rgb="FFFF0000"/>
        <rFont val="Calibri"/>
        <scheme val="minor"/>
      </rPr>
      <t xml:space="preserve"> (NOVO SCRA 2025SCRA2819)</t>
    </r>
    <r>
      <rPr>
        <b/>
        <sz val="11"/>
        <color rgb="FF000000"/>
        <rFont val="Calibri"/>
        <scheme val="minor"/>
      </rPr>
      <t xml:space="preserve">  - Mod. Casamata Pendente - </t>
    </r>
    <r>
      <rPr>
        <b/>
        <sz val="11"/>
        <color rgb="FF00B050"/>
        <rFont val="Calibri"/>
        <scheme val="minor"/>
      </rPr>
      <t xml:space="preserve">Sol. Prioridade </t>
    </r>
  </si>
  <si>
    <t>2080931</t>
  </si>
  <si>
    <t>SAO CARLOS</t>
  </si>
  <si>
    <t>IRMANDADE DA SANTA CASA DE MISERICORDIA DE SAO CARLOS</t>
  </si>
  <si>
    <t>PB</t>
  </si>
  <si>
    <t>CAMPINA GRANDE</t>
  </si>
  <si>
    <t>FUNDACAO ASSISTENCIAL DA PARAIBA- FAP</t>
  </si>
  <si>
    <t>28 A</t>
  </si>
  <si>
    <t>LIGA PARANAENSE DE COMBATE AO CANCER - 1</t>
  </si>
  <si>
    <t>Um convênio firmado com dois equipamentos Valor global R$ 14.632.696,00</t>
  </si>
  <si>
    <t>DF</t>
  </si>
  <si>
    <t>0010456</t>
  </si>
  <si>
    <t>BRASILIA</t>
  </si>
  <si>
    <t>INSTITUTO DE GESTAO ESTRATEGICA DE SAUDE DO DISTRITO FEDERAL - IGESDF</t>
  </si>
  <si>
    <t>CACHOEIRO DE ITAPEMIRIM</t>
  </si>
  <si>
    <t>HOSPITAL EVANGELICO DE CACHOEIRO DE ITAPEMIRIM</t>
  </si>
  <si>
    <t>2564211</t>
  </si>
  <si>
    <t>BARBALHA</t>
  </si>
  <si>
    <t>HOSPITAL MATERNIDADE SAO VICENTE DE PAULO</t>
  </si>
  <si>
    <r>
      <rPr>
        <b/>
        <sz val="11"/>
        <color rgb="FF000000"/>
        <rFont val="Calibri"/>
        <scheme val="minor"/>
      </rPr>
      <t xml:space="preserve">2025SCRA1973 - Mod. Casamata Pendente - </t>
    </r>
    <r>
      <rPr>
        <b/>
        <sz val="11"/>
        <color rgb="FF00B050"/>
        <rFont val="Calibri"/>
        <scheme val="minor"/>
      </rPr>
      <t xml:space="preserve">Sol. Prioridade </t>
    </r>
  </si>
  <si>
    <t>PASSOS</t>
  </si>
  <si>
    <t>IRMANDADE DA SANTA CASA DE MISERICORDIA DE PASSOS</t>
  </si>
  <si>
    <t>RN</t>
  </si>
  <si>
    <t>NATAL</t>
  </si>
  <si>
    <t>LIGA NORTE RIOGRANDENSE CONTRA O CANCER</t>
  </si>
  <si>
    <t>DIVINOPOLIS</t>
  </si>
  <si>
    <t>FUNDACAO GERALDO CORREA</t>
  </si>
  <si>
    <r>
      <rPr>
        <b/>
        <sz val="11"/>
        <color rgb="FF242424"/>
        <rFont val="Calibri"/>
        <scheme val="minor"/>
      </rPr>
      <t xml:space="preserve">2025SCRA2707 - Mod. Casamata - </t>
    </r>
    <r>
      <rPr>
        <b/>
        <sz val="11"/>
        <color rgb="FF00B050"/>
        <rFont val="Calibri"/>
        <scheme val="minor"/>
      </rPr>
      <t xml:space="preserve">Licença emitida </t>
    </r>
  </si>
  <si>
    <t>28 B</t>
  </si>
  <si>
    <t>LIGA PARANAENSE DE COMBATE AO CANCER - 2</t>
  </si>
  <si>
    <t>2083086</t>
  </si>
  <si>
    <t>JAU</t>
  </si>
  <si>
    <t>FUNDACAO DOUTOR AMARAL CARVALHO</t>
  </si>
  <si>
    <t>14 B</t>
  </si>
  <si>
    <t>Valor global R$ 15.519.124,00</t>
  </si>
  <si>
    <t>4026896</t>
  </si>
  <si>
    <t>IRECÊ</t>
  </si>
  <si>
    <t>FUNDO ESTADUAL DE SAUDE DO ESTADO DA BAHIA</t>
  </si>
  <si>
    <t>2079798</t>
  </si>
  <si>
    <t>FUNDO ESTADUAL DE SAUDE - FUNDES</t>
  </si>
  <si>
    <t>0000582</t>
  </si>
  <si>
    <t>RECIFE</t>
  </si>
  <si>
    <t>SOCIEDADE PERNAMBUCANA DE COMBATE AO CANCER</t>
  </si>
  <si>
    <t> </t>
  </si>
  <si>
    <t>2269783</t>
  </si>
  <si>
    <t>FUNDO ESTADUAL DE SAUDE FES</t>
  </si>
  <si>
    <t>25000000145202506</t>
  </si>
  <si>
    <t>SEM INFO</t>
  </si>
  <si>
    <t xml:space="preserve">FUNDAÇÃO ESTADUAL DE SAÚDE - FUNDES - </t>
  </si>
  <si>
    <t>25000000157202522</t>
  </si>
  <si>
    <r>
      <rPr>
        <b/>
        <sz val="11"/>
        <color rgb="FF000000"/>
        <rFont val="Calibri"/>
        <scheme val="minor"/>
      </rPr>
      <t xml:space="preserve">2026SCRA0403 - Mod. Casamata Pendente - </t>
    </r>
    <r>
      <rPr>
        <b/>
        <sz val="11"/>
        <color rgb="FF00B050"/>
        <rFont val="Calibri"/>
        <scheme val="minor"/>
      </rPr>
      <t>Sol. Prioridade</t>
    </r>
  </si>
  <si>
    <t>BOTUCATU</t>
  </si>
  <si>
    <t>FUNDACAO PARA O DESENVOLVIMENTO MEDICO E HOSPITALAR</t>
  </si>
  <si>
    <t>30/3/2028</t>
  </si>
  <si>
    <t>Obra em andamento</t>
  </si>
  <si>
    <t>Processo SEI</t>
  </si>
  <si>
    <t>Município</t>
  </si>
  <si>
    <t>Instituição</t>
  </si>
  <si>
    <t>% Captação</t>
  </si>
  <si>
    <t>Valor Aprovado</t>
  </si>
  <si>
    <t>Valor Captado</t>
  </si>
  <si>
    <t>Substatus</t>
  </si>
  <si>
    <t>Fase</t>
  </si>
  <si>
    <t>Telefone</t>
  </si>
  <si>
    <t>Informações 03/08</t>
  </si>
  <si>
    <t>25000.157244/2024-70</t>
  </si>
  <si>
    <t>Salvador</t>
  </si>
  <si>
    <t>ASSOCIACAO OBRAS SOCIAIS IRMA DULCE</t>
  </si>
  <si>
    <t>128,10%</t>
  </si>
  <si>
    <t>R$ 7.989.055,66</t>
  </si>
  <si>
    <t>R$ 10.233.173,38</t>
  </si>
  <si>
    <t>2.2 - Elaboração de Termo de Compromisso</t>
  </si>
  <si>
    <t>2 - Em tramitação administrativa</t>
  </si>
  <si>
    <t>(71)3310-1111</t>
  </si>
  <si>
    <t xml:space="preserve">Aguardando transferencia de recursos entre conta captação e movimento </t>
  </si>
  <si>
    <t>25000.100544/2025-68</t>
  </si>
  <si>
    <t>Goiania</t>
  </si>
  <si>
    <t>ASSOCIACAO DE COMBATE AO CANCER EM GOIAS</t>
  </si>
  <si>
    <t>127,90%</t>
  </si>
  <si>
    <t>R$ 9.945.568,00</t>
  </si>
  <si>
    <t>R$ 12.724.114,23</t>
  </si>
  <si>
    <t>4.1 - Projeto em Execução</t>
  </si>
  <si>
    <t>4.1 - Vigente</t>
  </si>
  <si>
    <t>(62)3243-7000</t>
  </si>
  <si>
    <t xml:space="preserve">Início da execução em 28 de maio de 2026, equipamento ainda não adquirido </t>
  </si>
  <si>
    <t>25000.161946/2024-58</t>
  </si>
  <si>
    <t>Ipatinga</t>
  </si>
  <si>
    <t>FUNDACAO SAO FRANCISCO XAVIER</t>
  </si>
  <si>
    <t>117,70%</t>
  </si>
  <si>
    <t>R$ 8.000.000,00</t>
  </si>
  <si>
    <t>R$ 9.414.947,85</t>
  </si>
  <si>
    <t>(31)3829-9000</t>
  </si>
  <si>
    <t>25000.197083/2025-38</t>
  </si>
  <si>
    <t>107,60%</t>
  </si>
  <si>
    <t>R$ 12.556.927,17</t>
  </si>
  <si>
    <t>R$ 13.507.995,09</t>
  </si>
  <si>
    <t>1.2 - Recurso Captado &gt;100%</t>
  </si>
  <si>
    <t>1 - Em Captação</t>
  </si>
  <si>
    <t xml:space="preserve">Em fase de captação de recursos </t>
  </si>
  <si>
    <t>25000.100501/2025-82</t>
  </si>
  <si>
    <t>Cascavel</t>
  </si>
  <si>
    <t>UNIAO OESTE PARANAENSE DE ESTUDOS E COMBATE AO CANCER</t>
  </si>
  <si>
    <t>106,70%</t>
  </si>
  <si>
    <t>R$ 10.356.858,00</t>
  </si>
  <si>
    <t>R$ 11.047.857,28</t>
  </si>
  <si>
    <t>(45)2101-7000</t>
  </si>
  <si>
    <t>25000.099868/2025-46</t>
  </si>
  <si>
    <t>Recife</t>
  </si>
  <si>
    <t>REAL HOSPITAL PORTUGUES DE BENEFICENCIA EM PERNAMBUCO</t>
  </si>
  <si>
    <t>100,00%</t>
  </si>
  <si>
    <t>(81)3416-1122</t>
  </si>
  <si>
    <t>25000.156246/2024-41</t>
  </si>
  <si>
    <t>Sao Luis</t>
  </si>
  <si>
    <t>FUNDACAO ANTONIO JORGE DINO</t>
  </si>
  <si>
    <t>R$ 7.850.160,00</t>
  </si>
  <si>
    <t>(98)3089-3000</t>
  </si>
  <si>
    <t xml:space="preserve">Equipamento chegou na unidade em 01/08 , segue aguardando instalação. </t>
  </si>
  <si>
    <t>25000.120170/2025-05</t>
  </si>
  <si>
    <t>Montes Claros</t>
  </si>
  <si>
    <t>FUNDACAO DE SAUDE DILSON DE QUADROS GODINHO</t>
  </si>
  <si>
    <t>99,60%</t>
  </si>
  <si>
    <t>R$ 10.649.269,09</t>
  </si>
  <si>
    <t>R$ 10.607.387,25</t>
  </si>
  <si>
    <t>(38)3229-4127</t>
  </si>
  <si>
    <t xml:space="preserve">equipamento ainda não adquirido </t>
  </si>
  <si>
    <t>25000.120191/2025-12</t>
  </si>
  <si>
    <t>Presidente Prudente</t>
  </si>
  <si>
    <t>SANTA CASA DE MISERICORDIA DE PRESIDENTE PRUDENTE</t>
  </si>
  <si>
    <t>91,10%</t>
  </si>
  <si>
    <t>R$ 9.963.000,00</t>
  </si>
  <si>
    <t>R$ 9.077.878,95</t>
  </si>
  <si>
    <t>2.1 - Elaboração de Termo de Constatação</t>
  </si>
  <si>
    <t>(18)2104-8000</t>
  </si>
  <si>
    <t xml:space="preserve">Aguardando termo de compromisso </t>
  </si>
  <si>
    <t>25000.185694/2025-33</t>
  </si>
  <si>
    <t>Campina Grande Do Sul</t>
  </si>
  <si>
    <t>SOCIEDADE HOSPITALAR ANGELINA CARON</t>
  </si>
  <si>
    <t>88,50%</t>
  </si>
  <si>
    <t>R$ 10.813.482,78</t>
  </si>
  <si>
    <t>R$ 9.566.355,37</t>
  </si>
  <si>
    <t>1.1 - Em Captação</t>
  </si>
  <si>
    <t>(41)3679-8100</t>
  </si>
  <si>
    <t>Fase de termo de constatação  referente às doações de recursos a projeto no âmbito do  Pronon.</t>
  </si>
  <si>
    <t>25000.121085/2025-56</t>
  </si>
  <si>
    <t>Sao Paulo</t>
  </si>
  <si>
    <t>INSTITUTO DO CANCER ARNALDO VIEIRA DE CARVALHO</t>
  </si>
  <si>
    <t>87,70%</t>
  </si>
  <si>
    <t>R$ 10.381.696,00</t>
  </si>
  <si>
    <t>R$ 9.100.686,00</t>
  </si>
  <si>
    <t>(11)3367-3844</t>
  </si>
  <si>
    <t xml:space="preserve">Aguardando Ofício de início de execução </t>
  </si>
  <si>
    <t>25000.100446/2025-21</t>
  </si>
  <si>
    <t>Passo Fundo</t>
  </si>
  <si>
    <t>HOSPITAL DE CLINICAS DE PASSO FUNDO</t>
  </si>
  <si>
    <t>73,90%</t>
  </si>
  <si>
    <t>R$ 7.871.173,85</t>
  </si>
  <si>
    <t>(54) 2103-3333</t>
  </si>
  <si>
    <t xml:space="preserve">Início da execução em 22 de julho de 2026, equipamento ainda não adquirido </t>
  </si>
  <si>
    <t>25000.155339/2024-59</t>
  </si>
  <si>
    <t>Criciuma</t>
  </si>
  <si>
    <t>SOCIEDADE LITERARIA E CARITATIVA SANTO AGOSTINHO</t>
  </si>
  <si>
    <t>61,60%</t>
  </si>
  <si>
    <t>R$ 7.977.600,00</t>
  </si>
  <si>
    <t>R$ 4.916.364,81</t>
  </si>
  <si>
    <t>(48)3431-1500</t>
  </si>
  <si>
    <t>Em fase de readequação de plano de trabalho devido valor captado a menor</t>
  </si>
  <si>
    <t>25000.196462/2025-19</t>
  </si>
  <si>
    <t>SE</t>
  </si>
  <si>
    <t>Lagarto</t>
  </si>
  <si>
    <t>53,00%</t>
  </si>
  <si>
    <t>R$ 12.870.295,56</t>
  </si>
  <si>
    <t>R$ 6.818.673,00</t>
  </si>
  <si>
    <t>(79) 3632-6600</t>
  </si>
  <si>
    <t>25000.191336/2025-60</t>
  </si>
  <si>
    <t>Umuarama</t>
  </si>
  <si>
    <t>51,60%</t>
  </si>
  <si>
    <t>R$ 10.512.409,95</t>
  </si>
  <si>
    <t>R$ 5.426.969,61</t>
  </si>
  <si>
    <t>25000.191345/2025-51</t>
  </si>
  <si>
    <t>Jau</t>
  </si>
  <si>
    <t>47,40%</t>
  </si>
  <si>
    <t>R$ 10.668.785,71</t>
  </si>
  <si>
    <t>R$ 5.059.010,06</t>
  </si>
  <si>
    <t>(14)3602-1200</t>
  </si>
  <si>
    <t>25000.196997/2025-81</t>
  </si>
  <si>
    <t>Cuiaba</t>
  </si>
  <si>
    <t>ASSOCIACAO MATOGROSSENSE DE COMBATE AO CANCER</t>
  </si>
  <si>
    <t>19,60%</t>
  </si>
  <si>
    <t>R$ 10.669.577,49</t>
  </si>
  <si>
    <t>R$ 2.090.000,00</t>
  </si>
  <si>
    <t>(65)3648-7575</t>
  </si>
  <si>
    <t>25000.196052/2025-60</t>
  </si>
  <si>
    <t>0,70%</t>
  </si>
  <si>
    <t>R$ 76.467,00</t>
  </si>
  <si>
    <t>(71)3357-6800</t>
  </si>
  <si>
    <t>25000.196905/2025-63</t>
  </si>
  <si>
    <t>PA</t>
  </si>
  <si>
    <t>Belem</t>
  </si>
  <si>
    <t>BENEMERITA SOCIEDADE PORTUGUESA BENEFICENTE DO PARA</t>
  </si>
  <si>
    <t>0,00%</t>
  </si>
  <si>
    <t>R$ 12.672.000,00</t>
  </si>
  <si>
    <t>(91)3215-4444</t>
  </si>
  <si>
    <t>25000.191620/2025-36</t>
  </si>
  <si>
    <t>IRMANDADE NOSSA SENHORA DAS MERCES DE MONTES CLAROS</t>
  </si>
  <si>
    <t>(38)3229-2000</t>
  </si>
  <si>
    <t>25000.197099/2025-41</t>
  </si>
  <si>
    <t>Tres Lagoas</t>
  </si>
  <si>
    <t>SOCIEDADE BENEFICENTE DO HOSPITAL N S AUXILIADORA</t>
  </si>
  <si>
    <t>R$ 10.658.492,00</t>
  </si>
  <si>
    <t>(67)2105-3500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</si>
</sst>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-416]mmmm\-yy;@"/>
    <numFmt numFmtId="165" formatCode="dd/mm/yy;@"/>
    <numFmt numFmtId="166" formatCode="&quot;R$&quot;\ #,##0.0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  <font>
      <sz val="11"/>
      <color rgb="FF000000"/>
      <name val="Calibri"/>
      <charset val="1"/>
    </font>
    <font>
      <b/>
      <sz val="11"/>
      <color theme="1"/>
      <name val="Calibri"/>
      <scheme val="minor"/>
    </font>
    <font>
      <b/>
      <sz val="11"/>
      <color rgb="FF00B050"/>
      <name val="Calibri"/>
      <scheme val="minor"/>
    </font>
    <font>
      <sz val="11"/>
      <color rgb="FF242424"/>
      <name val="Calibri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242424"/>
      <name val="Calibri"/>
      <scheme val="minor"/>
    </font>
    <font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1"/>
      <color rgb="FF00B050"/>
      <name val="Calibri"/>
    </font>
    <font>
      <b/>
      <sz val="1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FF0000"/>
      <name val="Calibri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charset val="1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charset val="1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FBFBF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4" fontId="34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/>
    </xf>
    <xf numFmtId="14" fontId="11" fillId="6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4" fontId="11" fillId="7" borderId="1" xfId="0" applyNumberFormat="1" applyFont="1" applyFill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49" fontId="6" fillId="3" borderId="13" xfId="0" applyNumberFormat="1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left" vertical="center"/>
    </xf>
    <xf numFmtId="0" fontId="6" fillId="9" borderId="13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/>
    </xf>
    <xf numFmtId="14" fontId="4" fillId="6" borderId="13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49" fontId="6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4" fontId="0" fillId="0" borderId="13" xfId="0" applyNumberFormat="1" applyBorder="1" applyAlignment="1">
      <alignment horizontal="center" vertical="center"/>
    </xf>
    <xf numFmtId="17" fontId="0" fillId="0" borderId="13" xfId="0" applyNumberForma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14" fontId="4" fillId="7" borderId="13" xfId="0" applyNumberFormat="1" applyFont="1" applyFill="1" applyBorder="1" applyAlignment="1">
      <alignment horizontal="center" vertical="center"/>
    </xf>
    <xf numFmtId="49" fontId="6" fillId="3" borderId="13" xfId="0" quotePrefix="1" applyNumberFormat="1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4" fontId="5" fillId="8" borderId="17" xfId="0" applyNumberFormat="1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14" fontId="16" fillId="0" borderId="13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 wrapText="1"/>
    </xf>
    <xf numFmtId="0" fontId="6" fillId="3" borderId="13" xfId="0" quotePrefix="1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164" fontId="6" fillId="3" borderId="17" xfId="0" applyNumberFormat="1" applyFont="1" applyFill="1" applyBorder="1" applyAlignment="1">
      <alignment horizontal="center" vertical="center"/>
    </xf>
    <xf numFmtId="14" fontId="16" fillId="3" borderId="13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14" fontId="6" fillId="3" borderId="1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20" fillId="2" borderId="39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49" fontId="6" fillId="4" borderId="13" xfId="0" applyNumberFormat="1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164" fontId="9" fillId="0" borderId="13" xfId="0" applyNumberFormat="1" applyFont="1" applyBorder="1" applyAlignment="1">
      <alignment horizontal="center" vertical="center"/>
    </xf>
    <xf numFmtId="164" fontId="0" fillId="3" borderId="17" xfId="0" applyNumberForma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3" fillId="0" borderId="7" xfId="0" applyNumberFormat="1" applyFont="1" applyBorder="1" applyAlignment="1">
      <alignment horizontal="center" vertical="center"/>
    </xf>
    <xf numFmtId="165" fontId="13" fillId="0" borderId="13" xfId="0" applyNumberFormat="1" applyFont="1" applyBorder="1" applyAlignment="1">
      <alignment horizontal="center" vertical="center"/>
    </xf>
    <xf numFmtId="165" fontId="9" fillId="0" borderId="13" xfId="0" applyNumberFormat="1" applyFont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28" fillId="2" borderId="39" xfId="0" applyFont="1" applyFill="1" applyBorder="1" applyAlignment="1">
      <alignment horizontal="center" vertical="center"/>
    </xf>
    <xf numFmtId="0" fontId="28" fillId="2" borderId="40" xfId="0" applyFont="1" applyFill="1" applyBorder="1" applyAlignment="1">
      <alignment horizontal="center" vertical="center"/>
    </xf>
    <xf numFmtId="0" fontId="29" fillId="2" borderId="34" xfId="0" applyFont="1" applyFill="1" applyBorder="1" applyAlignment="1">
      <alignment horizontal="center" vertical="center"/>
    </xf>
    <xf numFmtId="0" fontId="29" fillId="2" borderId="37" xfId="0" applyFont="1" applyFill="1" applyBorder="1" applyAlignment="1">
      <alignment horizontal="center" vertical="center"/>
    </xf>
    <xf numFmtId="0" fontId="20" fillId="13" borderId="21" xfId="0" applyFont="1" applyFill="1" applyBorder="1" applyAlignment="1">
      <alignment horizontal="center" vertical="center"/>
    </xf>
    <xf numFmtId="0" fontId="20" fillId="13" borderId="22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30" fillId="14" borderId="2" xfId="0" applyFont="1" applyFill="1" applyBorder="1" applyAlignment="1">
      <alignment vertical="center"/>
    </xf>
    <xf numFmtId="0" fontId="20" fillId="14" borderId="4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20" fillId="14" borderId="16" xfId="0" applyFont="1" applyFill="1" applyBorder="1" applyAlignment="1">
      <alignment horizontal="center" vertical="center"/>
    </xf>
    <xf numFmtId="0" fontId="20" fillId="14" borderId="13" xfId="0" applyFont="1" applyFill="1" applyBorder="1" applyAlignment="1">
      <alignment horizontal="center" vertical="center"/>
    </xf>
    <xf numFmtId="0" fontId="20" fillId="14" borderId="22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0" fontId="30" fillId="15" borderId="2" xfId="0" applyFont="1" applyFill="1" applyBorder="1" applyAlignment="1">
      <alignment vertical="center"/>
    </xf>
    <xf numFmtId="0" fontId="20" fillId="15" borderId="4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20" fillId="15" borderId="16" xfId="0" applyFont="1" applyFill="1" applyBorder="1" applyAlignment="1">
      <alignment horizontal="center" vertical="center"/>
    </xf>
    <xf numFmtId="0" fontId="20" fillId="15" borderId="13" xfId="0" applyFont="1" applyFill="1" applyBorder="1" applyAlignment="1">
      <alignment horizontal="center" vertical="center"/>
    </xf>
    <xf numFmtId="0" fontId="20" fillId="15" borderId="22" xfId="0" applyFont="1" applyFill="1" applyBorder="1" applyAlignment="1">
      <alignment horizontal="center" vertical="center"/>
    </xf>
    <xf numFmtId="0" fontId="20" fillId="15" borderId="3" xfId="0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vertical="center"/>
    </xf>
    <xf numFmtId="0" fontId="20" fillId="11" borderId="4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0" fillId="11" borderId="16" xfId="0" applyFont="1" applyFill="1" applyBorder="1" applyAlignment="1">
      <alignment horizontal="center" vertical="center"/>
    </xf>
    <xf numFmtId="0" fontId="20" fillId="11" borderId="13" xfId="0" applyFont="1" applyFill="1" applyBorder="1" applyAlignment="1">
      <alignment horizontal="center" vertical="center"/>
    </xf>
    <xf numFmtId="0" fontId="20" fillId="11" borderId="22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30" fillId="16" borderId="5" xfId="0" applyFont="1" applyFill="1" applyBorder="1" applyAlignment="1">
      <alignment vertical="center"/>
    </xf>
    <xf numFmtId="0" fontId="20" fillId="16" borderId="6" xfId="0" applyFont="1" applyFill="1" applyBorder="1" applyAlignment="1">
      <alignment horizontal="center" vertical="center"/>
    </xf>
    <xf numFmtId="0" fontId="20" fillId="16" borderId="7" xfId="0" applyFont="1" applyFill="1" applyBorder="1" applyAlignment="1">
      <alignment horizontal="center" vertical="center"/>
    </xf>
    <xf numFmtId="0" fontId="20" fillId="16" borderId="15" xfId="0" applyFont="1" applyFill="1" applyBorder="1" applyAlignment="1">
      <alignment horizontal="center" vertical="center"/>
    </xf>
    <xf numFmtId="0" fontId="20" fillId="16" borderId="19" xfId="0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2" xfId="0" applyFont="1" applyFill="1" applyBorder="1" applyAlignment="1">
      <alignment horizontal="center" vertical="center"/>
    </xf>
    <xf numFmtId="0" fontId="30" fillId="13" borderId="43" xfId="0" applyFont="1" applyFill="1" applyBorder="1" applyAlignment="1">
      <alignment vertical="center"/>
    </xf>
    <xf numFmtId="0" fontId="20" fillId="13" borderId="44" xfId="0" applyFont="1" applyFill="1" applyBorder="1" applyAlignment="1">
      <alignment horizontal="center" vertical="center"/>
    </xf>
    <xf numFmtId="14" fontId="31" fillId="3" borderId="13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/>
    </xf>
    <xf numFmtId="0" fontId="14" fillId="0" borderId="13" xfId="0" applyFont="1" applyBorder="1" applyAlignment="1">
      <alignment horizontal="right" vertical="center" wrapText="1"/>
    </xf>
    <xf numFmtId="0" fontId="23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left" vertical="center"/>
    </xf>
    <xf numFmtId="15" fontId="6" fillId="3" borderId="13" xfId="0" applyNumberFormat="1" applyFont="1" applyFill="1" applyBorder="1" applyAlignment="1">
      <alignment horizontal="center" vertical="center"/>
    </xf>
    <xf numFmtId="0" fontId="6" fillId="3" borderId="13" xfId="0" quotePrefix="1" applyFont="1" applyFill="1" applyBorder="1" applyAlignment="1">
      <alignment horizontal="center" vertical="center"/>
    </xf>
    <xf numFmtId="14" fontId="6" fillId="3" borderId="13" xfId="0" applyNumberFormat="1" applyFont="1" applyFill="1" applyBorder="1" applyAlignment="1">
      <alignment horizontal="center" vertical="center" wrapText="1"/>
    </xf>
    <xf numFmtId="14" fontId="33" fillId="7" borderId="13" xfId="0" applyNumberFormat="1" applyFont="1" applyFill="1" applyBorder="1" applyAlignment="1">
      <alignment horizontal="center" vertical="center"/>
    </xf>
    <xf numFmtId="166" fontId="23" fillId="0" borderId="13" xfId="1" applyNumberFormat="1" applyFont="1" applyFill="1" applyBorder="1" applyAlignment="1">
      <alignment horizontal="center" vertical="center" wrapText="1"/>
    </xf>
    <xf numFmtId="166" fontId="23" fillId="3" borderId="13" xfId="1" applyNumberFormat="1" applyFont="1" applyFill="1" applyBorder="1" applyAlignment="1">
      <alignment horizontal="center" vertical="center" wrapText="1"/>
    </xf>
    <xf numFmtId="166" fontId="32" fillId="0" borderId="13" xfId="1" applyNumberFormat="1" applyFont="1" applyFill="1" applyBorder="1" applyAlignment="1">
      <alignment horizontal="center" vertical="center" wrapText="1"/>
    </xf>
    <xf numFmtId="166" fontId="23" fillId="0" borderId="13" xfId="1" applyNumberFormat="1" applyFont="1" applyBorder="1" applyAlignment="1">
      <alignment horizontal="center" vertical="center" wrapText="1"/>
    </xf>
    <xf numFmtId="166" fontId="23" fillId="0" borderId="13" xfId="0" applyNumberFormat="1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8" fontId="23" fillId="0" borderId="13" xfId="0" applyNumberFormat="1" applyFont="1" applyBorder="1" applyAlignment="1">
      <alignment horizontal="center" vertical="center" wrapText="1"/>
    </xf>
    <xf numFmtId="166" fontId="23" fillId="3" borderId="13" xfId="0" applyNumberFormat="1" applyFont="1" applyFill="1" applyBorder="1" applyAlignment="1">
      <alignment horizontal="center" vertical="center" wrapText="1"/>
    </xf>
    <xf numFmtId="166" fontId="0" fillId="12" borderId="0" xfId="0" applyNumberFormat="1" applyFill="1" applyAlignment="1">
      <alignment vertical="center"/>
    </xf>
    <xf numFmtId="14" fontId="31" fillId="0" borderId="13" xfId="0" applyNumberFormat="1" applyFont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center"/>
    </xf>
    <xf numFmtId="8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36" fillId="17" borderId="1" xfId="0" applyFont="1" applyFill="1" applyBorder="1" applyAlignment="1">
      <alignment horizontal="center" vertical="center"/>
    </xf>
    <xf numFmtId="0" fontId="36" fillId="17" borderId="14" xfId="0" applyFont="1" applyFill="1" applyBorder="1" applyAlignment="1">
      <alignment horizontal="center" vertical="center"/>
    </xf>
    <xf numFmtId="14" fontId="9" fillId="12" borderId="1" xfId="0" applyNumberFormat="1" applyFont="1" applyFill="1" applyBorder="1" applyAlignment="1">
      <alignment horizontal="center" vertical="center"/>
    </xf>
    <xf numFmtId="14" fontId="4" fillId="7" borderId="14" xfId="0" applyNumberFormat="1" applyFont="1" applyFill="1" applyBorder="1" applyAlignment="1">
      <alignment horizontal="center" vertical="center"/>
    </xf>
    <xf numFmtId="166" fontId="23" fillId="0" borderId="45" xfId="1" applyNumberFormat="1" applyFont="1" applyBorder="1" applyAlignment="1">
      <alignment horizontal="center" vertical="center" wrapText="1"/>
    </xf>
    <xf numFmtId="15" fontId="6" fillId="3" borderId="13" xfId="0" applyNumberFormat="1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center" vertical="center"/>
    </xf>
    <xf numFmtId="14" fontId="38" fillId="0" borderId="13" xfId="0" applyNumberFormat="1" applyFont="1" applyBorder="1" applyAlignment="1">
      <alignment horizontal="center" vertical="center"/>
    </xf>
    <xf numFmtId="0" fontId="36" fillId="17" borderId="14" xfId="0" applyFont="1" applyFill="1" applyBorder="1" applyAlignment="1">
      <alignment vertical="center"/>
    </xf>
    <xf numFmtId="0" fontId="14" fillId="0" borderId="46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2" xfId="0" applyFont="1" applyBorder="1" applyAlignment="1">
      <alignment vertical="center"/>
    </xf>
    <xf numFmtId="0" fontId="14" fillId="0" borderId="46" xfId="0" applyFont="1" applyBorder="1" applyAlignment="1">
      <alignment vertical="center"/>
    </xf>
    <xf numFmtId="0" fontId="14" fillId="0" borderId="47" xfId="0" applyFont="1" applyBorder="1" applyAlignment="1">
      <alignment horizontal="right" vertical="center"/>
    </xf>
    <xf numFmtId="0" fontId="37" fillId="0" borderId="47" xfId="2" applyFill="1" applyBorder="1" applyAlignment="1">
      <alignment horizontal="right" vertical="center"/>
    </xf>
    <xf numFmtId="0" fontId="14" fillId="0" borderId="22" xfId="0" applyFont="1" applyBorder="1" applyAlignment="1">
      <alignment horizontal="right" vertical="center"/>
    </xf>
    <xf numFmtId="0" fontId="36" fillId="0" borderId="46" xfId="0" applyFont="1" applyBorder="1" applyAlignment="1">
      <alignment vertical="center"/>
    </xf>
    <xf numFmtId="0" fontId="35" fillId="0" borderId="0" xfId="0" applyFont="1" applyAlignment="1">
      <alignment horizontal="center"/>
    </xf>
    <xf numFmtId="0" fontId="17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vertical="center" wrapText="1"/>
    </xf>
    <xf numFmtId="14" fontId="9" fillId="12" borderId="13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7" fontId="0" fillId="0" borderId="19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9" fillId="2" borderId="30" xfId="0" applyFont="1" applyFill="1" applyBorder="1" applyAlignment="1">
      <alignment horizontal="center" vertical="center"/>
    </xf>
    <xf numFmtId="0" fontId="29" fillId="2" borderId="3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C67CF371-C36D-4D64-8CB9-7B751937A7EB}">
    <nsvFilter filterId="{00000000-0001-0000-0100-000000000000}" ref="A1:O41" tableId="0">
      <sortRules>
        <sortRule colId="2">
          <sortCondition ref="C1:C41"/>
        </sortRule>
      </sortRules>
    </nsvFilter>
  </namedSheetView>
  <namedSheetView name="Exibir2" id="{C8033EBB-CBEC-4A9E-8889-8E7133154C89}">
    <nsvFilter filterId="{00000000-0001-0000-0100-000000000000}" ref="A1:O41" tableId="0">
      <sortRules>
        <sortRule colId="2">
          <sortCondition ref="C1:C41"/>
        </sortRule>
      </sortRules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Priscila" id="{A0739A28-5255-46A0-B82A-9717458E0EDC}">
    <nsvFilter filterId="{00000000-0001-0000-0200-000000000000}" ref="A1:O48" tableId="0">
      <sortRules>
        <sortRule colId="9">
          <sortCondition ref="J1:J48"/>
        </sortRule>
      </sortRules>
    </nsvFilter>
  </namedSheetView>
  <namedSheetView name="Priscila CGPCAN" id="{0C388E69-C862-4A52-A724-F43C74A354C2}">
    <nsvFilter filterId="{00000000-0001-0000-0200-000000000000}" ref="A1:O48" tableId="0"/>
  </namedSheetView>
</namedSheetView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q=HOSPITAL+DE+AMOR+INTERESTADUAL+DE+LAGARTO&amp;rlz=1C1GCEA_enBR1023BR1023&amp;oq=HOSPITAL+DE+AMOR+INTERESTADUAL+DE+LAGARTO&amp;gs_lcrp=EgZjaHJvbWUyBggAEEUYOTIICAEQABgWGB4yCAgCEAAYFhgeMgcIAxAAGO8FMgcIBBAAGO8FMgcIBRAAGO8F0gEHODYyajBqOagCBrACAfEFo7HuVGN3xj4&amp;sourceid=chrome&amp;source=chrome.ob&amp;ie=UTF-8" TargetMode="External"/><Relationship Id="rId1" Type="http://schemas.openxmlformats.org/officeDocument/2006/relationships/hyperlink" Target="https://www.google.com/search?q=HOSPITAL+DE+CLINICAS+DE+PASSO+FUNDO&amp;rlz=1C1GCEA_enBR1023BR1023&amp;oq=HOSPITAL+DE+CLINICAS+DE+PASSO+FUNDO&amp;gs_lcrp=EgZjaHJvbWUyBggAEEUYOTINCAEQABiLAxiABBj4BTIKCAIQABiLAxiABDIKCAMQABiLAxiABDILCAQQABgWGB4YiwMyCwgFEAAYFhgeGIsDMgsIBhAAGBYYHhiLAzILCAcQABgWGB4YiwMyCwgIEAAYFhgeGIsDMgsICRAAGBYYHhiLA9IBBzkyNWoxajeoAgCwAgA&amp;sourceid=chrome&amp;source=chrome.ob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4"/>
  <sheetViews>
    <sheetView workbookViewId="0">
      <selection activeCell="J4" sqref="J4"/>
    </sheetView>
  </sheetViews>
  <sheetFormatPr defaultRowHeight="15"/>
  <cols>
    <col min="2" max="2" width="18.42578125" customWidth="1"/>
    <col min="3" max="12" width="20.7109375" customWidth="1"/>
  </cols>
  <sheetData>
    <row r="2" spans="2:12" ht="30" customHeight="1">
      <c r="B2" s="178" t="s">
        <v>0</v>
      </c>
      <c r="C2" s="185">
        <v>2023</v>
      </c>
      <c r="D2" s="186"/>
      <c r="E2" s="187">
        <v>2024</v>
      </c>
      <c r="F2" s="188"/>
      <c r="G2" s="189">
        <v>2025</v>
      </c>
      <c r="H2" s="190"/>
      <c r="I2" s="191">
        <v>2026</v>
      </c>
      <c r="J2" s="188"/>
      <c r="K2" s="180" t="s">
        <v>1</v>
      </c>
      <c r="L2" s="181"/>
    </row>
    <row r="3" spans="2:12" ht="30" customHeight="1">
      <c r="B3" s="179"/>
      <c r="C3" s="63" t="s">
        <v>2</v>
      </c>
      <c r="D3" s="64" t="s">
        <v>3</v>
      </c>
      <c r="E3" s="65" t="s">
        <v>2</v>
      </c>
      <c r="F3" s="64" t="s">
        <v>3</v>
      </c>
      <c r="G3" s="66" t="s">
        <v>2</v>
      </c>
      <c r="H3" s="67" t="s">
        <v>3</v>
      </c>
      <c r="I3" s="66" t="s">
        <v>2</v>
      </c>
      <c r="J3" s="67" t="s">
        <v>3</v>
      </c>
      <c r="K3" s="90" t="s">
        <v>2</v>
      </c>
      <c r="L3" s="91" t="s">
        <v>3</v>
      </c>
    </row>
    <row r="4" spans="2:12" ht="30" customHeight="1">
      <c r="B4" s="123" t="s">
        <v>4</v>
      </c>
      <c r="C4" s="124">
        <v>38</v>
      </c>
      <c r="D4" s="124">
        <v>0</v>
      </c>
      <c r="E4" s="124">
        <v>5</v>
      </c>
      <c r="F4" s="124">
        <v>0</v>
      </c>
      <c r="G4" s="124">
        <v>1</v>
      </c>
      <c r="H4" s="124">
        <v>6</v>
      </c>
      <c r="I4" s="92">
        <v>0</v>
      </c>
      <c r="J4" s="92">
        <v>10</v>
      </c>
      <c r="K4" s="93">
        <f>C4+E4+G4</f>
        <v>44</v>
      </c>
      <c r="L4" s="94">
        <f>D4+F4+H4+J4</f>
        <v>16</v>
      </c>
    </row>
    <row r="5" spans="2:12" ht="30" customHeight="1">
      <c r="B5" s="95" t="s">
        <v>5</v>
      </c>
      <c r="C5" s="96">
        <v>40</v>
      </c>
      <c r="D5" s="97">
        <v>5</v>
      </c>
      <c r="E5" s="97">
        <v>0</v>
      </c>
      <c r="F5" s="97">
        <v>4</v>
      </c>
      <c r="G5" s="97">
        <v>0</v>
      </c>
      <c r="H5" s="98">
        <v>16</v>
      </c>
      <c r="I5" s="99">
        <v>0</v>
      </c>
      <c r="J5" s="99">
        <v>11</v>
      </c>
      <c r="K5" s="100">
        <f>C5+E5+G5</f>
        <v>40</v>
      </c>
      <c r="L5" s="101">
        <f>D5+F5+H5+J5</f>
        <v>36</v>
      </c>
    </row>
    <row r="6" spans="2:12" ht="30" customHeight="1">
      <c r="B6" s="102" t="s">
        <v>6</v>
      </c>
      <c r="C6" s="103">
        <v>0</v>
      </c>
      <c r="D6" s="104">
        <v>0</v>
      </c>
      <c r="E6" s="104">
        <v>0</v>
      </c>
      <c r="F6" s="104">
        <v>0</v>
      </c>
      <c r="G6" s="104">
        <v>0</v>
      </c>
      <c r="H6" s="105">
        <v>0</v>
      </c>
      <c r="I6" s="106">
        <v>0</v>
      </c>
      <c r="J6" s="106">
        <v>0</v>
      </c>
      <c r="K6" s="107">
        <f>C6+E6+G6+I6</f>
        <v>0</v>
      </c>
      <c r="L6" s="108">
        <v>0</v>
      </c>
    </row>
    <row r="7" spans="2:12" ht="30" customHeight="1">
      <c r="B7" s="109" t="s">
        <v>7</v>
      </c>
      <c r="C7" s="110">
        <v>0</v>
      </c>
      <c r="D7" s="111">
        <v>0</v>
      </c>
      <c r="E7" s="111">
        <v>11</v>
      </c>
      <c r="F7" s="111">
        <v>0</v>
      </c>
      <c r="G7" s="111">
        <v>0</v>
      </c>
      <c r="H7" s="112">
        <v>0</v>
      </c>
      <c r="I7" s="113">
        <v>0</v>
      </c>
      <c r="J7" s="113">
        <v>0</v>
      </c>
      <c r="K7" s="114">
        <f>C7+E7+G7</f>
        <v>11</v>
      </c>
      <c r="L7" s="115">
        <v>0</v>
      </c>
    </row>
    <row r="8" spans="2:12" ht="30" customHeight="1">
      <c r="B8" s="116" t="s">
        <v>8</v>
      </c>
      <c r="C8" s="117">
        <v>0</v>
      </c>
      <c r="D8" s="118">
        <v>0</v>
      </c>
      <c r="E8" s="118">
        <v>0</v>
      </c>
      <c r="F8" s="118">
        <v>0</v>
      </c>
      <c r="G8" s="118">
        <v>10</v>
      </c>
      <c r="H8" s="119">
        <v>0</v>
      </c>
      <c r="I8" s="120">
        <v>0</v>
      </c>
      <c r="J8" s="120">
        <v>0</v>
      </c>
      <c r="K8" s="121">
        <f>C8+E8+G8</f>
        <v>10</v>
      </c>
      <c r="L8" s="122">
        <v>0</v>
      </c>
    </row>
    <row r="9" spans="2:12" ht="30" customHeight="1">
      <c r="B9" s="68" t="s">
        <v>1</v>
      </c>
      <c r="C9" s="69">
        <f>C4+C5+C6+C7+C8</f>
        <v>78</v>
      </c>
      <c r="D9" s="69">
        <f>D4+D5+D6+D7+D8</f>
        <v>5</v>
      </c>
      <c r="E9" s="69">
        <f t="shared" ref="E9:H9" si="0">E4+E5+E6+E7+E8</f>
        <v>16</v>
      </c>
      <c r="F9" s="69">
        <f t="shared" si="0"/>
        <v>4</v>
      </c>
      <c r="G9" s="69">
        <f t="shared" si="0"/>
        <v>11</v>
      </c>
      <c r="H9" s="69">
        <f t="shared" si="0"/>
        <v>22</v>
      </c>
      <c r="I9" s="69">
        <v>0</v>
      </c>
      <c r="J9" s="69">
        <f>J4+J5+J6+J7+J8</f>
        <v>21</v>
      </c>
      <c r="K9" s="88">
        <f>K4+K5+K6+K7+K8</f>
        <v>105</v>
      </c>
      <c r="L9" s="89">
        <f>L4+L5+L6+L7+L8</f>
        <v>52</v>
      </c>
    </row>
    <row r="10" spans="2:12">
      <c r="B10" s="1"/>
      <c r="K10" s="2"/>
      <c r="L10" s="2"/>
    </row>
    <row r="11" spans="2:12">
      <c r="B11" s="1"/>
      <c r="K11" s="2"/>
      <c r="L11" s="2"/>
    </row>
    <row r="14" spans="2:12" ht="27" customHeight="1">
      <c r="B14" s="182" t="s">
        <v>9</v>
      </c>
      <c r="C14" s="183"/>
      <c r="D14" s="183"/>
      <c r="E14" s="183"/>
      <c r="F14" s="183"/>
      <c r="G14" s="183"/>
      <c r="H14" s="184"/>
      <c r="I14" s="62"/>
      <c r="J14" s="62"/>
    </row>
  </sheetData>
  <mergeCells count="7">
    <mergeCell ref="B2:B3"/>
    <mergeCell ref="K2:L2"/>
    <mergeCell ref="B14:H14"/>
    <mergeCell ref="C2:D2"/>
    <mergeCell ref="E2:F2"/>
    <mergeCell ref="G2:H2"/>
    <mergeCell ref="I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AQ41"/>
  <sheetViews>
    <sheetView workbookViewId="0">
      <pane ySplit="1" topLeftCell="A21" activePane="bottomLeft" state="frozen"/>
      <selection pane="bottomLeft" activeCell="C37" sqref="C37"/>
      <selection activeCell="I1" sqref="I1"/>
    </sheetView>
  </sheetViews>
  <sheetFormatPr defaultRowHeight="15"/>
  <cols>
    <col min="1" max="2" width="7.7109375" style="3" customWidth="1"/>
    <col min="3" max="3" width="26.28515625" style="3" customWidth="1"/>
    <col min="4" max="4" width="50.7109375" style="3" customWidth="1"/>
    <col min="5" max="5" width="20.28515625" style="3" customWidth="1"/>
    <col min="6" max="6" width="23.5703125" style="3" customWidth="1"/>
    <col min="7" max="8" width="20.7109375" style="4" customWidth="1"/>
    <col min="9" max="9" width="9.28515625" style="3" customWidth="1"/>
    <col min="10" max="10" width="23.85546875" style="4" customWidth="1"/>
    <col min="11" max="12" width="21.85546875" style="3" customWidth="1"/>
    <col min="13" max="13" width="20.42578125" style="3" customWidth="1"/>
    <col min="14" max="14" width="21.85546875" style="3" customWidth="1"/>
    <col min="15" max="15" width="23.5703125" style="3" customWidth="1"/>
    <col min="16" max="16384" width="9.140625" style="3"/>
  </cols>
  <sheetData>
    <row r="1" spans="1:43" ht="24.95" customHeight="1">
      <c r="A1" s="7" t="s">
        <v>10</v>
      </c>
      <c r="B1" s="7" t="s">
        <v>11</v>
      </c>
      <c r="C1" s="7" t="s">
        <v>12</v>
      </c>
      <c r="D1" s="7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36" t="s">
        <v>19</v>
      </c>
      <c r="K1" s="36" t="s">
        <v>20</v>
      </c>
      <c r="L1" s="36" t="s">
        <v>21</v>
      </c>
      <c r="M1" s="36" t="s">
        <v>22</v>
      </c>
      <c r="N1" s="36" t="s">
        <v>23</v>
      </c>
      <c r="O1" s="36" t="s">
        <v>1</v>
      </c>
    </row>
    <row r="2" spans="1:43" s="5" customFormat="1" ht="20.100000000000001" hidden="1" customHeight="1">
      <c r="A2" s="6">
        <v>1</v>
      </c>
      <c r="B2" s="6" t="s">
        <v>24</v>
      </c>
      <c r="C2" s="9" t="s">
        <v>25</v>
      </c>
      <c r="D2" s="9" t="s">
        <v>26</v>
      </c>
      <c r="E2" s="81">
        <v>44931</v>
      </c>
      <c r="F2" s="10" t="s">
        <v>27</v>
      </c>
      <c r="G2" s="14">
        <v>44958</v>
      </c>
      <c r="H2" s="81">
        <v>44931</v>
      </c>
      <c r="I2" s="38" t="s">
        <v>28</v>
      </c>
      <c r="J2" s="56" t="s">
        <v>29</v>
      </c>
      <c r="K2" s="126" t="s">
        <v>30</v>
      </c>
      <c r="L2" s="127" t="s">
        <v>30</v>
      </c>
      <c r="M2" s="126" t="s">
        <v>30</v>
      </c>
      <c r="N2" s="126" t="s">
        <v>31</v>
      </c>
      <c r="O2" s="126" t="s">
        <v>31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7"/>
    </row>
    <row r="3" spans="1:43" s="5" customFormat="1" ht="20.100000000000001" hidden="1" customHeight="1">
      <c r="A3" s="6">
        <v>2</v>
      </c>
      <c r="B3" s="6" t="s">
        <v>32</v>
      </c>
      <c r="C3" s="11" t="s">
        <v>33</v>
      </c>
      <c r="D3" s="11" t="s">
        <v>34</v>
      </c>
      <c r="E3" s="81">
        <v>45005</v>
      </c>
      <c r="F3" s="10" t="s">
        <v>27</v>
      </c>
      <c r="G3" s="14">
        <v>45017</v>
      </c>
      <c r="H3" s="81">
        <v>45005</v>
      </c>
      <c r="I3" s="38" t="s">
        <v>28</v>
      </c>
      <c r="J3" s="56" t="s">
        <v>29</v>
      </c>
      <c r="K3" s="126" t="s">
        <v>30</v>
      </c>
      <c r="L3" s="127" t="s">
        <v>30</v>
      </c>
      <c r="M3" s="126" t="s">
        <v>30</v>
      </c>
      <c r="N3" s="126" t="s">
        <v>35</v>
      </c>
      <c r="O3" s="126" t="s">
        <v>35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7"/>
    </row>
    <row r="4" spans="1:43" s="5" customFormat="1" ht="20.100000000000001" hidden="1" customHeight="1">
      <c r="A4" s="6">
        <v>3</v>
      </c>
      <c r="B4" s="6" t="s">
        <v>36</v>
      </c>
      <c r="C4" s="9" t="s">
        <v>37</v>
      </c>
      <c r="D4" s="9" t="s">
        <v>38</v>
      </c>
      <c r="E4" s="81">
        <v>45022</v>
      </c>
      <c r="F4" s="10" t="s">
        <v>27</v>
      </c>
      <c r="G4" s="14">
        <v>45047</v>
      </c>
      <c r="H4" s="81">
        <v>45022</v>
      </c>
      <c r="I4" s="38" t="s">
        <v>28</v>
      </c>
      <c r="J4" s="56" t="s">
        <v>29</v>
      </c>
      <c r="K4" s="126" t="s">
        <v>30</v>
      </c>
      <c r="L4" s="127" t="s">
        <v>30</v>
      </c>
      <c r="M4" s="126" t="s">
        <v>30</v>
      </c>
      <c r="N4" s="126" t="s">
        <v>39</v>
      </c>
      <c r="O4" s="126" t="s">
        <v>39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7"/>
    </row>
    <row r="5" spans="1:43" s="5" customFormat="1" ht="20.100000000000001" hidden="1" customHeight="1">
      <c r="A5" s="6">
        <v>4</v>
      </c>
      <c r="B5" s="6" t="s">
        <v>40</v>
      </c>
      <c r="C5" s="9" t="s">
        <v>41</v>
      </c>
      <c r="D5" s="9" t="s">
        <v>42</v>
      </c>
      <c r="E5" s="81">
        <v>45069</v>
      </c>
      <c r="F5" s="10" t="s">
        <v>27</v>
      </c>
      <c r="G5" s="14">
        <v>45078</v>
      </c>
      <c r="H5" s="81">
        <v>45069</v>
      </c>
      <c r="I5" s="38" t="s">
        <v>28</v>
      </c>
      <c r="J5" s="56" t="s">
        <v>29</v>
      </c>
      <c r="K5" s="126" t="s">
        <v>43</v>
      </c>
      <c r="L5" s="126" t="s">
        <v>44</v>
      </c>
      <c r="M5" s="126" t="s">
        <v>45</v>
      </c>
      <c r="N5" s="126" t="s">
        <v>46</v>
      </c>
      <c r="O5" s="126" t="s">
        <v>47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7"/>
    </row>
    <row r="6" spans="1:43" s="5" customFormat="1" ht="20.100000000000001" hidden="1" customHeight="1">
      <c r="A6" s="6">
        <v>5</v>
      </c>
      <c r="B6" s="6" t="s">
        <v>48</v>
      </c>
      <c r="C6" s="11" t="s">
        <v>49</v>
      </c>
      <c r="D6" s="11" t="s">
        <v>50</v>
      </c>
      <c r="E6" s="81">
        <v>45218</v>
      </c>
      <c r="F6" s="10" t="s">
        <v>27</v>
      </c>
      <c r="G6" s="14">
        <v>45231</v>
      </c>
      <c r="H6" s="81">
        <v>45218</v>
      </c>
      <c r="I6" s="38" t="s">
        <v>28</v>
      </c>
      <c r="J6" s="56" t="s">
        <v>29</v>
      </c>
      <c r="K6" s="126" t="s">
        <v>43</v>
      </c>
      <c r="L6" s="126" t="s">
        <v>51</v>
      </c>
      <c r="M6" s="126" t="s">
        <v>52</v>
      </c>
      <c r="N6" s="126" t="s">
        <v>53</v>
      </c>
      <c r="O6" s="126" t="s">
        <v>54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7"/>
    </row>
    <row r="7" spans="1:43" s="5" customFormat="1" ht="20.100000000000001" hidden="1" customHeight="1">
      <c r="A7" s="6">
        <v>6</v>
      </c>
      <c r="B7" s="6" t="s">
        <v>55</v>
      </c>
      <c r="C7" s="11" t="s">
        <v>56</v>
      </c>
      <c r="D7" s="11" t="s">
        <v>57</v>
      </c>
      <c r="E7" s="81">
        <v>45301</v>
      </c>
      <c r="F7" s="10" t="s">
        <v>27</v>
      </c>
      <c r="G7" s="14">
        <v>45323</v>
      </c>
      <c r="H7" s="82">
        <v>45506</v>
      </c>
      <c r="I7" s="38" t="s">
        <v>58</v>
      </c>
      <c r="J7" s="56" t="s">
        <v>29</v>
      </c>
      <c r="K7" s="126" t="s">
        <v>59</v>
      </c>
      <c r="L7" s="127" t="s">
        <v>60</v>
      </c>
      <c r="M7" s="126" t="s">
        <v>61</v>
      </c>
      <c r="N7" s="126" t="s">
        <v>62</v>
      </c>
      <c r="O7" s="126" t="s">
        <v>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7"/>
    </row>
    <row r="8" spans="1:43" s="5" customFormat="1" ht="20.100000000000001" hidden="1" customHeight="1">
      <c r="A8" s="6">
        <v>7</v>
      </c>
      <c r="B8" s="6" t="s">
        <v>64</v>
      </c>
      <c r="C8" s="11" t="s">
        <v>65</v>
      </c>
      <c r="D8" s="11" t="s">
        <v>66</v>
      </c>
      <c r="E8" s="81">
        <v>45371</v>
      </c>
      <c r="F8" s="10" t="s">
        <v>27</v>
      </c>
      <c r="G8" s="14">
        <v>45383</v>
      </c>
      <c r="H8" s="81">
        <v>45371</v>
      </c>
      <c r="I8" s="38" t="s">
        <v>28</v>
      </c>
      <c r="J8" s="56" t="s">
        <v>29</v>
      </c>
      <c r="K8" s="126" t="s">
        <v>30</v>
      </c>
      <c r="L8" s="127" t="s">
        <v>30</v>
      </c>
      <c r="M8" s="126" t="s">
        <v>30</v>
      </c>
      <c r="N8" s="126" t="s">
        <v>67</v>
      </c>
      <c r="O8" s="126" t="s">
        <v>67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7"/>
    </row>
    <row r="9" spans="1:43" s="5" customFormat="1" ht="20.100000000000001" hidden="1" customHeight="1">
      <c r="A9" s="6">
        <v>8</v>
      </c>
      <c r="B9" s="6" t="s">
        <v>55</v>
      </c>
      <c r="C9" s="11" t="s">
        <v>68</v>
      </c>
      <c r="D9" s="11" t="s">
        <v>69</v>
      </c>
      <c r="E9" s="81">
        <v>45687</v>
      </c>
      <c r="F9" s="10" t="s">
        <v>27</v>
      </c>
      <c r="G9" s="14">
        <v>45505</v>
      </c>
      <c r="H9" s="81">
        <v>45520</v>
      </c>
      <c r="I9" s="38" t="s">
        <v>58</v>
      </c>
      <c r="J9" s="56" t="s">
        <v>29</v>
      </c>
      <c r="K9" s="126" t="s">
        <v>30</v>
      </c>
      <c r="L9" s="127" t="s">
        <v>30</v>
      </c>
      <c r="M9" s="126" t="s">
        <v>30</v>
      </c>
      <c r="N9" s="126" t="s">
        <v>70</v>
      </c>
      <c r="O9" s="126" t="s">
        <v>70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7"/>
    </row>
    <row r="10" spans="1:43" s="5" customFormat="1" ht="20.100000000000001" hidden="1" customHeight="1">
      <c r="A10" s="6">
        <v>9</v>
      </c>
      <c r="B10" s="6" t="s">
        <v>71</v>
      </c>
      <c r="C10" s="11" t="s">
        <v>72</v>
      </c>
      <c r="D10" s="11" t="s">
        <v>73</v>
      </c>
      <c r="E10" s="81">
        <v>45391</v>
      </c>
      <c r="F10" s="10" t="s">
        <v>27</v>
      </c>
      <c r="G10" s="14">
        <v>45505</v>
      </c>
      <c r="H10" s="82">
        <v>45524</v>
      </c>
      <c r="I10" s="38" t="s">
        <v>58</v>
      </c>
      <c r="J10" s="56" t="s">
        <v>29</v>
      </c>
      <c r="K10" s="126" t="s">
        <v>74</v>
      </c>
      <c r="L10" s="127" t="s">
        <v>75</v>
      </c>
      <c r="M10" s="126" t="s">
        <v>76</v>
      </c>
      <c r="N10" s="126" t="s">
        <v>77</v>
      </c>
      <c r="O10" s="126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7"/>
    </row>
    <row r="11" spans="1:43" s="5" customFormat="1" ht="20.100000000000001" hidden="1" customHeight="1">
      <c r="A11" s="6">
        <v>10</v>
      </c>
      <c r="B11" s="6" t="s">
        <v>71</v>
      </c>
      <c r="C11" s="11" t="s">
        <v>79</v>
      </c>
      <c r="D11" s="11" t="s">
        <v>80</v>
      </c>
      <c r="E11" s="81">
        <v>45660</v>
      </c>
      <c r="F11" s="10" t="s">
        <v>27</v>
      </c>
      <c r="G11" s="14">
        <v>45689</v>
      </c>
      <c r="H11" s="82">
        <v>45702</v>
      </c>
      <c r="I11" s="38" t="s">
        <v>58</v>
      </c>
      <c r="J11" s="56" t="s">
        <v>29</v>
      </c>
      <c r="K11" s="126" t="s">
        <v>81</v>
      </c>
      <c r="L11" s="127" t="s">
        <v>82</v>
      </c>
      <c r="M11" s="126" t="s">
        <v>83</v>
      </c>
      <c r="N11" s="126" t="s">
        <v>84</v>
      </c>
      <c r="O11" s="126" t="s">
        <v>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7"/>
    </row>
    <row r="12" spans="1:43" s="5" customFormat="1" ht="20.100000000000001" hidden="1" customHeight="1">
      <c r="A12" s="6">
        <v>13</v>
      </c>
      <c r="B12" s="6" t="s">
        <v>71</v>
      </c>
      <c r="C12" s="11" t="s">
        <v>86</v>
      </c>
      <c r="D12" s="11" t="s">
        <v>87</v>
      </c>
      <c r="E12" s="81">
        <v>45710</v>
      </c>
      <c r="F12" s="10" t="s">
        <v>27</v>
      </c>
      <c r="G12" s="14">
        <v>45778</v>
      </c>
      <c r="H12" s="82">
        <v>45807</v>
      </c>
      <c r="I12" s="38" t="s">
        <v>58</v>
      </c>
      <c r="J12" s="56" t="s">
        <v>29</v>
      </c>
      <c r="K12" s="126" t="s">
        <v>59</v>
      </c>
      <c r="L12" s="127" t="s">
        <v>88</v>
      </c>
      <c r="M12" s="126" t="s">
        <v>89</v>
      </c>
      <c r="N12" s="126" t="s">
        <v>77</v>
      </c>
      <c r="O12" s="126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7"/>
    </row>
    <row r="13" spans="1:43" s="5" customFormat="1" ht="20.100000000000001" hidden="1" customHeight="1">
      <c r="A13" s="6">
        <v>11</v>
      </c>
      <c r="B13" s="6" t="s">
        <v>24</v>
      </c>
      <c r="C13" s="11" t="s">
        <v>25</v>
      </c>
      <c r="D13" s="11" t="s">
        <v>91</v>
      </c>
      <c r="E13" s="81">
        <v>45603</v>
      </c>
      <c r="F13" s="10" t="s">
        <v>27</v>
      </c>
      <c r="G13" s="14">
        <v>45778</v>
      </c>
      <c r="H13" s="82">
        <v>45807</v>
      </c>
      <c r="I13" s="38" t="s">
        <v>58</v>
      </c>
      <c r="J13" s="56" t="s">
        <v>29</v>
      </c>
      <c r="K13" s="126" t="s">
        <v>81</v>
      </c>
      <c r="L13" s="127" t="s">
        <v>92</v>
      </c>
      <c r="M13" s="126" t="s">
        <v>93</v>
      </c>
      <c r="N13" s="126" t="s">
        <v>84</v>
      </c>
      <c r="O13" s="126" t="s">
        <v>94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7"/>
    </row>
    <row r="14" spans="1:43" s="5" customFormat="1" ht="20.100000000000001" hidden="1" customHeight="1">
      <c r="A14" s="6">
        <v>14</v>
      </c>
      <c r="B14" s="6" t="s">
        <v>95</v>
      </c>
      <c r="C14" s="11" t="s">
        <v>96</v>
      </c>
      <c r="D14" s="11" t="s">
        <v>97</v>
      </c>
      <c r="E14" s="81">
        <v>45772</v>
      </c>
      <c r="F14" s="10" t="s">
        <v>27</v>
      </c>
      <c r="G14" s="14">
        <v>45778</v>
      </c>
      <c r="H14" s="82">
        <v>45807</v>
      </c>
      <c r="I14" s="38" t="s">
        <v>58</v>
      </c>
      <c r="J14" s="56" t="s">
        <v>29</v>
      </c>
      <c r="K14" s="126" t="s">
        <v>81</v>
      </c>
      <c r="L14" s="127" t="s">
        <v>98</v>
      </c>
      <c r="M14" s="126" t="s">
        <v>99</v>
      </c>
      <c r="N14" s="126" t="s">
        <v>100</v>
      </c>
      <c r="O14" s="126" t="s">
        <v>101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7"/>
    </row>
    <row r="15" spans="1:43" s="5" customFormat="1" ht="20.100000000000001" hidden="1" customHeight="1">
      <c r="A15" s="6">
        <v>12</v>
      </c>
      <c r="B15" s="6" t="s">
        <v>71</v>
      </c>
      <c r="C15" s="11" t="s">
        <v>102</v>
      </c>
      <c r="D15" s="11" t="s">
        <v>103</v>
      </c>
      <c r="E15" s="81">
        <v>45679</v>
      </c>
      <c r="F15" s="10" t="s">
        <v>27</v>
      </c>
      <c r="G15" s="14">
        <v>45778</v>
      </c>
      <c r="H15" s="82">
        <v>45807</v>
      </c>
      <c r="I15" s="38" t="s">
        <v>58</v>
      </c>
      <c r="J15" s="56" t="s">
        <v>29</v>
      </c>
      <c r="K15" s="126" t="s">
        <v>81</v>
      </c>
      <c r="L15" s="127" t="s">
        <v>104</v>
      </c>
      <c r="M15" s="126" t="s">
        <v>105</v>
      </c>
      <c r="N15" s="126" t="s">
        <v>106</v>
      </c>
      <c r="O15" s="126" t="s">
        <v>107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7"/>
    </row>
    <row r="16" spans="1:43" s="5" customFormat="1" ht="20.100000000000001" hidden="1" customHeight="1">
      <c r="A16" s="6">
        <v>15</v>
      </c>
      <c r="B16" s="6" t="s">
        <v>48</v>
      </c>
      <c r="C16" s="11" t="s">
        <v>49</v>
      </c>
      <c r="D16" s="11" t="s">
        <v>108</v>
      </c>
      <c r="E16" s="81">
        <v>45832</v>
      </c>
      <c r="F16" s="10" t="s">
        <v>27</v>
      </c>
      <c r="G16" s="14">
        <v>45839</v>
      </c>
      <c r="H16" s="82">
        <v>45856</v>
      </c>
      <c r="I16" s="38" t="s">
        <v>58</v>
      </c>
      <c r="J16" s="56" t="s">
        <v>29</v>
      </c>
      <c r="K16" s="126" t="s">
        <v>74</v>
      </c>
      <c r="L16" s="127" t="s">
        <v>109</v>
      </c>
      <c r="M16" s="126" t="s">
        <v>110</v>
      </c>
      <c r="N16" s="126" t="s">
        <v>111</v>
      </c>
      <c r="O16" s="126" t="s">
        <v>112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7"/>
    </row>
    <row r="17" spans="1:43" s="5" customFormat="1" ht="20.100000000000001" hidden="1" customHeight="1">
      <c r="A17" s="6">
        <v>16</v>
      </c>
      <c r="B17" s="6" t="s">
        <v>71</v>
      </c>
      <c r="C17" s="11" t="s">
        <v>113</v>
      </c>
      <c r="D17" s="11" t="s">
        <v>114</v>
      </c>
      <c r="E17" s="81">
        <v>45832</v>
      </c>
      <c r="F17" s="10" t="s">
        <v>27</v>
      </c>
      <c r="G17" s="14">
        <v>45839</v>
      </c>
      <c r="H17" s="82">
        <v>45856</v>
      </c>
      <c r="I17" s="38" t="s">
        <v>58</v>
      </c>
      <c r="J17" s="56" t="s">
        <v>29</v>
      </c>
      <c r="K17" s="126" t="s">
        <v>81</v>
      </c>
      <c r="L17" s="127" t="s">
        <v>115</v>
      </c>
      <c r="M17" s="126" t="s">
        <v>116</v>
      </c>
      <c r="N17" s="126" t="s">
        <v>70</v>
      </c>
      <c r="O17" s="126" t="s">
        <v>117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7"/>
    </row>
    <row r="18" spans="1:43" s="5" customFormat="1" ht="20.100000000000001" hidden="1" customHeight="1">
      <c r="A18" s="6">
        <v>17</v>
      </c>
      <c r="B18" s="6" t="s">
        <v>95</v>
      </c>
      <c r="C18" s="11" t="s">
        <v>118</v>
      </c>
      <c r="D18" s="11" t="s">
        <v>119</v>
      </c>
      <c r="E18" s="86">
        <v>45832</v>
      </c>
      <c r="F18" s="10" t="s">
        <v>27</v>
      </c>
      <c r="G18" s="14">
        <v>45839</v>
      </c>
      <c r="H18" s="82">
        <v>45856</v>
      </c>
      <c r="I18" s="38" t="s">
        <v>58</v>
      </c>
      <c r="J18" s="56" t="s">
        <v>29</v>
      </c>
      <c r="K18" s="126" t="s">
        <v>81</v>
      </c>
      <c r="L18" s="127" t="s">
        <v>120</v>
      </c>
      <c r="M18" s="126" t="s">
        <v>121</v>
      </c>
      <c r="N18" s="126" t="s">
        <v>70</v>
      </c>
      <c r="O18" s="126" t="s">
        <v>122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7"/>
    </row>
    <row r="19" spans="1:43" s="5" customFormat="1" ht="20.100000000000001" hidden="1" customHeight="1">
      <c r="A19" s="6">
        <v>18</v>
      </c>
      <c r="B19" s="6" t="s">
        <v>71</v>
      </c>
      <c r="C19" s="11" t="s">
        <v>123</v>
      </c>
      <c r="D19" s="11" t="s">
        <v>124</v>
      </c>
      <c r="E19" s="81">
        <v>45912</v>
      </c>
      <c r="F19" s="10" t="s">
        <v>27</v>
      </c>
      <c r="G19" s="14">
        <v>45931</v>
      </c>
      <c r="H19" s="82">
        <v>45954</v>
      </c>
      <c r="I19" s="38" t="s">
        <v>58</v>
      </c>
      <c r="J19" s="56" t="s">
        <v>29</v>
      </c>
      <c r="K19" s="126" t="s">
        <v>81</v>
      </c>
      <c r="L19" s="127" t="s">
        <v>125</v>
      </c>
      <c r="M19" s="126" t="s">
        <v>126</v>
      </c>
      <c r="N19" s="126" t="s">
        <v>127</v>
      </c>
      <c r="O19" s="126" t="s">
        <v>128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7"/>
    </row>
    <row r="20" spans="1:43" s="5" customFormat="1" ht="20.100000000000001" hidden="1" customHeight="1">
      <c r="A20" s="6">
        <v>19</v>
      </c>
      <c r="B20" s="6" t="s">
        <v>32</v>
      </c>
      <c r="C20" s="11" t="s">
        <v>129</v>
      </c>
      <c r="D20" s="11" t="s">
        <v>130</v>
      </c>
      <c r="E20" s="81">
        <v>46006</v>
      </c>
      <c r="F20" s="10" t="s">
        <v>27</v>
      </c>
      <c r="G20" s="14">
        <v>45962</v>
      </c>
      <c r="H20" s="82">
        <v>45989</v>
      </c>
      <c r="I20" s="38" t="s">
        <v>58</v>
      </c>
      <c r="J20" s="56" t="s">
        <v>29</v>
      </c>
      <c r="K20" s="126" t="s">
        <v>74</v>
      </c>
      <c r="L20" s="127" t="s">
        <v>131</v>
      </c>
      <c r="M20" s="126" t="s">
        <v>132</v>
      </c>
      <c r="N20" s="126" t="s">
        <v>133</v>
      </c>
      <c r="O20" s="126" t="s">
        <v>134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7"/>
    </row>
    <row r="21" spans="1:43" s="5" customFormat="1" ht="20.100000000000001" hidden="1" customHeight="1">
      <c r="A21" s="6">
        <v>25</v>
      </c>
      <c r="B21" s="6" t="s">
        <v>135</v>
      </c>
      <c r="C21" s="11" t="s">
        <v>136</v>
      </c>
      <c r="D21" s="11" t="s">
        <v>137</v>
      </c>
      <c r="E21" s="81">
        <v>45995</v>
      </c>
      <c r="F21" s="10" t="s">
        <v>27</v>
      </c>
      <c r="G21" s="14">
        <v>45992</v>
      </c>
      <c r="H21" s="82">
        <v>45973</v>
      </c>
      <c r="I21" s="38" t="s">
        <v>58</v>
      </c>
      <c r="J21" s="56" t="s">
        <v>29</v>
      </c>
      <c r="K21" s="126" t="s">
        <v>81</v>
      </c>
      <c r="L21" s="127" t="s">
        <v>138</v>
      </c>
      <c r="M21" s="126" t="s">
        <v>139</v>
      </c>
      <c r="N21" s="126" t="s">
        <v>100</v>
      </c>
      <c r="O21" s="126" t="s">
        <v>140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7"/>
    </row>
    <row r="22" spans="1:43" s="5" customFormat="1" ht="20.100000000000001" hidden="1" customHeight="1">
      <c r="A22" s="6">
        <v>20</v>
      </c>
      <c r="B22" s="6" t="s">
        <v>71</v>
      </c>
      <c r="C22" s="11" t="s">
        <v>79</v>
      </c>
      <c r="D22" s="11" t="s">
        <v>141</v>
      </c>
      <c r="E22" s="81">
        <v>45854</v>
      </c>
      <c r="F22" s="10" t="s">
        <v>27</v>
      </c>
      <c r="G22" s="14">
        <v>45992</v>
      </c>
      <c r="H22" s="82">
        <v>45973</v>
      </c>
      <c r="I22" s="38" t="s">
        <v>58</v>
      </c>
      <c r="J22" s="56" t="s">
        <v>29</v>
      </c>
      <c r="K22" s="126" t="s">
        <v>81</v>
      </c>
      <c r="L22" s="127" t="s">
        <v>142</v>
      </c>
      <c r="M22" s="126" t="s">
        <v>143</v>
      </c>
      <c r="N22" s="126" t="s">
        <v>127</v>
      </c>
      <c r="O22" s="126" t="s">
        <v>144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7"/>
    </row>
    <row r="23" spans="1:43" s="5" customFormat="1" ht="20.100000000000001" hidden="1" customHeight="1">
      <c r="A23" s="6">
        <v>21</v>
      </c>
      <c r="B23" s="6" t="s">
        <v>36</v>
      </c>
      <c r="C23" s="11" t="s">
        <v>145</v>
      </c>
      <c r="D23" s="11" t="s">
        <v>146</v>
      </c>
      <c r="E23" s="81">
        <v>45874</v>
      </c>
      <c r="F23" s="10" t="s">
        <v>27</v>
      </c>
      <c r="G23" s="14">
        <v>45992</v>
      </c>
      <c r="H23" s="82">
        <v>45973</v>
      </c>
      <c r="I23" s="38" t="s">
        <v>58</v>
      </c>
      <c r="J23" s="56" t="s">
        <v>29</v>
      </c>
      <c r="K23" s="126" t="s">
        <v>81</v>
      </c>
      <c r="L23" s="127" t="s">
        <v>147</v>
      </c>
      <c r="M23" s="126" t="s">
        <v>148</v>
      </c>
      <c r="N23" s="126" t="s">
        <v>70</v>
      </c>
      <c r="O23" s="126" t="s">
        <v>149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7"/>
    </row>
    <row r="24" spans="1:43" s="5" customFormat="1" ht="20.100000000000001" hidden="1" customHeight="1">
      <c r="A24" s="6">
        <v>22</v>
      </c>
      <c r="B24" s="6" t="s">
        <v>150</v>
      </c>
      <c r="C24" s="11" t="s">
        <v>151</v>
      </c>
      <c r="D24" s="11" t="s">
        <v>152</v>
      </c>
      <c r="E24" s="81">
        <v>45972</v>
      </c>
      <c r="F24" s="10" t="s">
        <v>27</v>
      </c>
      <c r="G24" s="14">
        <v>45992</v>
      </c>
      <c r="H24" s="82">
        <v>45973</v>
      </c>
      <c r="I24" s="38" t="s">
        <v>58</v>
      </c>
      <c r="J24" s="56" t="s">
        <v>29</v>
      </c>
      <c r="K24" s="126" t="s">
        <v>74</v>
      </c>
      <c r="L24" s="127" t="s">
        <v>153</v>
      </c>
      <c r="M24" s="126" t="s">
        <v>154</v>
      </c>
      <c r="N24" s="126" t="s">
        <v>155</v>
      </c>
      <c r="O24" s="126" t="s">
        <v>156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7"/>
    </row>
    <row r="25" spans="1:43" s="5" customFormat="1" ht="20.100000000000001" hidden="1" customHeight="1">
      <c r="A25" s="6">
        <v>23</v>
      </c>
      <c r="B25" s="6" t="s">
        <v>157</v>
      </c>
      <c r="C25" s="11" t="s">
        <v>158</v>
      </c>
      <c r="D25" s="11" t="s">
        <v>159</v>
      </c>
      <c r="E25" s="81">
        <v>45989</v>
      </c>
      <c r="F25" s="10" t="s">
        <v>27</v>
      </c>
      <c r="G25" s="14">
        <v>45992</v>
      </c>
      <c r="H25" s="82">
        <v>45973</v>
      </c>
      <c r="I25" s="38" t="s">
        <v>58</v>
      </c>
      <c r="J25" s="56" t="s">
        <v>29</v>
      </c>
      <c r="K25" s="126" t="s">
        <v>43</v>
      </c>
      <c r="L25" s="127" t="s">
        <v>160</v>
      </c>
      <c r="M25" s="126" t="s">
        <v>161</v>
      </c>
      <c r="N25" s="126" t="s">
        <v>162</v>
      </c>
      <c r="O25" s="126" t="s">
        <v>163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7"/>
    </row>
    <row r="26" spans="1:43" s="5" customFormat="1" ht="20.100000000000001" hidden="1" customHeight="1">
      <c r="A26" s="6">
        <v>24</v>
      </c>
      <c r="B26" s="6" t="s">
        <v>164</v>
      </c>
      <c r="C26" s="11" t="s">
        <v>165</v>
      </c>
      <c r="D26" s="11" t="s">
        <v>166</v>
      </c>
      <c r="E26" s="81">
        <v>45992</v>
      </c>
      <c r="F26" s="10" t="s">
        <v>27</v>
      </c>
      <c r="G26" s="14">
        <v>45992</v>
      </c>
      <c r="H26" s="83">
        <v>45996</v>
      </c>
      <c r="I26" s="38" t="s">
        <v>58</v>
      </c>
      <c r="J26" s="56" t="s">
        <v>29</v>
      </c>
      <c r="K26" s="126" t="s">
        <v>81</v>
      </c>
      <c r="L26" s="127" t="s">
        <v>167</v>
      </c>
      <c r="M26" s="126" t="s">
        <v>168</v>
      </c>
      <c r="N26" s="126" t="s">
        <v>169</v>
      </c>
      <c r="O26" s="126" t="s">
        <v>170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7"/>
    </row>
    <row r="27" spans="1:43" s="5" customFormat="1" ht="20.100000000000001" hidden="1" customHeight="1">
      <c r="A27" s="6">
        <v>26</v>
      </c>
      <c r="B27" s="6" t="s">
        <v>135</v>
      </c>
      <c r="C27" s="12" t="s">
        <v>171</v>
      </c>
      <c r="D27" s="12" t="s">
        <v>172</v>
      </c>
      <c r="E27" s="81">
        <v>45995</v>
      </c>
      <c r="F27" s="10" t="s">
        <v>27</v>
      </c>
      <c r="G27" s="14">
        <v>46082</v>
      </c>
      <c r="H27" s="83">
        <v>46087</v>
      </c>
      <c r="I27" s="44" t="s">
        <v>58</v>
      </c>
      <c r="J27" s="56" t="s">
        <v>29</v>
      </c>
      <c r="K27" s="126" t="s">
        <v>81</v>
      </c>
      <c r="L27" s="127" t="s">
        <v>173</v>
      </c>
      <c r="M27" s="126" t="s">
        <v>174</v>
      </c>
      <c r="N27" s="126" t="s">
        <v>175</v>
      </c>
      <c r="O27" s="126" t="s">
        <v>176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7"/>
    </row>
    <row r="28" spans="1:43" s="5" customFormat="1" ht="20.100000000000001" hidden="1" customHeight="1">
      <c r="A28" s="6">
        <v>27</v>
      </c>
      <c r="B28" s="6" t="s">
        <v>177</v>
      </c>
      <c r="C28" s="11" t="s">
        <v>178</v>
      </c>
      <c r="D28" s="11" t="s">
        <v>179</v>
      </c>
      <c r="E28" s="81">
        <v>46073</v>
      </c>
      <c r="F28" s="10" t="s">
        <v>27</v>
      </c>
      <c r="G28" s="39">
        <v>46113</v>
      </c>
      <c r="H28" s="83">
        <v>46114</v>
      </c>
      <c r="I28" s="44" t="s">
        <v>58</v>
      </c>
      <c r="J28" s="56" t="s">
        <v>29</v>
      </c>
      <c r="K28" s="126" t="s">
        <v>81</v>
      </c>
      <c r="L28" s="127" t="s">
        <v>180</v>
      </c>
      <c r="M28" s="126" t="s">
        <v>181</v>
      </c>
      <c r="N28" s="126" t="s">
        <v>182</v>
      </c>
      <c r="O28" s="126" t="s">
        <v>183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7"/>
    </row>
    <row r="29" spans="1:43" s="5" customFormat="1" ht="20.100000000000001" hidden="1" customHeight="1">
      <c r="A29" s="6">
        <v>30</v>
      </c>
      <c r="B29" s="6" t="s">
        <v>32</v>
      </c>
      <c r="C29" s="11" t="s">
        <v>184</v>
      </c>
      <c r="D29" s="11" t="s">
        <v>185</v>
      </c>
      <c r="E29" s="87" t="s">
        <v>186</v>
      </c>
      <c r="F29" s="10" t="s">
        <v>27</v>
      </c>
      <c r="G29" s="39">
        <v>46113</v>
      </c>
      <c r="H29" s="83">
        <v>46119</v>
      </c>
      <c r="I29" s="44" t="s">
        <v>58</v>
      </c>
      <c r="J29" s="56" t="s">
        <v>29</v>
      </c>
      <c r="K29" s="126" t="s">
        <v>74</v>
      </c>
      <c r="L29" s="127" t="s">
        <v>187</v>
      </c>
      <c r="M29" s="126" t="s">
        <v>188</v>
      </c>
      <c r="N29" s="126" t="s">
        <v>84</v>
      </c>
      <c r="O29" s="126" t="s">
        <v>189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7"/>
    </row>
    <row r="30" spans="1:43" s="5" customFormat="1" ht="20.100000000000001" hidden="1" customHeight="1">
      <c r="A30" s="6">
        <v>29</v>
      </c>
      <c r="B30" s="6" t="s">
        <v>71</v>
      </c>
      <c r="C30" s="12" t="s">
        <v>190</v>
      </c>
      <c r="D30" s="12" t="s">
        <v>191</v>
      </c>
      <c r="E30" s="81">
        <v>46027</v>
      </c>
      <c r="F30" s="10" t="s">
        <v>27</v>
      </c>
      <c r="G30" s="39">
        <v>46113</v>
      </c>
      <c r="H30" s="84">
        <v>46139</v>
      </c>
      <c r="I30" s="44" t="s">
        <v>58</v>
      </c>
      <c r="J30" s="56" t="s">
        <v>29</v>
      </c>
      <c r="K30" s="126" t="s">
        <v>192</v>
      </c>
      <c r="L30" s="127" t="s">
        <v>193</v>
      </c>
      <c r="M30" s="126" t="s">
        <v>194</v>
      </c>
      <c r="N30" s="126" t="s">
        <v>100</v>
      </c>
      <c r="O30" s="126" t="s">
        <v>195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7"/>
    </row>
    <row r="31" spans="1:43" s="5" customFormat="1" ht="20.100000000000001" hidden="1" customHeight="1">
      <c r="A31" s="6">
        <v>31</v>
      </c>
      <c r="B31" s="6" t="s">
        <v>157</v>
      </c>
      <c r="C31" s="11" t="s">
        <v>196</v>
      </c>
      <c r="D31" s="11" t="s">
        <v>197</v>
      </c>
      <c r="E31" s="81">
        <v>46128</v>
      </c>
      <c r="F31" s="10" t="s">
        <v>27</v>
      </c>
      <c r="G31" s="39">
        <v>46113</v>
      </c>
      <c r="H31" s="84">
        <v>46139</v>
      </c>
      <c r="I31" s="44" t="s">
        <v>58</v>
      </c>
      <c r="J31" s="56" t="s">
        <v>29</v>
      </c>
      <c r="K31" s="126" t="s">
        <v>81</v>
      </c>
      <c r="L31" s="127" t="s">
        <v>198</v>
      </c>
      <c r="M31" s="126" t="s">
        <v>199</v>
      </c>
      <c r="N31" s="126" t="s">
        <v>106</v>
      </c>
      <c r="O31" s="126" t="s">
        <v>200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7"/>
    </row>
    <row r="32" spans="1:43" s="5" customFormat="1" ht="20.100000000000001" hidden="1" customHeight="1">
      <c r="A32" s="6">
        <v>28</v>
      </c>
      <c r="B32" s="6" t="s">
        <v>24</v>
      </c>
      <c r="C32" s="12" t="s">
        <v>201</v>
      </c>
      <c r="D32" s="12" t="s">
        <v>202</v>
      </c>
      <c r="E32" s="81">
        <v>45910</v>
      </c>
      <c r="F32" s="10" t="s">
        <v>27</v>
      </c>
      <c r="G32" s="39">
        <v>46113</v>
      </c>
      <c r="H32" s="84">
        <v>46139</v>
      </c>
      <c r="I32" s="44" t="s">
        <v>58</v>
      </c>
      <c r="J32" s="56" t="s">
        <v>29</v>
      </c>
      <c r="K32" s="126" t="s">
        <v>74</v>
      </c>
      <c r="L32" s="127" t="s">
        <v>203</v>
      </c>
      <c r="M32" s="126" t="s">
        <v>204</v>
      </c>
      <c r="N32" s="126" t="s">
        <v>70</v>
      </c>
      <c r="O32" s="126" t="s">
        <v>205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7"/>
    </row>
    <row r="33" spans="1:43" s="5" customFormat="1" ht="20.100000000000001" hidden="1" customHeight="1">
      <c r="A33" s="6">
        <v>33</v>
      </c>
      <c r="B33" s="6" t="s">
        <v>64</v>
      </c>
      <c r="C33" s="11" t="s">
        <v>206</v>
      </c>
      <c r="D33" s="11" t="s">
        <v>207</v>
      </c>
      <c r="E33" s="6" t="s">
        <v>208</v>
      </c>
      <c r="F33" s="10" t="s">
        <v>27</v>
      </c>
      <c r="G33" s="39">
        <v>46143</v>
      </c>
      <c r="H33" s="85" t="s">
        <v>186</v>
      </c>
      <c r="I33" s="44" t="s">
        <v>58</v>
      </c>
      <c r="J33" s="56" t="s">
        <v>209</v>
      </c>
      <c r="K33" s="126" t="s">
        <v>59</v>
      </c>
      <c r="L33" s="127" t="s">
        <v>210</v>
      </c>
      <c r="M33" s="126" t="s">
        <v>211</v>
      </c>
      <c r="N33" s="126" t="s">
        <v>175</v>
      </c>
      <c r="O33" s="126" t="s">
        <v>212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7"/>
    </row>
    <row r="34" spans="1:43" s="5" customFormat="1" ht="20.100000000000001" hidden="1" customHeight="1">
      <c r="A34" s="6">
        <v>34</v>
      </c>
      <c r="B34" s="6" t="s">
        <v>213</v>
      </c>
      <c r="C34" s="11" t="s">
        <v>214</v>
      </c>
      <c r="D34" s="11" t="s">
        <v>215</v>
      </c>
      <c r="E34" s="6" t="s">
        <v>216</v>
      </c>
      <c r="F34" s="10" t="s">
        <v>27</v>
      </c>
      <c r="G34" s="39">
        <v>46174</v>
      </c>
      <c r="H34" s="85" t="s">
        <v>217</v>
      </c>
      <c r="I34" s="44" t="s">
        <v>58</v>
      </c>
      <c r="J34" s="56" t="s">
        <v>29</v>
      </c>
      <c r="K34" s="126" t="s">
        <v>74</v>
      </c>
      <c r="L34" s="127" t="s">
        <v>218</v>
      </c>
      <c r="M34" s="126" t="s">
        <v>219</v>
      </c>
      <c r="N34" s="126" t="s">
        <v>133</v>
      </c>
      <c r="O34" s="126" t="s">
        <v>220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7"/>
    </row>
    <row r="35" spans="1:43" s="5" customFormat="1" ht="20.100000000000001" hidden="1" customHeight="1">
      <c r="A35" s="6">
        <v>35</v>
      </c>
      <c r="B35" s="6" t="s">
        <v>32</v>
      </c>
      <c r="C35" s="11" t="s">
        <v>221</v>
      </c>
      <c r="D35" s="11" t="s">
        <v>222</v>
      </c>
      <c r="E35" s="6" t="s">
        <v>208</v>
      </c>
      <c r="F35" s="10" t="s">
        <v>27</v>
      </c>
      <c r="G35" s="39">
        <v>46204</v>
      </c>
      <c r="H35" s="14" t="s">
        <v>223</v>
      </c>
      <c r="I35" s="44" t="s">
        <v>58</v>
      </c>
      <c r="J35" s="56" t="s">
        <v>209</v>
      </c>
      <c r="K35" s="126" t="s">
        <v>30</v>
      </c>
      <c r="L35" s="127" t="s">
        <v>30</v>
      </c>
      <c r="M35" s="126" t="s">
        <v>30</v>
      </c>
      <c r="N35" s="126" t="s">
        <v>224</v>
      </c>
      <c r="O35" s="126" t="s">
        <v>224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7"/>
    </row>
    <row r="36" spans="1:43" s="5" customFormat="1" ht="20.100000000000001" hidden="1" customHeight="1">
      <c r="A36" s="6">
        <v>37</v>
      </c>
      <c r="B36" s="6" t="s">
        <v>24</v>
      </c>
      <c r="C36" s="11" t="s">
        <v>25</v>
      </c>
      <c r="D36" s="11" t="s">
        <v>225</v>
      </c>
      <c r="E36" s="6" t="s">
        <v>208</v>
      </c>
      <c r="F36" s="10" t="s">
        <v>27</v>
      </c>
      <c r="G36" s="39">
        <v>46204</v>
      </c>
      <c r="H36" s="14" t="s">
        <v>226</v>
      </c>
      <c r="I36" s="44" t="s">
        <v>58</v>
      </c>
      <c r="J36" s="56" t="s">
        <v>209</v>
      </c>
      <c r="K36" s="126" t="s">
        <v>30</v>
      </c>
      <c r="L36" s="127" t="s">
        <v>30</v>
      </c>
      <c r="M36" s="126" t="s">
        <v>30</v>
      </c>
      <c r="N36" s="126" t="s">
        <v>182</v>
      </c>
      <c r="O36" s="126" t="s">
        <v>182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7"/>
    </row>
    <row r="37" spans="1:43" s="5" customFormat="1" ht="20.100000000000001" hidden="1" customHeight="1">
      <c r="A37" s="6">
        <v>38</v>
      </c>
      <c r="B37" s="6" t="s">
        <v>71</v>
      </c>
      <c r="C37" s="11" t="s">
        <v>227</v>
      </c>
      <c r="D37" s="11" t="s">
        <v>228</v>
      </c>
      <c r="E37" s="6" t="s">
        <v>229</v>
      </c>
      <c r="F37" s="10" t="s">
        <v>27</v>
      </c>
      <c r="G37" s="39">
        <v>46266</v>
      </c>
      <c r="H37" s="14">
        <v>46121</v>
      </c>
      <c r="I37" s="44" t="s">
        <v>58</v>
      </c>
      <c r="J37" s="56" t="s">
        <v>29</v>
      </c>
      <c r="K37" s="126" t="s">
        <v>81</v>
      </c>
      <c r="L37" s="127" t="s">
        <v>230</v>
      </c>
      <c r="M37" s="126" t="s">
        <v>231</v>
      </c>
      <c r="N37" s="126" t="s">
        <v>100</v>
      </c>
      <c r="O37" s="126" t="s">
        <v>232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7"/>
    </row>
    <row r="38" spans="1:43" s="5" customFormat="1" ht="20.100000000000001" customHeight="1">
      <c r="A38" s="6">
        <v>32</v>
      </c>
      <c r="B38" s="6" t="s">
        <v>64</v>
      </c>
      <c r="C38" s="11" t="s">
        <v>233</v>
      </c>
      <c r="D38" s="11" t="s">
        <v>234</v>
      </c>
      <c r="E38" s="6" t="s">
        <v>208</v>
      </c>
      <c r="F38" s="152" t="s">
        <v>235</v>
      </c>
      <c r="G38" s="39">
        <v>46266</v>
      </c>
      <c r="H38" s="79"/>
      <c r="I38" s="44" t="s">
        <v>58</v>
      </c>
      <c r="J38" s="56" t="s">
        <v>209</v>
      </c>
      <c r="K38" s="126" t="s">
        <v>81</v>
      </c>
      <c r="L38" s="127" t="s">
        <v>236</v>
      </c>
      <c r="M38" s="126" t="s">
        <v>237</v>
      </c>
      <c r="N38" s="126" t="s">
        <v>70</v>
      </c>
      <c r="O38" s="126" t="s">
        <v>238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7"/>
    </row>
    <row r="39" spans="1:43" s="5" customFormat="1" ht="20.100000000000001" hidden="1" customHeight="1">
      <c r="A39" s="6">
        <v>36</v>
      </c>
      <c r="B39" s="6" t="s">
        <v>239</v>
      </c>
      <c r="C39" s="11" t="s">
        <v>240</v>
      </c>
      <c r="D39" s="11" t="s">
        <v>241</v>
      </c>
      <c r="E39" s="6" t="s">
        <v>208</v>
      </c>
      <c r="F39" s="13" t="s">
        <v>242</v>
      </c>
      <c r="G39" s="39">
        <v>46296</v>
      </c>
      <c r="H39" s="14"/>
      <c r="I39" s="44" t="s">
        <v>58</v>
      </c>
      <c r="J39" s="56" t="s">
        <v>243</v>
      </c>
      <c r="K39" s="126" t="s">
        <v>74</v>
      </c>
      <c r="L39" s="127" t="s">
        <v>244</v>
      </c>
      <c r="M39" s="126" t="s">
        <v>245</v>
      </c>
      <c r="N39" s="126" t="s">
        <v>246</v>
      </c>
      <c r="O39" s="126" t="s">
        <v>247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7"/>
    </row>
    <row r="40" spans="1:43" s="5" customFormat="1" ht="20.100000000000001" hidden="1" customHeight="1">
      <c r="A40" s="6">
        <v>39</v>
      </c>
      <c r="B40" s="6" t="s">
        <v>24</v>
      </c>
      <c r="C40" s="11" t="s">
        <v>248</v>
      </c>
      <c r="D40" s="11" t="s">
        <v>249</v>
      </c>
      <c r="E40" s="6" t="s">
        <v>208</v>
      </c>
      <c r="F40" s="13" t="s">
        <v>242</v>
      </c>
      <c r="G40" s="39">
        <v>46296</v>
      </c>
      <c r="H40" s="14"/>
      <c r="I40" s="44" t="s">
        <v>58</v>
      </c>
      <c r="J40" s="56" t="s">
        <v>243</v>
      </c>
      <c r="K40" s="126" t="s">
        <v>81</v>
      </c>
      <c r="L40" s="127" t="s">
        <v>138</v>
      </c>
      <c r="M40" s="126" t="s">
        <v>250</v>
      </c>
      <c r="N40" s="126" t="s">
        <v>70</v>
      </c>
      <c r="O40" s="126" t="s">
        <v>251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7"/>
    </row>
    <row r="41" spans="1:43" s="5" customFormat="1" ht="20.100000000000001" hidden="1" customHeight="1">
      <c r="A41" s="6">
        <v>40</v>
      </c>
      <c r="B41" s="6" t="s">
        <v>252</v>
      </c>
      <c r="C41" s="11" t="s">
        <v>253</v>
      </c>
      <c r="D41" s="11" t="s">
        <v>254</v>
      </c>
      <c r="E41" s="6" t="s">
        <v>208</v>
      </c>
      <c r="F41" s="13" t="s">
        <v>255</v>
      </c>
      <c r="G41" s="39">
        <v>46357</v>
      </c>
      <c r="H41" s="14"/>
      <c r="I41" s="44" t="s">
        <v>58</v>
      </c>
      <c r="J41" s="56" t="s">
        <v>243</v>
      </c>
      <c r="K41" s="126" t="s">
        <v>74</v>
      </c>
      <c r="L41" s="127" t="s">
        <v>256</v>
      </c>
      <c r="M41" s="126" t="s">
        <v>257</v>
      </c>
      <c r="N41" s="126" t="s">
        <v>246</v>
      </c>
      <c r="O41" s="126" t="s">
        <v>258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7"/>
    </row>
  </sheetData>
  <autoFilter ref="A1:O41" xr:uid="{00000000-0001-0000-0100-000000000000}">
    <filterColumn colId="3">
      <filters>
        <filter val="HOSPITAL NORTE PARANAENSE"/>
      </filters>
    </filterColumn>
    <sortState xmlns:xlrd2="http://schemas.microsoft.com/office/spreadsheetml/2017/richdata2" ref="A2:O41">
      <sortCondition ref="G1:G41"/>
    </sortState>
  </autoFilter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8"/>
  <sheetViews>
    <sheetView tabSelected="1" workbookViewId="0">
      <selection activeCell="C1" sqref="C1"/>
    </sheetView>
  </sheetViews>
  <sheetFormatPr defaultRowHeight="15"/>
  <cols>
    <col min="1" max="1" width="7.7109375" style="60" customWidth="1"/>
    <col min="2" max="2" width="7.7109375" style="4" customWidth="1"/>
    <col min="3" max="3" width="11.85546875" style="3" customWidth="1"/>
    <col min="4" max="4" width="25.7109375" style="3" customWidth="1"/>
    <col min="5" max="5" width="70.7109375" style="3" customWidth="1"/>
    <col min="6" max="6" width="19.85546875" style="4" customWidth="1"/>
    <col min="7" max="7" width="16.42578125" style="3" customWidth="1"/>
    <col min="8" max="8" width="16.140625" style="3" customWidth="1"/>
    <col min="9" max="9" width="23.140625" style="3" customWidth="1"/>
    <col min="10" max="10" width="20.7109375" style="3" customWidth="1"/>
    <col min="11" max="11" width="20.7109375" style="4" customWidth="1"/>
    <col min="12" max="14" width="20.7109375" style="3" customWidth="1"/>
    <col min="15" max="15" width="81.7109375" style="3" customWidth="1"/>
    <col min="16" max="16" width="9.140625" style="3" bestFit="1" customWidth="1"/>
    <col min="17" max="16384" width="9.140625" style="3"/>
  </cols>
  <sheetData>
    <row r="1" spans="1:15" ht="24.95" customHeight="1">
      <c r="A1" s="59" t="s">
        <v>10</v>
      </c>
      <c r="B1" s="15" t="s">
        <v>11</v>
      </c>
      <c r="C1" s="15" t="s">
        <v>259</v>
      </c>
      <c r="D1" s="15" t="s">
        <v>12</v>
      </c>
      <c r="E1" s="15" t="s">
        <v>13</v>
      </c>
      <c r="F1" s="15" t="s">
        <v>260</v>
      </c>
      <c r="G1" s="15" t="s">
        <v>261</v>
      </c>
      <c r="H1" s="16" t="s">
        <v>14</v>
      </c>
      <c r="I1" s="16" t="s">
        <v>15</v>
      </c>
      <c r="J1" s="17" t="s">
        <v>16</v>
      </c>
      <c r="K1" s="17" t="s">
        <v>262</v>
      </c>
      <c r="L1" s="16" t="s">
        <v>263</v>
      </c>
      <c r="M1" s="16" t="s">
        <v>264</v>
      </c>
      <c r="N1" s="16" t="s">
        <v>18</v>
      </c>
      <c r="O1" s="17" t="s">
        <v>19</v>
      </c>
    </row>
    <row r="2" spans="1:15" ht="20.25" customHeight="1">
      <c r="A2" s="59">
        <v>25</v>
      </c>
      <c r="B2" s="46" t="s">
        <v>71</v>
      </c>
      <c r="C2" s="20" t="s">
        <v>265</v>
      </c>
      <c r="D2" s="45" t="s">
        <v>266</v>
      </c>
      <c r="E2" s="47" t="s">
        <v>267</v>
      </c>
      <c r="F2" s="46">
        <v>953746</v>
      </c>
      <c r="G2" s="49">
        <v>2023</v>
      </c>
      <c r="H2" s="61">
        <v>46188</v>
      </c>
      <c r="I2" s="171" t="s">
        <v>268</v>
      </c>
      <c r="J2" s="14">
        <v>46295</v>
      </c>
      <c r="K2" s="172"/>
      <c r="L2" s="31" t="s">
        <v>4</v>
      </c>
      <c r="M2" s="136">
        <v>7648482</v>
      </c>
      <c r="N2" s="31" t="s">
        <v>58</v>
      </c>
      <c r="O2" s="128" t="s">
        <v>29</v>
      </c>
    </row>
    <row r="3" spans="1:15" ht="20.25" customHeight="1">
      <c r="A3" s="59">
        <v>26</v>
      </c>
      <c r="B3" s="46" t="s">
        <v>71</v>
      </c>
      <c r="C3" s="20" t="s">
        <v>269</v>
      </c>
      <c r="D3" s="45" t="s">
        <v>270</v>
      </c>
      <c r="E3" s="47" t="s">
        <v>271</v>
      </c>
      <c r="F3" s="46">
        <v>953741</v>
      </c>
      <c r="G3" s="49">
        <v>2023</v>
      </c>
      <c r="H3" s="132" t="s">
        <v>272</v>
      </c>
      <c r="I3" s="171" t="s">
        <v>268</v>
      </c>
      <c r="J3" s="14">
        <v>46295</v>
      </c>
      <c r="K3" s="145"/>
      <c r="L3" s="41" t="s">
        <v>4</v>
      </c>
      <c r="M3" s="137">
        <v>8872374</v>
      </c>
      <c r="N3" s="175" t="s">
        <v>58</v>
      </c>
      <c r="O3" s="128" t="s">
        <v>29</v>
      </c>
    </row>
    <row r="4" spans="1:15" ht="20.25" customHeight="1">
      <c r="A4" s="59">
        <v>1</v>
      </c>
      <c r="B4" s="18" t="s">
        <v>64</v>
      </c>
      <c r="C4" s="27" t="s">
        <v>273</v>
      </c>
      <c r="D4" s="26" t="s">
        <v>65</v>
      </c>
      <c r="E4" s="28" t="s">
        <v>274</v>
      </c>
      <c r="F4" s="18">
        <v>925324</v>
      </c>
      <c r="G4" s="18">
        <v>2021</v>
      </c>
      <c r="H4" s="29">
        <v>45466</v>
      </c>
      <c r="I4" s="25" t="s">
        <v>27</v>
      </c>
      <c r="J4" s="30">
        <v>45444</v>
      </c>
      <c r="K4" s="173" t="s">
        <v>275</v>
      </c>
      <c r="L4" s="174" t="s">
        <v>4</v>
      </c>
      <c r="M4" s="142">
        <v>10110999.210000001</v>
      </c>
      <c r="N4" s="18" t="s">
        <v>276</v>
      </c>
      <c r="O4" s="31" t="s">
        <v>29</v>
      </c>
    </row>
    <row r="5" spans="1:15" ht="20.25" customHeight="1">
      <c r="A5" s="59">
        <v>2</v>
      </c>
      <c r="B5" s="31" t="s">
        <v>71</v>
      </c>
      <c r="C5" s="27" t="s">
        <v>277</v>
      </c>
      <c r="D5" s="45" t="s">
        <v>278</v>
      </c>
      <c r="E5" s="32" t="s">
        <v>279</v>
      </c>
      <c r="F5" s="31">
        <v>954420</v>
      </c>
      <c r="G5" s="23">
        <v>2023</v>
      </c>
      <c r="H5" s="61">
        <v>45754</v>
      </c>
      <c r="I5" s="25" t="s">
        <v>27</v>
      </c>
      <c r="J5" s="39">
        <v>45778</v>
      </c>
      <c r="K5" s="18" t="s">
        <v>275</v>
      </c>
      <c r="L5" s="41" t="s">
        <v>4</v>
      </c>
      <c r="M5" s="136">
        <v>9424738</v>
      </c>
      <c r="N5" s="31" t="s">
        <v>58</v>
      </c>
      <c r="O5" s="31" t="s">
        <v>29</v>
      </c>
    </row>
    <row r="6" spans="1:15" ht="20.25" customHeight="1">
      <c r="A6" s="59">
        <v>3</v>
      </c>
      <c r="B6" s="31" t="s">
        <v>40</v>
      </c>
      <c r="C6" s="31">
        <v>2558254</v>
      </c>
      <c r="D6" s="45" t="s">
        <v>280</v>
      </c>
      <c r="E6" s="32" t="s">
        <v>281</v>
      </c>
      <c r="F6" s="31">
        <v>948696</v>
      </c>
      <c r="G6" s="23">
        <v>2023</v>
      </c>
      <c r="H6" s="61">
        <v>45914</v>
      </c>
      <c r="I6" s="25" t="s">
        <v>27</v>
      </c>
      <c r="J6" s="39">
        <v>45809</v>
      </c>
      <c r="K6" s="51">
        <v>45668</v>
      </c>
      <c r="L6" s="41" t="s">
        <v>4</v>
      </c>
      <c r="M6" s="136">
        <v>8673095</v>
      </c>
      <c r="N6" s="31" t="s">
        <v>58</v>
      </c>
      <c r="O6" s="31" t="s">
        <v>29</v>
      </c>
    </row>
    <row r="7" spans="1:15" ht="20.25" customHeight="1">
      <c r="A7" s="59">
        <v>5</v>
      </c>
      <c r="B7" s="19" t="s">
        <v>71</v>
      </c>
      <c r="C7" s="20" t="s">
        <v>282</v>
      </c>
      <c r="D7" s="45" t="s">
        <v>283</v>
      </c>
      <c r="E7" s="22" t="s">
        <v>284</v>
      </c>
      <c r="F7" s="19">
        <v>953743</v>
      </c>
      <c r="G7" s="23">
        <v>2023</v>
      </c>
      <c r="H7" s="61">
        <v>45877</v>
      </c>
      <c r="I7" s="25" t="s">
        <v>27</v>
      </c>
      <c r="J7" s="39">
        <v>45901</v>
      </c>
      <c r="K7" s="43" t="s">
        <v>285</v>
      </c>
      <c r="L7" s="41" t="s">
        <v>4</v>
      </c>
      <c r="M7" s="143">
        <v>9676502</v>
      </c>
      <c r="N7" s="31" t="s">
        <v>58</v>
      </c>
      <c r="O7" s="31" t="s">
        <v>29</v>
      </c>
    </row>
    <row r="8" spans="1:15" ht="20.25" customHeight="1">
      <c r="A8" s="59">
        <v>4</v>
      </c>
      <c r="B8" s="31" t="s">
        <v>55</v>
      </c>
      <c r="C8" s="27" t="s">
        <v>286</v>
      </c>
      <c r="D8" s="45" t="s">
        <v>287</v>
      </c>
      <c r="E8" s="32" t="s">
        <v>288</v>
      </c>
      <c r="F8" s="31">
        <v>948695</v>
      </c>
      <c r="G8" s="23">
        <v>2023</v>
      </c>
      <c r="H8" s="134">
        <v>45970</v>
      </c>
      <c r="I8" s="25" t="s">
        <v>27</v>
      </c>
      <c r="J8" s="39">
        <v>45901</v>
      </c>
      <c r="K8" s="43" t="s">
        <v>289</v>
      </c>
      <c r="L8" s="41" t="s">
        <v>4</v>
      </c>
      <c r="M8" s="136">
        <v>8826551</v>
      </c>
      <c r="N8" s="31" t="s">
        <v>58</v>
      </c>
      <c r="O8" s="31" t="s">
        <v>29</v>
      </c>
    </row>
    <row r="9" spans="1:15" ht="20.25" customHeight="1">
      <c r="A9" s="59">
        <v>6</v>
      </c>
      <c r="B9" s="19" t="s">
        <v>71</v>
      </c>
      <c r="C9" s="20">
        <v>2081458</v>
      </c>
      <c r="D9" s="21" t="s">
        <v>290</v>
      </c>
      <c r="E9" s="22" t="s">
        <v>291</v>
      </c>
      <c r="F9" s="19">
        <v>904824</v>
      </c>
      <c r="G9" s="23">
        <v>2020</v>
      </c>
      <c r="H9" s="24">
        <v>45970</v>
      </c>
      <c r="I9" s="25" t="s">
        <v>27</v>
      </c>
      <c r="J9" s="39">
        <v>45962</v>
      </c>
      <c r="K9" s="43">
        <v>45970</v>
      </c>
      <c r="L9" s="42" t="s">
        <v>4</v>
      </c>
      <c r="M9" s="139">
        <v>8582888</v>
      </c>
      <c r="N9" s="18" t="s">
        <v>292</v>
      </c>
      <c r="O9" s="31" t="s">
        <v>29</v>
      </c>
    </row>
    <row r="10" spans="1:15" ht="20.25" customHeight="1">
      <c r="A10" s="59">
        <v>19</v>
      </c>
      <c r="B10" s="46" t="s">
        <v>55</v>
      </c>
      <c r="C10" s="20" t="s">
        <v>293</v>
      </c>
      <c r="D10" s="45" t="s">
        <v>294</v>
      </c>
      <c r="E10" s="47" t="s">
        <v>295</v>
      </c>
      <c r="F10" s="46">
        <v>948694</v>
      </c>
      <c r="G10" s="49">
        <v>2023</v>
      </c>
      <c r="H10" s="46" t="s">
        <v>296</v>
      </c>
      <c r="I10" s="25" t="s">
        <v>27</v>
      </c>
      <c r="J10" s="39">
        <v>46054</v>
      </c>
      <c r="K10" s="51" t="s">
        <v>297</v>
      </c>
      <c r="L10" s="52" t="s">
        <v>4</v>
      </c>
      <c r="M10" s="136">
        <v>10000000</v>
      </c>
      <c r="N10" s="46" t="s">
        <v>58</v>
      </c>
      <c r="O10" s="31" t="s">
        <v>29</v>
      </c>
    </row>
    <row r="11" spans="1:15" ht="20.25" customHeight="1">
      <c r="A11" s="59">
        <v>8</v>
      </c>
      <c r="B11" s="46" t="s">
        <v>71</v>
      </c>
      <c r="C11" s="20" t="s">
        <v>298</v>
      </c>
      <c r="D11" s="45" t="s">
        <v>299</v>
      </c>
      <c r="E11" s="47" t="s">
        <v>300</v>
      </c>
      <c r="F11" s="46">
        <v>954006</v>
      </c>
      <c r="G11" s="49">
        <v>2023</v>
      </c>
      <c r="H11" s="46" t="s">
        <v>301</v>
      </c>
      <c r="I11" s="25" t="s">
        <v>27</v>
      </c>
      <c r="J11" s="50">
        <v>46112</v>
      </c>
      <c r="K11" s="51">
        <v>46329</v>
      </c>
      <c r="L11" s="52" t="s">
        <v>4</v>
      </c>
      <c r="M11" s="136">
        <v>8508094</v>
      </c>
      <c r="N11" s="46" t="s">
        <v>58</v>
      </c>
      <c r="O11" s="77" t="s">
        <v>29</v>
      </c>
    </row>
    <row r="12" spans="1:15" ht="24" customHeight="1">
      <c r="A12" s="59">
        <v>9</v>
      </c>
      <c r="B12" s="46" t="s">
        <v>55</v>
      </c>
      <c r="C12" s="20" t="s">
        <v>302</v>
      </c>
      <c r="D12" s="45" t="s">
        <v>303</v>
      </c>
      <c r="E12" s="47" t="s">
        <v>304</v>
      </c>
      <c r="F12" s="46">
        <v>953718</v>
      </c>
      <c r="G12" s="49">
        <v>2023</v>
      </c>
      <c r="H12" s="46" t="s">
        <v>305</v>
      </c>
      <c r="I12" s="146" t="s">
        <v>27</v>
      </c>
      <c r="J12" s="50">
        <v>46112</v>
      </c>
      <c r="K12" s="51" t="s">
        <v>306</v>
      </c>
      <c r="L12" s="52" t="s">
        <v>4</v>
      </c>
      <c r="M12" s="137">
        <v>8822643</v>
      </c>
      <c r="N12" s="54" t="s">
        <v>58</v>
      </c>
      <c r="O12" s="77" t="s">
        <v>29</v>
      </c>
    </row>
    <row r="13" spans="1:15" ht="20.25" customHeight="1">
      <c r="A13" s="59">
        <v>12</v>
      </c>
      <c r="B13" s="46" t="s">
        <v>40</v>
      </c>
      <c r="C13" s="20" t="s">
        <v>307</v>
      </c>
      <c r="D13" s="45" t="s">
        <v>308</v>
      </c>
      <c r="E13" s="47" t="s">
        <v>309</v>
      </c>
      <c r="F13" s="46">
        <v>954413</v>
      </c>
      <c r="G13" s="49">
        <v>2023</v>
      </c>
      <c r="H13" s="61">
        <v>46056</v>
      </c>
      <c r="I13" s="25" t="s">
        <v>27</v>
      </c>
      <c r="J13" s="80">
        <v>46112</v>
      </c>
      <c r="K13" s="51" t="s">
        <v>306</v>
      </c>
      <c r="L13" s="53" t="s">
        <v>4</v>
      </c>
      <c r="M13" s="137">
        <v>11496895</v>
      </c>
      <c r="N13" s="176" t="s">
        <v>58</v>
      </c>
      <c r="O13" s="31" t="s">
        <v>29</v>
      </c>
    </row>
    <row r="14" spans="1:15" s="129" customFormat="1" ht="20.25" customHeight="1">
      <c r="A14" s="59">
        <v>10</v>
      </c>
      <c r="B14" s="46" t="s">
        <v>55</v>
      </c>
      <c r="C14" s="34" t="s">
        <v>310</v>
      </c>
      <c r="D14" s="45" t="s">
        <v>68</v>
      </c>
      <c r="E14" s="47" t="s">
        <v>311</v>
      </c>
      <c r="F14" s="48" t="s">
        <v>312</v>
      </c>
      <c r="G14" s="49">
        <v>2023</v>
      </c>
      <c r="H14" s="49" t="s">
        <v>313</v>
      </c>
      <c r="I14" s="146" t="s">
        <v>27</v>
      </c>
      <c r="J14" s="50">
        <v>46174</v>
      </c>
      <c r="K14" s="51">
        <v>46239</v>
      </c>
      <c r="L14" s="52" t="s">
        <v>314</v>
      </c>
      <c r="M14" s="137">
        <v>11750454.439999999</v>
      </c>
      <c r="N14" s="56" t="s">
        <v>58</v>
      </c>
      <c r="O14" s="128" t="s">
        <v>29</v>
      </c>
    </row>
    <row r="15" spans="1:15" s="129" customFormat="1" ht="20.25" customHeight="1">
      <c r="A15" s="59">
        <v>31</v>
      </c>
      <c r="B15" s="46" t="s">
        <v>36</v>
      </c>
      <c r="C15" s="34" t="s">
        <v>315</v>
      </c>
      <c r="D15" s="45" t="s">
        <v>316</v>
      </c>
      <c r="E15" s="47" t="s">
        <v>317</v>
      </c>
      <c r="F15" s="46">
        <v>949775</v>
      </c>
      <c r="G15" s="49">
        <v>2023</v>
      </c>
      <c r="H15" s="46"/>
      <c r="I15" s="25" t="s">
        <v>27</v>
      </c>
      <c r="J15" s="50">
        <v>46174</v>
      </c>
      <c r="K15" s="43" t="s">
        <v>318</v>
      </c>
      <c r="L15" s="41" t="s">
        <v>4</v>
      </c>
      <c r="M15" s="136">
        <v>9303655</v>
      </c>
      <c r="N15" s="56" t="s">
        <v>292</v>
      </c>
      <c r="O15" s="18"/>
    </row>
    <row r="16" spans="1:15" s="129" customFormat="1" ht="20.25" customHeight="1">
      <c r="A16" s="59">
        <v>17</v>
      </c>
      <c r="B16" s="46" t="s">
        <v>71</v>
      </c>
      <c r="C16" s="20" t="s">
        <v>319</v>
      </c>
      <c r="D16" s="45" t="s">
        <v>299</v>
      </c>
      <c r="E16" s="47" t="s">
        <v>320</v>
      </c>
      <c r="F16" s="46">
        <v>953739</v>
      </c>
      <c r="G16" s="49">
        <v>2023</v>
      </c>
      <c r="H16" s="46" t="s">
        <v>321</v>
      </c>
      <c r="I16" s="146" t="s">
        <v>27</v>
      </c>
      <c r="J16" s="50">
        <v>46174</v>
      </c>
      <c r="K16" s="51" t="s">
        <v>322</v>
      </c>
      <c r="L16" s="52" t="s">
        <v>4</v>
      </c>
      <c r="M16" s="137">
        <v>8250500</v>
      </c>
      <c r="N16" s="54" t="s">
        <v>58</v>
      </c>
      <c r="O16" s="128" t="s">
        <v>29</v>
      </c>
    </row>
    <row r="17" spans="1:15" ht="20.25" customHeight="1">
      <c r="A17" s="59">
        <v>18</v>
      </c>
      <c r="B17" s="46" t="s">
        <v>48</v>
      </c>
      <c r="C17" s="20" t="s">
        <v>323</v>
      </c>
      <c r="D17" s="45" t="s">
        <v>49</v>
      </c>
      <c r="E17" s="47" t="s">
        <v>324</v>
      </c>
      <c r="F17" s="46">
        <v>954391</v>
      </c>
      <c r="G17" s="49">
        <v>2023</v>
      </c>
      <c r="H17" s="61">
        <v>46188</v>
      </c>
      <c r="I17" s="25" t="s">
        <v>27</v>
      </c>
      <c r="J17" s="50">
        <v>46174</v>
      </c>
      <c r="K17" s="51" t="s">
        <v>322</v>
      </c>
      <c r="L17" s="52" t="s">
        <v>4</v>
      </c>
      <c r="M17" s="137">
        <v>7187873</v>
      </c>
      <c r="N17" s="54" t="s">
        <v>58</v>
      </c>
      <c r="O17" s="128" t="s">
        <v>29</v>
      </c>
    </row>
    <row r="18" spans="1:15" ht="20.25" customHeight="1">
      <c r="A18" s="59" t="s">
        <v>325</v>
      </c>
      <c r="B18" s="46" t="s">
        <v>95</v>
      </c>
      <c r="C18" s="20">
        <v>2726998</v>
      </c>
      <c r="D18" s="45" t="s">
        <v>96</v>
      </c>
      <c r="E18" s="47" t="s">
        <v>326</v>
      </c>
      <c r="F18" s="46">
        <v>947527</v>
      </c>
      <c r="G18" s="49">
        <v>2023</v>
      </c>
      <c r="H18" s="61">
        <v>46124</v>
      </c>
      <c r="I18" s="146" t="s">
        <v>27</v>
      </c>
      <c r="J18" s="50">
        <v>46204</v>
      </c>
      <c r="K18" s="125"/>
      <c r="L18" s="52" t="s">
        <v>4</v>
      </c>
      <c r="M18" s="136">
        <v>8434580</v>
      </c>
      <c r="N18" s="54" t="s">
        <v>58</v>
      </c>
      <c r="O18" s="149" t="s">
        <v>327</v>
      </c>
    </row>
    <row r="19" spans="1:15" ht="20.25" customHeight="1">
      <c r="A19" s="59">
        <v>21</v>
      </c>
      <c r="B19" s="46" t="s">
        <v>71</v>
      </c>
      <c r="C19" s="20" t="s">
        <v>328</v>
      </c>
      <c r="D19" s="45" t="s">
        <v>329</v>
      </c>
      <c r="E19" s="47" t="s">
        <v>330</v>
      </c>
      <c r="F19" s="46">
        <v>953749</v>
      </c>
      <c r="G19" s="49">
        <v>2023</v>
      </c>
      <c r="H19" s="134">
        <v>46211</v>
      </c>
      <c r="I19" s="146" t="s">
        <v>27</v>
      </c>
      <c r="J19" s="50">
        <v>46235</v>
      </c>
      <c r="K19" s="158" t="s">
        <v>331</v>
      </c>
      <c r="L19" s="41" t="s">
        <v>4</v>
      </c>
      <c r="M19" s="136">
        <v>8480920</v>
      </c>
      <c r="N19" s="55" t="s">
        <v>58</v>
      </c>
      <c r="O19" s="128" t="s">
        <v>29</v>
      </c>
    </row>
    <row r="20" spans="1:15" ht="20.25" customHeight="1">
      <c r="A20" s="59">
        <v>36</v>
      </c>
      <c r="B20" s="46" t="s">
        <v>71</v>
      </c>
      <c r="C20" s="20" t="s">
        <v>332</v>
      </c>
      <c r="D20" s="45" t="s">
        <v>299</v>
      </c>
      <c r="E20" s="47" t="s">
        <v>333</v>
      </c>
      <c r="F20" s="46">
        <v>948698</v>
      </c>
      <c r="G20" s="49">
        <v>2023</v>
      </c>
      <c r="H20" s="61"/>
      <c r="I20" s="25" t="s">
        <v>27</v>
      </c>
      <c r="J20" s="50">
        <v>46356</v>
      </c>
      <c r="K20" s="43">
        <v>46090</v>
      </c>
      <c r="L20" s="41" t="s">
        <v>4</v>
      </c>
      <c r="M20" s="136">
        <v>8535269</v>
      </c>
      <c r="N20" s="55" t="s">
        <v>58</v>
      </c>
      <c r="O20" s="192" t="s">
        <v>334</v>
      </c>
    </row>
    <row r="21" spans="1:15" ht="20.25" customHeight="1">
      <c r="A21" s="59">
        <v>24</v>
      </c>
      <c r="B21" s="46" t="s">
        <v>48</v>
      </c>
      <c r="C21" s="20" t="s">
        <v>335</v>
      </c>
      <c r="D21" s="45" t="s">
        <v>336</v>
      </c>
      <c r="E21" s="47" t="s">
        <v>337</v>
      </c>
      <c r="F21" s="46">
        <v>954392</v>
      </c>
      <c r="G21" s="49">
        <v>2023</v>
      </c>
      <c r="H21" s="49"/>
      <c r="I21" s="33" t="s">
        <v>242</v>
      </c>
      <c r="J21" s="39">
        <v>46325</v>
      </c>
      <c r="K21" s="43"/>
      <c r="L21" s="41" t="s">
        <v>4</v>
      </c>
      <c r="M21" s="136">
        <v>7328027</v>
      </c>
      <c r="N21" s="55" t="s">
        <v>58</v>
      </c>
      <c r="O21" s="18"/>
    </row>
    <row r="22" spans="1:15" s="129" customFormat="1" ht="19.5" customHeight="1">
      <c r="A22" s="59">
        <v>13</v>
      </c>
      <c r="B22" s="46" t="s">
        <v>32</v>
      </c>
      <c r="C22" s="20" t="s">
        <v>338</v>
      </c>
      <c r="D22" s="45" t="s">
        <v>339</v>
      </c>
      <c r="E22" s="47" t="s">
        <v>340</v>
      </c>
      <c r="F22" s="46">
        <v>954390</v>
      </c>
      <c r="G22" s="49">
        <v>2023</v>
      </c>
      <c r="H22" s="46"/>
      <c r="I22" s="33" t="s">
        <v>242</v>
      </c>
      <c r="J22" s="39">
        <v>46356</v>
      </c>
      <c r="K22" s="51"/>
      <c r="L22" s="52" t="s">
        <v>4</v>
      </c>
      <c r="M22" s="136">
        <v>9325690</v>
      </c>
      <c r="N22" s="54" t="s">
        <v>58</v>
      </c>
      <c r="O22" s="169" t="s">
        <v>341</v>
      </c>
    </row>
    <row r="23" spans="1:15" ht="20.25" customHeight="1">
      <c r="A23" s="76">
        <v>16</v>
      </c>
      <c r="B23" s="46" t="s">
        <v>32</v>
      </c>
      <c r="C23" s="20" t="s">
        <v>342</v>
      </c>
      <c r="D23" s="45" t="s">
        <v>343</v>
      </c>
      <c r="E23" s="47" t="s">
        <v>344</v>
      </c>
      <c r="F23" s="46">
        <v>948684</v>
      </c>
      <c r="G23" s="49">
        <v>2023</v>
      </c>
      <c r="H23" s="170"/>
      <c r="I23" s="33" t="s">
        <v>242</v>
      </c>
      <c r="J23" s="39">
        <v>46325</v>
      </c>
      <c r="K23" s="136"/>
      <c r="L23" s="52" t="s">
        <v>4</v>
      </c>
      <c r="M23" s="136">
        <v>10995051.5</v>
      </c>
      <c r="N23" s="54" t="s">
        <v>58</v>
      </c>
      <c r="O23" s="18"/>
    </row>
    <row r="24" spans="1:15" ht="21" customHeight="1">
      <c r="A24" s="59">
        <v>7</v>
      </c>
      <c r="B24" s="46" t="s">
        <v>36</v>
      </c>
      <c r="C24" s="34" t="s">
        <v>345</v>
      </c>
      <c r="D24" s="45" t="s">
        <v>346</v>
      </c>
      <c r="E24" s="47" t="s">
        <v>347</v>
      </c>
      <c r="F24" s="48" t="s">
        <v>348</v>
      </c>
      <c r="G24" s="49">
        <v>2023</v>
      </c>
      <c r="H24" s="155"/>
      <c r="I24" s="33" t="s">
        <v>242</v>
      </c>
      <c r="J24" s="50">
        <v>46357</v>
      </c>
      <c r="K24" s="51"/>
      <c r="L24" s="52" t="s">
        <v>349</v>
      </c>
      <c r="M24" s="137">
        <v>8000000</v>
      </c>
      <c r="N24" s="54" t="s">
        <v>58</v>
      </c>
      <c r="O24" s="177" t="s">
        <v>350</v>
      </c>
    </row>
    <row r="25" spans="1:15" ht="20.25" customHeight="1">
      <c r="A25" s="59">
        <v>33</v>
      </c>
      <c r="B25" s="46" t="s">
        <v>64</v>
      </c>
      <c r="C25" s="20">
        <v>2577623</v>
      </c>
      <c r="D25" s="45" t="s">
        <v>351</v>
      </c>
      <c r="E25" s="156" t="s">
        <v>352</v>
      </c>
      <c r="F25" s="46">
        <v>948691</v>
      </c>
      <c r="G25" s="49">
        <v>2023</v>
      </c>
      <c r="H25" s="46"/>
      <c r="I25" s="33" t="s">
        <v>242</v>
      </c>
      <c r="J25" s="39">
        <v>46356</v>
      </c>
      <c r="K25" s="43"/>
      <c r="L25" s="41" t="s">
        <v>4</v>
      </c>
      <c r="M25" s="136">
        <v>10378916</v>
      </c>
      <c r="N25" s="55" t="s">
        <v>58</v>
      </c>
      <c r="O25" s="78" t="s">
        <v>353</v>
      </c>
    </row>
    <row r="26" spans="1:15" ht="21" customHeight="1">
      <c r="A26" s="59">
        <v>39</v>
      </c>
      <c r="B26" s="46" t="s">
        <v>252</v>
      </c>
      <c r="C26" s="34" t="s">
        <v>354</v>
      </c>
      <c r="D26" s="45" t="s">
        <v>253</v>
      </c>
      <c r="E26" s="47" t="s">
        <v>355</v>
      </c>
      <c r="F26" s="46">
        <v>961247</v>
      </c>
      <c r="G26" s="49">
        <v>2024</v>
      </c>
      <c r="H26" s="46"/>
      <c r="I26" s="33" t="s">
        <v>242</v>
      </c>
      <c r="J26" s="39">
        <v>46356</v>
      </c>
      <c r="K26" s="43"/>
      <c r="L26" s="41" t="s">
        <v>4</v>
      </c>
      <c r="M26" s="137">
        <v>10574888</v>
      </c>
      <c r="N26" s="56" t="s">
        <v>276</v>
      </c>
      <c r="O26" s="18"/>
    </row>
    <row r="27" spans="1:15" ht="20.25" customHeight="1">
      <c r="A27" s="59">
        <v>40</v>
      </c>
      <c r="B27" s="46" t="s">
        <v>71</v>
      </c>
      <c r="C27" s="34" t="s">
        <v>356</v>
      </c>
      <c r="D27" s="45" t="s">
        <v>357</v>
      </c>
      <c r="E27" s="47" t="s">
        <v>358</v>
      </c>
      <c r="F27" s="46">
        <v>971195</v>
      </c>
      <c r="G27" s="49">
        <v>2024</v>
      </c>
      <c r="H27" s="46"/>
      <c r="I27" s="33" t="s">
        <v>242</v>
      </c>
      <c r="J27" s="39">
        <v>46356</v>
      </c>
      <c r="K27" s="43"/>
      <c r="L27" s="42" t="s">
        <v>4</v>
      </c>
      <c r="M27" s="139">
        <v>10500000</v>
      </c>
      <c r="N27" s="56" t="s">
        <v>292</v>
      </c>
      <c r="O27" s="193" t="s">
        <v>359</v>
      </c>
    </row>
    <row r="28" spans="1:15" ht="20.25" customHeight="1">
      <c r="A28" s="59">
        <v>15</v>
      </c>
      <c r="B28" s="46" t="s">
        <v>71</v>
      </c>
      <c r="C28" s="20" t="s">
        <v>360</v>
      </c>
      <c r="D28" s="45" t="s">
        <v>357</v>
      </c>
      <c r="E28" s="47" t="s">
        <v>361</v>
      </c>
      <c r="F28" s="46">
        <v>953750</v>
      </c>
      <c r="G28" s="49">
        <v>2023</v>
      </c>
      <c r="H28" s="49"/>
      <c r="I28" s="33" t="s">
        <v>242</v>
      </c>
      <c r="J28" s="39">
        <v>46356</v>
      </c>
      <c r="K28" s="51"/>
      <c r="L28" s="52" t="s">
        <v>4</v>
      </c>
      <c r="M28" s="136">
        <v>7015893</v>
      </c>
      <c r="N28" s="54" t="s">
        <v>58</v>
      </c>
      <c r="O28" s="57" t="s">
        <v>362</v>
      </c>
    </row>
    <row r="29" spans="1:15" ht="20.25" customHeight="1">
      <c r="A29" s="59">
        <v>41</v>
      </c>
      <c r="B29" s="46" t="s">
        <v>71</v>
      </c>
      <c r="C29" s="34" t="s">
        <v>363</v>
      </c>
      <c r="D29" s="45" t="s">
        <v>364</v>
      </c>
      <c r="E29" s="47" t="s">
        <v>365</v>
      </c>
      <c r="F29" s="46">
        <v>970621</v>
      </c>
      <c r="G29" s="49">
        <v>2024</v>
      </c>
      <c r="H29" s="157"/>
      <c r="I29" s="33" t="s">
        <v>242</v>
      </c>
      <c r="J29" s="39">
        <v>46356</v>
      </c>
      <c r="K29" s="43"/>
      <c r="L29" s="41" t="s">
        <v>4</v>
      </c>
      <c r="M29" s="139">
        <v>10241429</v>
      </c>
      <c r="N29" s="56" t="s">
        <v>276</v>
      </c>
      <c r="O29" s="18"/>
    </row>
    <row r="30" spans="1:15" s="129" customFormat="1" ht="20.25" customHeight="1">
      <c r="A30" s="59">
        <v>35</v>
      </c>
      <c r="B30" s="46" t="s">
        <v>366</v>
      </c>
      <c r="C30" s="20">
        <v>2315793</v>
      </c>
      <c r="D30" s="47" t="s">
        <v>367</v>
      </c>
      <c r="E30" s="47" t="s">
        <v>368</v>
      </c>
      <c r="F30" s="46">
        <v>954404</v>
      </c>
      <c r="G30" s="49">
        <v>2023</v>
      </c>
      <c r="H30" s="46"/>
      <c r="I30" s="33" t="s">
        <v>242</v>
      </c>
      <c r="J30" s="39">
        <v>46356</v>
      </c>
      <c r="K30" s="43"/>
      <c r="L30" s="41" t="s">
        <v>4</v>
      </c>
      <c r="M30" s="136">
        <v>8800087</v>
      </c>
      <c r="N30" s="55" t="s">
        <v>58</v>
      </c>
      <c r="O30" s="18"/>
    </row>
    <row r="31" spans="1:15" ht="20.25" customHeight="1">
      <c r="A31" s="46" t="s">
        <v>369</v>
      </c>
      <c r="B31" s="46" t="s">
        <v>64</v>
      </c>
      <c r="C31" s="20" t="s">
        <v>273</v>
      </c>
      <c r="D31" s="45" t="s">
        <v>65</v>
      </c>
      <c r="E31" s="47" t="s">
        <v>370</v>
      </c>
      <c r="F31" s="46">
        <v>948692</v>
      </c>
      <c r="G31" s="49">
        <v>2023</v>
      </c>
      <c r="H31" s="46"/>
      <c r="I31" s="33" t="s">
        <v>242</v>
      </c>
      <c r="J31" s="39">
        <v>46356</v>
      </c>
      <c r="K31" s="43"/>
      <c r="L31" s="41" t="s">
        <v>4</v>
      </c>
      <c r="M31" s="137">
        <v>6924290.5</v>
      </c>
      <c r="N31" s="55" t="s">
        <v>58</v>
      </c>
      <c r="O31" s="141" t="s">
        <v>371</v>
      </c>
    </row>
    <row r="32" spans="1:15" ht="16.5" customHeight="1">
      <c r="A32" s="59">
        <v>22</v>
      </c>
      <c r="B32" s="46" t="s">
        <v>372</v>
      </c>
      <c r="C32" s="20" t="s">
        <v>373</v>
      </c>
      <c r="D32" s="45" t="s">
        <v>374</v>
      </c>
      <c r="E32" s="47" t="s">
        <v>375</v>
      </c>
      <c r="F32" s="49">
        <v>948686</v>
      </c>
      <c r="G32" s="49">
        <v>2023</v>
      </c>
      <c r="H32" s="46"/>
      <c r="I32" s="33" t="s">
        <v>242</v>
      </c>
      <c r="J32" s="39">
        <v>46356</v>
      </c>
      <c r="K32" s="43"/>
      <c r="L32" s="42" t="s">
        <v>4</v>
      </c>
      <c r="M32" s="136">
        <v>9500000</v>
      </c>
      <c r="N32" s="55" t="s">
        <v>58</v>
      </c>
      <c r="O32" s="75"/>
    </row>
    <row r="33" spans="1:15" ht="20.25" customHeight="1">
      <c r="A33" s="59">
        <v>32</v>
      </c>
      <c r="B33" s="46" t="s">
        <v>135</v>
      </c>
      <c r="C33" s="20">
        <v>2547821</v>
      </c>
      <c r="D33" s="47" t="s">
        <v>376</v>
      </c>
      <c r="E33" s="47" t="s">
        <v>377</v>
      </c>
      <c r="F33" s="46">
        <v>948687</v>
      </c>
      <c r="G33" s="49">
        <v>2023</v>
      </c>
      <c r="H33" s="46"/>
      <c r="I33" s="33" t="s">
        <v>242</v>
      </c>
      <c r="J33" s="39">
        <v>46356</v>
      </c>
      <c r="K33" s="138"/>
      <c r="L33" s="41" t="s">
        <v>4</v>
      </c>
      <c r="M33" s="136">
        <v>8855324</v>
      </c>
      <c r="N33" s="55" t="s">
        <v>58</v>
      </c>
      <c r="O33" s="18"/>
    </row>
    <row r="34" spans="1:15" ht="20.25" customHeight="1">
      <c r="A34" s="59">
        <v>11</v>
      </c>
      <c r="B34" s="46" t="s">
        <v>48</v>
      </c>
      <c r="C34" s="20" t="s">
        <v>323</v>
      </c>
      <c r="D34" s="45" t="s">
        <v>49</v>
      </c>
      <c r="E34" s="47" t="s">
        <v>324</v>
      </c>
      <c r="F34" s="49">
        <v>948685</v>
      </c>
      <c r="G34" s="49">
        <v>2023</v>
      </c>
      <c r="H34" s="132"/>
      <c r="I34" s="135" t="s">
        <v>242</v>
      </c>
      <c r="J34" s="50">
        <v>46357</v>
      </c>
      <c r="K34" s="137"/>
      <c r="L34" s="52" t="s">
        <v>4</v>
      </c>
      <c r="M34" s="137">
        <v>8744495</v>
      </c>
      <c r="N34" s="54" t="s">
        <v>58</v>
      </c>
      <c r="O34" s="58"/>
    </row>
    <row r="35" spans="1:15" s="129" customFormat="1" ht="20.25" customHeight="1">
      <c r="A35" s="59">
        <v>29</v>
      </c>
      <c r="B35" s="19" t="s">
        <v>48</v>
      </c>
      <c r="C35" s="34" t="s">
        <v>378</v>
      </c>
      <c r="D35" s="21" t="s">
        <v>379</v>
      </c>
      <c r="E35" s="22" t="s">
        <v>380</v>
      </c>
      <c r="F35" s="19">
        <v>947524</v>
      </c>
      <c r="G35" s="35">
        <v>2023</v>
      </c>
      <c r="H35" s="31"/>
      <c r="I35" s="33" t="s">
        <v>242</v>
      </c>
      <c r="J35" s="39">
        <v>46357</v>
      </c>
      <c r="K35" s="43"/>
      <c r="L35" s="41" t="s">
        <v>4</v>
      </c>
      <c r="M35" s="137">
        <v>8823709</v>
      </c>
      <c r="N35" s="55" t="s">
        <v>58</v>
      </c>
      <c r="O35" s="74" t="s">
        <v>381</v>
      </c>
    </row>
    <row r="36" spans="1:15" ht="20.25" customHeight="1">
      <c r="A36" s="59">
        <v>30</v>
      </c>
      <c r="B36" s="31" t="s">
        <v>36</v>
      </c>
      <c r="C36" s="27">
        <v>2775999</v>
      </c>
      <c r="D36" s="21" t="s">
        <v>382</v>
      </c>
      <c r="E36" s="32" t="s">
        <v>383</v>
      </c>
      <c r="F36" s="31">
        <v>953726</v>
      </c>
      <c r="G36" s="23">
        <v>2023</v>
      </c>
      <c r="H36" s="35"/>
      <c r="I36" s="33" t="s">
        <v>242</v>
      </c>
      <c r="J36" s="39">
        <v>46386</v>
      </c>
      <c r="K36" s="43"/>
      <c r="L36" s="41" t="s">
        <v>4</v>
      </c>
      <c r="M36" s="136">
        <v>8488912</v>
      </c>
      <c r="N36" s="55" t="s">
        <v>58</v>
      </c>
      <c r="O36" s="18"/>
    </row>
    <row r="37" spans="1:15" ht="20.25" customHeight="1">
      <c r="A37" s="59">
        <v>20</v>
      </c>
      <c r="B37" s="31" t="s">
        <v>384</v>
      </c>
      <c r="C37" s="27">
        <v>2409194</v>
      </c>
      <c r="D37" s="21" t="s">
        <v>385</v>
      </c>
      <c r="E37" s="32" t="s">
        <v>386</v>
      </c>
      <c r="F37" s="31">
        <v>953716</v>
      </c>
      <c r="G37" s="23">
        <v>2023</v>
      </c>
      <c r="H37" s="35"/>
      <c r="I37" s="33" t="s">
        <v>242</v>
      </c>
      <c r="J37" s="39">
        <v>46419</v>
      </c>
      <c r="K37" s="136"/>
      <c r="L37" s="41" t="s">
        <v>4</v>
      </c>
      <c r="M37" s="136">
        <v>10727121</v>
      </c>
      <c r="N37" s="55" t="s">
        <v>58</v>
      </c>
      <c r="O37" s="59"/>
    </row>
    <row r="38" spans="1:15" s="129" customFormat="1" ht="20.25" customHeight="1">
      <c r="A38" s="59">
        <v>27</v>
      </c>
      <c r="B38" s="19" t="s">
        <v>36</v>
      </c>
      <c r="C38" s="27">
        <v>2159252</v>
      </c>
      <c r="D38" s="21" t="s">
        <v>387</v>
      </c>
      <c r="E38" s="22" t="s">
        <v>388</v>
      </c>
      <c r="F38" s="19">
        <v>954398</v>
      </c>
      <c r="G38" s="35">
        <v>2023</v>
      </c>
      <c r="H38" s="31"/>
      <c r="I38" s="33" t="s">
        <v>242</v>
      </c>
      <c r="J38" s="39">
        <v>46419</v>
      </c>
      <c r="K38" s="137"/>
      <c r="L38" s="41" t="s">
        <v>4</v>
      </c>
      <c r="M38" s="137">
        <v>10000000</v>
      </c>
      <c r="N38" s="55" t="s">
        <v>58</v>
      </c>
      <c r="O38" s="73" t="s">
        <v>389</v>
      </c>
    </row>
    <row r="39" spans="1:15" ht="20.25" customHeight="1">
      <c r="A39" s="70" t="s">
        <v>390</v>
      </c>
      <c r="B39" s="71" t="s">
        <v>64</v>
      </c>
      <c r="C39" s="72" t="s">
        <v>273</v>
      </c>
      <c r="D39" s="131" t="s">
        <v>65</v>
      </c>
      <c r="E39" s="47" t="s">
        <v>391</v>
      </c>
      <c r="F39" s="49">
        <v>948692</v>
      </c>
      <c r="G39" s="49">
        <v>2023</v>
      </c>
      <c r="H39" s="132"/>
      <c r="I39" s="33" t="s">
        <v>242</v>
      </c>
      <c r="J39" s="39">
        <v>46419</v>
      </c>
      <c r="K39" s="51"/>
      <c r="L39" s="52" t="s">
        <v>4</v>
      </c>
      <c r="M39" s="137">
        <v>6924290.5</v>
      </c>
      <c r="N39" s="130" t="s">
        <v>58</v>
      </c>
      <c r="O39" s="141" t="s">
        <v>371</v>
      </c>
    </row>
    <row r="40" spans="1:15" ht="20.25" customHeight="1">
      <c r="A40" s="59">
        <v>23</v>
      </c>
      <c r="B40" s="31" t="s">
        <v>71</v>
      </c>
      <c r="C40" s="27" t="s">
        <v>392</v>
      </c>
      <c r="D40" s="45" t="s">
        <v>393</v>
      </c>
      <c r="E40" s="32" t="s">
        <v>394</v>
      </c>
      <c r="F40" s="31">
        <v>953401</v>
      </c>
      <c r="G40" s="23">
        <v>2023</v>
      </c>
      <c r="H40" s="35"/>
      <c r="I40" s="33" t="s">
        <v>242</v>
      </c>
      <c r="J40" s="39">
        <v>46476</v>
      </c>
      <c r="K40" s="43"/>
      <c r="L40" s="41" t="s">
        <v>4</v>
      </c>
      <c r="M40" s="136">
        <v>8489623</v>
      </c>
      <c r="N40" s="55" t="s">
        <v>58</v>
      </c>
      <c r="O40" s="18"/>
    </row>
    <row r="41" spans="1:15" ht="20.25" customHeight="1">
      <c r="A41" s="70" t="s">
        <v>395</v>
      </c>
      <c r="B41" s="71" t="s">
        <v>95</v>
      </c>
      <c r="C41" s="72">
        <v>2726998</v>
      </c>
      <c r="D41" s="131" t="s">
        <v>96</v>
      </c>
      <c r="E41" s="47" t="s">
        <v>326</v>
      </c>
      <c r="F41" s="46">
        <v>947527</v>
      </c>
      <c r="G41" s="49">
        <v>2023</v>
      </c>
      <c r="H41" s="46"/>
      <c r="I41" s="33" t="s">
        <v>242</v>
      </c>
      <c r="J41" s="50">
        <v>46569</v>
      </c>
      <c r="K41" s="51"/>
      <c r="L41" s="52" t="s">
        <v>4</v>
      </c>
      <c r="M41" s="137">
        <v>6928405</v>
      </c>
      <c r="N41" s="54" t="s">
        <v>58</v>
      </c>
      <c r="O41" s="168" t="s">
        <v>396</v>
      </c>
    </row>
    <row r="42" spans="1:15" ht="20.25" customHeight="1">
      <c r="A42" s="59">
        <v>38</v>
      </c>
      <c r="B42" s="46" t="s">
        <v>32</v>
      </c>
      <c r="C42" s="34" t="s">
        <v>397</v>
      </c>
      <c r="D42" s="45" t="s">
        <v>398</v>
      </c>
      <c r="E42" s="47" t="s">
        <v>399</v>
      </c>
      <c r="F42" s="46">
        <v>973049</v>
      </c>
      <c r="G42" s="23">
        <v>2024</v>
      </c>
      <c r="H42" s="31"/>
      <c r="I42" s="33" t="s">
        <v>242</v>
      </c>
      <c r="J42" s="39">
        <v>46722</v>
      </c>
      <c r="K42" s="139"/>
      <c r="L42" s="41" t="s">
        <v>4</v>
      </c>
      <c r="M42" s="139">
        <v>12154901</v>
      </c>
      <c r="N42" s="56" t="s">
        <v>276</v>
      </c>
      <c r="O42" s="18"/>
    </row>
    <row r="43" spans="1:15" ht="20.25" customHeight="1">
      <c r="A43" s="59">
        <v>42</v>
      </c>
      <c r="B43" s="46" t="s">
        <v>71</v>
      </c>
      <c r="C43" s="34" t="s">
        <v>400</v>
      </c>
      <c r="D43" s="45" t="s">
        <v>270</v>
      </c>
      <c r="E43" s="47" t="s">
        <v>401</v>
      </c>
      <c r="F43" s="46">
        <v>968527</v>
      </c>
      <c r="G43" s="35">
        <v>2024</v>
      </c>
      <c r="H43" s="31"/>
      <c r="I43" s="33" t="s">
        <v>242</v>
      </c>
      <c r="J43" s="39">
        <v>46722</v>
      </c>
      <c r="K43" s="139"/>
      <c r="L43" s="41" t="s">
        <v>4</v>
      </c>
      <c r="M43" s="139">
        <v>9306616</v>
      </c>
      <c r="N43" s="56" t="s">
        <v>276</v>
      </c>
      <c r="O43" s="18"/>
    </row>
    <row r="44" spans="1:15" ht="20.25" customHeight="1">
      <c r="A44" s="34">
        <v>44</v>
      </c>
      <c r="B44" s="34" t="s">
        <v>177</v>
      </c>
      <c r="C44" s="34" t="s">
        <v>402</v>
      </c>
      <c r="D44" s="45" t="s">
        <v>403</v>
      </c>
      <c r="E44" s="45" t="s">
        <v>404</v>
      </c>
      <c r="F44" s="46">
        <v>985655</v>
      </c>
      <c r="G44" s="19">
        <v>2025</v>
      </c>
      <c r="H44" s="21" t="s">
        <v>405</v>
      </c>
      <c r="I44" s="147" t="s">
        <v>242</v>
      </c>
      <c r="J44" s="39">
        <v>46722</v>
      </c>
      <c r="K44" s="139"/>
      <c r="L44" s="41" t="s">
        <v>4</v>
      </c>
      <c r="M44" s="148">
        <v>9976112</v>
      </c>
      <c r="N44" s="56" t="s">
        <v>292</v>
      </c>
      <c r="O44" s="18"/>
    </row>
    <row r="45" spans="1:15" ht="20.25" customHeight="1">
      <c r="A45" s="59">
        <v>34</v>
      </c>
      <c r="B45" s="46" t="s">
        <v>24</v>
      </c>
      <c r="C45" s="20" t="s">
        <v>406</v>
      </c>
      <c r="D45" s="45" t="s">
        <v>25</v>
      </c>
      <c r="E45" s="47" t="s">
        <v>407</v>
      </c>
      <c r="F45" s="133" t="s">
        <v>408</v>
      </c>
      <c r="G45" s="35">
        <v>2023</v>
      </c>
      <c r="H45" s="35"/>
      <c r="I45" s="33" t="s">
        <v>242</v>
      </c>
      <c r="J45" s="40" t="s">
        <v>409</v>
      </c>
      <c r="K45" s="137"/>
      <c r="L45" s="41" t="s">
        <v>349</v>
      </c>
      <c r="M45" s="137">
        <v>7090000</v>
      </c>
      <c r="N45" s="56" t="s">
        <v>58</v>
      </c>
      <c r="O45" s="18"/>
    </row>
    <row r="46" spans="1:15" ht="20.25" customHeight="1">
      <c r="A46" s="59">
        <v>37</v>
      </c>
      <c r="B46" s="46" t="s">
        <v>71</v>
      </c>
      <c r="C46" s="20" t="s">
        <v>400</v>
      </c>
      <c r="D46" s="45" t="s">
        <v>270</v>
      </c>
      <c r="E46" s="47" t="s">
        <v>410</v>
      </c>
      <c r="F46" s="133" t="s">
        <v>411</v>
      </c>
      <c r="G46" s="18">
        <v>2023</v>
      </c>
      <c r="H46" s="31"/>
      <c r="I46" s="33" t="s">
        <v>242</v>
      </c>
      <c r="J46" s="40" t="s">
        <v>409</v>
      </c>
      <c r="K46" s="140"/>
      <c r="L46" s="41" t="s">
        <v>349</v>
      </c>
      <c r="M46" s="140">
        <v>8421420</v>
      </c>
      <c r="N46" s="56" t="s">
        <v>58</v>
      </c>
      <c r="O46" s="74" t="s">
        <v>412</v>
      </c>
    </row>
    <row r="47" spans="1:15" ht="20.25" customHeight="1">
      <c r="A47" s="59">
        <v>43</v>
      </c>
      <c r="B47" s="46" t="s">
        <v>71</v>
      </c>
      <c r="C47" s="20">
        <v>2748223</v>
      </c>
      <c r="D47" s="45" t="s">
        <v>413</v>
      </c>
      <c r="E47" s="47" t="s">
        <v>414</v>
      </c>
      <c r="F47" s="46">
        <v>925320</v>
      </c>
      <c r="G47" s="23">
        <v>2021</v>
      </c>
      <c r="H47" s="31"/>
      <c r="I47" s="153" t="s">
        <v>242</v>
      </c>
      <c r="J47" s="39" t="s">
        <v>415</v>
      </c>
      <c r="K47" s="43"/>
      <c r="L47" s="41" t="s">
        <v>4</v>
      </c>
      <c r="M47" s="154">
        <v>11932160</v>
      </c>
      <c r="N47" s="56" t="s">
        <v>276</v>
      </c>
      <c r="O47" s="18" t="s">
        <v>416</v>
      </c>
    </row>
    <row r="48" spans="1:15" ht="20.25" customHeight="1">
      <c r="L48" s="136"/>
      <c r="M48" s="144">
        <f>SUBTOTAL(9,M2:M47)</f>
        <v>419033873.14999998</v>
      </c>
    </row>
  </sheetData>
  <autoFilter ref="A1:O48" xr:uid="{00000000-0001-0000-0200-000000000000}"/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B621-3056-4A87-B4D6-8499283ADE28}">
  <sheetPr filterMode="1"/>
  <dimension ref="A1:N22"/>
  <sheetViews>
    <sheetView workbookViewId="0">
      <selection sqref="A1:XFD1048576"/>
    </sheetView>
  </sheetViews>
  <sheetFormatPr defaultRowHeight="15"/>
  <cols>
    <col min="2" max="2" width="16.5703125" customWidth="1"/>
    <col min="3" max="3" width="27.140625" customWidth="1"/>
    <col min="5" max="5" width="23.42578125" customWidth="1"/>
    <col min="6" max="6" width="61.7109375" customWidth="1"/>
    <col min="8" max="8" width="12.28515625" customWidth="1"/>
    <col min="9" max="9" width="17" customWidth="1"/>
    <col min="10" max="10" width="21.140625" customWidth="1"/>
    <col min="11" max="11" width="41.42578125" customWidth="1"/>
    <col min="12" max="12" width="33.28515625" customWidth="1"/>
    <col min="13" max="13" width="21" customWidth="1"/>
    <col min="14" max="14" width="88.5703125" customWidth="1"/>
  </cols>
  <sheetData>
    <row r="1" spans="1:14" s="3" customFormat="1" ht="24.75" customHeight="1">
      <c r="A1" s="150" t="s">
        <v>10</v>
      </c>
      <c r="B1" s="151" t="s">
        <v>259</v>
      </c>
      <c r="C1" s="151" t="s">
        <v>417</v>
      </c>
      <c r="D1" s="151" t="s">
        <v>11</v>
      </c>
      <c r="E1" s="151" t="s">
        <v>418</v>
      </c>
      <c r="F1" s="151" t="s">
        <v>419</v>
      </c>
      <c r="G1" s="151" t="s">
        <v>261</v>
      </c>
      <c r="H1" s="151" t="s">
        <v>420</v>
      </c>
      <c r="I1" s="151" t="s">
        <v>421</v>
      </c>
      <c r="J1" s="151" t="s">
        <v>422</v>
      </c>
      <c r="K1" s="151" t="s">
        <v>423</v>
      </c>
      <c r="L1" s="151" t="s">
        <v>424</v>
      </c>
      <c r="M1" s="151" t="s">
        <v>425</v>
      </c>
      <c r="N1" s="159" t="s">
        <v>426</v>
      </c>
    </row>
    <row r="2" spans="1:14" s="3" customFormat="1" ht="24.75" customHeight="1">
      <c r="A2" s="160">
        <v>1</v>
      </c>
      <c r="B2" s="161">
        <v>2802104</v>
      </c>
      <c r="C2" s="161" t="s">
        <v>427</v>
      </c>
      <c r="D2" s="161" t="s">
        <v>32</v>
      </c>
      <c r="E2" s="162" t="s">
        <v>428</v>
      </c>
      <c r="F2" s="162" t="s">
        <v>429</v>
      </c>
      <c r="G2" s="161">
        <v>2024</v>
      </c>
      <c r="H2" s="161" t="s">
        <v>430</v>
      </c>
      <c r="I2" s="166" t="s">
        <v>431</v>
      </c>
      <c r="J2" s="166" t="s">
        <v>432</v>
      </c>
      <c r="K2" s="162" t="s">
        <v>433</v>
      </c>
      <c r="L2" s="162" t="s">
        <v>434</v>
      </c>
      <c r="M2" s="164" t="s">
        <v>435</v>
      </c>
      <c r="N2" s="163" t="s">
        <v>436</v>
      </c>
    </row>
    <row r="3" spans="1:14" s="3" customFormat="1" ht="24.75" customHeight="1">
      <c r="A3" s="160">
        <v>2</v>
      </c>
      <c r="B3" s="161">
        <v>2506815</v>
      </c>
      <c r="C3" s="161" t="s">
        <v>437</v>
      </c>
      <c r="D3" s="161" t="s">
        <v>157</v>
      </c>
      <c r="E3" s="162" t="s">
        <v>438</v>
      </c>
      <c r="F3" s="162" t="s">
        <v>439</v>
      </c>
      <c r="G3" s="161">
        <v>2024</v>
      </c>
      <c r="H3" s="161" t="s">
        <v>440</v>
      </c>
      <c r="I3" s="166" t="s">
        <v>441</v>
      </c>
      <c r="J3" s="166" t="s">
        <v>442</v>
      </c>
      <c r="K3" s="162" t="s">
        <v>443</v>
      </c>
      <c r="L3" s="162" t="s">
        <v>444</v>
      </c>
      <c r="M3" s="164" t="s">
        <v>445</v>
      </c>
      <c r="N3" s="163" t="s">
        <v>446</v>
      </c>
    </row>
    <row r="4" spans="1:14" s="3" customFormat="1" ht="24.75" customHeight="1">
      <c r="A4" s="160">
        <v>3</v>
      </c>
      <c r="B4" s="161">
        <v>2205440</v>
      </c>
      <c r="C4" s="161" t="s">
        <v>447</v>
      </c>
      <c r="D4" s="161" t="s">
        <v>36</v>
      </c>
      <c r="E4" s="162" t="s">
        <v>448</v>
      </c>
      <c r="F4" s="162" t="s">
        <v>449</v>
      </c>
      <c r="G4" s="161">
        <v>2024</v>
      </c>
      <c r="H4" s="161" t="s">
        <v>450</v>
      </c>
      <c r="I4" s="166" t="s">
        <v>451</v>
      </c>
      <c r="J4" s="166" t="s">
        <v>452</v>
      </c>
      <c r="K4" s="162" t="s">
        <v>433</v>
      </c>
      <c r="L4" s="162" t="s">
        <v>434</v>
      </c>
      <c r="M4" s="164" t="s">
        <v>453</v>
      </c>
      <c r="N4" s="163" t="s">
        <v>436</v>
      </c>
    </row>
    <row r="5" spans="1:14" s="3" customFormat="1" ht="24.75" customHeight="1">
      <c r="A5" s="160">
        <v>4</v>
      </c>
      <c r="B5" s="161">
        <v>2205440</v>
      </c>
      <c r="C5" s="161" t="s">
        <v>454</v>
      </c>
      <c r="D5" s="161" t="s">
        <v>36</v>
      </c>
      <c r="E5" s="162" t="s">
        <v>448</v>
      </c>
      <c r="F5" s="162" t="s">
        <v>449</v>
      </c>
      <c r="G5" s="161">
        <v>2025</v>
      </c>
      <c r="H5" s="161" t="s">
        <v>455</v>
      </c>
      <c r="I5" s="166" t="s">
        <v>456</v>
      </c>
      <c r="J5" s="166" t="s">
        <v>457</v>
      </c>
      <c r="K5" s="162" t="s">
        <v>458</v>
      </c>
      <c r="L5" s="162" t="s">
        <v>459</v>
      </c>
      <c r="M5" s="164" t="s">
        <v>453</v>
      </c>
      <c r="N5" s="163" t="s">
        <v>460</v>
      </c>
    </row>
    <row r="6" spans="1:14" s="3" customFormat="1" ht="24.75" customHeight="1">
      <c r="A6" s="160">
        <v>5</v>
      </c>
      <c r="B6" s="161">
        <v>2740338</v>
      </c>
      <c r="C6" s="161" t="s">
        <v>461</v>
      </c>
      <c r="D6" s="161" t="s">
        <v>64</v>
      </c>
      <c r="E6" s="162" t="s">
        <v>462</v>
      </c>
      <c r="F6" s="162" t="s">
        <v>463</v>
      </c>
      <c r="G6" s="161">
        <v>2024</v>
      </c>
      <c r="H6" s="161" t="s">
        <v>464</v>
      </c>
      <c r="I6" s="166" t="s">
        <v>465</v>
      </c>
      <c r="J6" s="166" t="s">
        <v>466</v>
      </c>
      <c r="K6" s="162" t="s">
        <v>433</v>
      </c>
      <c r="L6" s="162" t="s">
        <v>434</v>
      </c>
      <c r="M6" s="164" t="s">
        <v>467</v>
      </c>
      <c r="N6" s="163" t="s">
        <v>436</v>
      </c>
    </row>
    <row r="7" spans="1:14" s="3" customFormat="1" ht="24.75" customHeight="1">
      <c r="A7" s="160">
        <v>6</v>
      </c>
      <c r="B7" s="161">
        <v>1120</v>
      </c>
      <c r="C7" s="161" t="s">
        <v>468</v>
      </c>
      <c r="D7" s="161" t="s">
        <v>177</v>
      </c>
      <c r="E7" s="162" t="s">
        <v>469</v>
      </c>
      <c r="F7" s="162" t="s">
        <v>470</v>
      </c>
      <c r="G7" s="161">
        <v>2024</v>
      </c>
      <c r="H7" s="161" t="s">
        <v>471</v>
      </c>
      <c r="I7" s="166" t="s">
        <v>441</v>
      </c>
      <c r="J7" s="166" t="s">
        <v>441</v>
      </c>
      <c r="K7" s="162" t="s">
        <v>433</v>
      </c>
      <c r="L7" s="162" t="s">
        <v>434</v>
      </c>
      <c r="M7" s="164" t="s">
        <v>472</v>
      </c>
      <c r="N7" s="163" t="s">
        <v>436</v>
      </c>
    </row>
    <row r="8" spans="1:14" s="3" customFormat="1" ht="24.75" customHeight="1">
      <c r="A8" s="160">
        <v>7</v>
      </c>
      <c r="B8" s="161">
        <v>2697696</v>
      </c>
      <c r="C8" s="161" t="s">
        <v>473</v>
      </c>
      <c r="D8" s="161" t="s">
        <v>150</v>
      </c>
      <c r="E8" s="162" t="s">
        <v>474</v>
      </c>
      <c r="F8" s="162" t="s">
        <v>475</v>
      </c>
      <c r="G8" s="161">
        <v>2024</v>
      </c>
      <c r="H8" s="161" t="s">
        <v>471</v>
      </c>
      <c r="I8" s="166" t="s">
        <v>476</v>
      </c>
      <c r="J8" s="166" t="s">
        <v>476</v>
      </c>
      <c r="K8" s="162" t="s">
        <v>443</v>
      </c>
      <c r="L8" s="162" t="s">
        <v>444</v>
      </c>
      <c r="M8" s="164" t="s">
        <v>477</v>
      </c>
      <c r="N8" s="167" t="s">
        <v>478</v>
      </c>
    </row>
    <row r="9" spans="1:14" s="3" customFormat="1" ht="24.75" customHeight="1">
      <c r="A9" s="160">
        <v>8</v>
      </c>
      <c r="B9" s="161">
        <v>2219646</v>
      </c>
      <c r="C9" s="161" t="s">
        <v>479</v>
      </c>
      <c r="D9" s="161" t="s">
        <v>36</v>
      </c>
      <c r="E9" s="162" t="s">
        <v>480</v>
      </c>
      <c r="F9" s="162" t="s">
        <v>481</v>
      </c>
      <c r="G9" s="161">
        <v>2024</v>
      </c>
      <c r="H9" s="161" t="s">
        <v>482</v>
      </c>
      <c r="I9" s="166" t="s">
        <v>483</v>
      </c>
      <c r="J9" s="166" t="s">
        <v>484</v>
      </c>
      <c r="K9" s="162" t="s">
        <v>443</v>
      </c>
      <c r="L9" s="162" t="s">
        <v>444</v>
      </c>
      <c r="M9" s="164" t="s">
        <v>485</v>
      </c>
      <c r="N9" s="163" t="s">
        <v>486</v>
      </c>
    </row>
    <row r="10" spans="1:14" s="3" customFormat="1" ht="24.75" customHeight="1">
      <c r="A10" s="160">
        <v>9</v>
      </c>
      <c r="B10" s="161">
        <v>7400926</v>
      </c>
      <c r="C10" s="161" t="s">
        <v>487</v>
      </c>
      <c r="D10" s="161" t="s">
        <v>71</v>
      </c>
      <c r="E10" s="162" t="s">
        <v>488</v>
      </c>
      <c r="F10" s="162" t="s">
        <v>489</v>
      </c>
      <c r="G10" s="161">
        <v>2024</v>
      </c>
      <c r="H10" s="161" t="s">
        <v>490</v>
      </c>
      <c r="I10" s="166" t="s">
        <v>491</v>
      </c>
      <c r="J10" s="166" t="s">
        <v>492</v>
      </c>
      <c r="K10" s="162" t="s">
        <v>493</v>
      </c>
      <c r="L10" s="162" t="s">
        <v>434</v>
      </c>
      <c r="M10" s="164" t="s">
        <v>494</v>
      </c>
      <c r="N10" s="163" t="s">
        <v>495</v>
      </c>
    </row>
    <row r="11" spans="1:14" s="3" customFormat="1" ht="24.75" customHeight="1">
      <c r="A11" s="160">
        <v>10</v>
      </c>
      <c r="B11" s="161">
        <v>13633</v>
      </c>
      <c r="C11" s="161" t="s">
        <v>496</v>
      </c>
      <c r="D11" s="161" t="s">
        <v>64</v>
      </c>
      <c r="E11" s="162" t="s">
        <v>497</v>
      </c>
      <c r="F11" s="162" t="s">
        <v>498</v>
      </c>
      <c r="G11" s="161">
        <v>2025</v>
      </c>
      <c r="H11" s="161" t="s">
        <v>499</v>
      </c>
      <c r="I11" s="166" t="s">
        <v>500</v>
      </c>
      <c r="J11" s="166" t="s">
        <v>501</v>
      </c>
      <c r="K11" s="162" t="s">
        <v>502</v>
      </c>
      <c r="L11" s="162" t="s">
        <v>459</v>
      </c>
      <c r="M11" s="164" t="s">
        <v>503</v>
      </c>
      <c r="N11" s="163" t="s">
        <v>504</v>
      </c>
    </row>
    <row r="12" spans="1:14" s="3" customFormat="1" ht="24.75" customHeight="1">
      <c r="A12" s="160">
        <v>11</v>
      </c>
      <c r="B12" s="161">
        <v>2080125</v>
      </c>
      <c r="C12" s="161" t="s">
        <v>505</v>
      </c>
      <c r="D12" s="161" t="s">
        <v>71</v>
      </c>
      <c r="E12" s="162" t="s">
        <v>506</v>
      </c>
      <c r="F12" s="162" t="s">
        <v>507</v>
      </c>
      <c r="G12" s="161">
        <v>2024</v>
      </c>
      <c r="H12" s="161" t="s">
        <v>508</v>
      </c>
      <c r="I12" s="166" t="s">
        <v>509</v>
      </c>
      <c r="J12" s="166" t="s">
        <v>510</v>
      </c>
      <c r="K12" s="162" t="s">
        <v>433</v>
      </c>
      <c r="L12" s="162" t="s">
        <v>434</v>
      </c>
      <c r="M12" s="164" t="s">
        <v>511</v>
      </c>
      <c r="N12" s="163" t="s">
        <v>512</v>
      </c>
    </row>
    <row r="13" spans="1:14" s="3" customFormat="1" ht="24.75" customHeight="1">
      <c r="A13" s="160">
        <v>12</v>
      </c>
      <c r="B13" s="161">
        <v>2246929</v>
      </c>
      <c r="C13" s="161" t="s">
        <v>513</v>
      </c>
      <c r="D13" s="161" t="s">
        <v>55</v>
      </c>
      <c r="E13" s="162" t="s">
        <v>514</v>
      </c>
      <c r="F13" s="162" t="s">
        <v>515</v>
      </c>
      <c r="G13" s="161">
        <v>2024</v>
      </c>
      <c r="H13" s="161" t="s">
        <v>516</v>
      </c>
      <c r="I13" s="166" t="s">
        <v>483</v>
      </c>
      <c r="J13" s="166" t="s">
        <v>517</v>
      </c>
      <c r="K13" s="162" t="s">
        <v>443</v>
      </c>
      <c r="L13" s="162" t="s">
        <v>444</v>
      </c>
      <c r="M13" s="165" t="s">
        <v>518</v>
      </c>
      <c r="N13" s="163" t="s">
        <v>519</v>
      </c>
    </row>
    <row r="14" spans="1:14" s="3" customFormat="1" ht="24.75" customHeight="1">
      <c r="A14" s="160">
        <v>13</v>
      </c>
      <c r="B14" s="161">
        <v>2758164</v>
      </c>
      <c r="C14" s="161" t="s">
        <v>520</v>
      </c>
      <c r="D14" s="161" t="s">
        <v>40</v>
      </c>
      <c r="E14" s="162" t="s">
        <v>521</v>
      </c>
      <c r="F14" s="162" t="s">
        <v>522</v>
      </c>
      <c r="G14" s="161">
        <v>2024</v>
      </c>
      <c r="H14" s="161" t="s">
        <v>523</v>
      </c>
      <c r="I14" s="166" t="s">
        <v>524</v>
      </c>
      <c r="J14" s="166" t="s">
        <v>525</v>
      </c>
      <c r="K14" s="162" t="s">
        <v>493</v>
      </c>
      <c r="L14" s="162" t="s">
        <v>434</v>
      </c>
      <c r="M14" s="164" t="s">
        <v>526</v>
      </c>
      <c r="N14" s="163" t="s">
        <v>527</v>
      </c>
    </row>
    <row r="15" spans="1:14" s="3" customFormat="1" ht="24.75" customHeight="1">
      <c r="A15" s="160">
        <v>14</v>
      </c>
      <c r="B15" s="161">
        <v>4586298</v>
      </c>
      <c r="C15" s="161" t="s">
        <v>528</v>
      </c>
      <c r="D15" s="161" t="s">
        <v>529</v>
      </c>
      <c r="E15" s="162" t="s">
        <v>530</v>
      </c>
      <c r="F15" s="162" t="s">
        <v>267</v>
      </c>
      <c r="G15" s="161">
        <v>2025</v>
      </c>
      <c r="H15" s="161" t="s">
        <v>531</v>
      </c>
      <c r="I15" s="166" t="s">
        <v>532</v>
      </c>
      <c r="J15" s="166" t="s">
        <v>533</v>
      </c>
      <c r="K15" s="162" t="s">
        <v>502</v>
      </c>
      <c r="L15" s="162" t="s">
        <v>459</v>
      </c>
      <c r="M15" s="165" t="s">
        <v>534</v>
      </c>
      <c r="N15" s="163" t="s">
        <v>460</v>
      </c>
    </row>
    <row r="16" spans="1:14" s="3" customFormat="1" ht="24.75" customHeight="1">
      <c r="A16" s="160">
        <v>15</v>
      </c>
      <c r="B16" s="161">
        <v>7845138</v>
      </c>
      <c r="C16" s="161" t="s">
        <v>535</v>
      </c>
      <c r="D16" s="161" t="s">
        <v>64</v>
      </c>
      <c r="E16" s="162" t="s">
        <v>536</v>
      </c>
      <c r="F16" s="162" t="s">
        <v>463</v>
      </c>
      <c r="G16" s="161">
        <v>2025</v>
      </c>
      <c r="H16" s="161" t="s">
        <v>537</v>
      </c>
      <c r="I16" s="166" t="s">
        <v>538</v>
      </c>
      <c r="J16" s="166" t="s">
        <v>539</v>
      </c>
      <c r="K16" s="162" t="s">
        <v>502</v>
      </c>
      <c r="L16" s="162" t="s">
        <v>459</v>
      </c>
      <c r="M16" s="164" t="s">
        <v>467</v>
      </c>
      <c r="N16" s="163" t="s">
        <v>460</v>
      </c>
    </row>
    <row r="17" spans="1:14" s="3" customFormat="1" ht="24.75" customHeight="1">
      <c r="A17" s="160">
        <v>16</v>
      </c>
      <c r="B17" s="161">
        <v>2083086</v>
      </c>
      <c r="C17" s="161" t="s">
        <v>540</v>
      </c>
      <c r="D17" s="161" t="s">
        <v>71</v>
      </c>
      <c r="E17" s="162" t="s">
        <v>541</v>
      </c>
      <c r="F17" s="162" t="s">
        <v>394</v>
      </c>
      <c r="G17" s="161">
        <v>2025</v>
      </c>
      <c r="H17" s="161" t="s">
        <v>542</v>
      </c>
      <c r="I17" s="166" t="s">
        <v>543</v>
      </c>
      <c r="J17" s="166" t="s">
        <v>544</v>
      </c>
      <c r="K17" s="162" t="s">
        <v>502</v>
      </c>
      <c r="L17" s="162" t="s">
        <v>459</v>
      </c>
      <c r="M17" s="164" t="s">
        <v>545</v>
      </c>
      <c r="N17" s="163" t="s">
        <v>460</v>
      </c>
    </row>
    <row r="18" spans="1:14" s="3" customFormat="1" ht="24.75" customHeight="1">
      <c r="A18" s="160">
        <v>17</v>
      </c>
      <c r="B18" s="161">
        <v>2534444</v>
      </c>
      <c r="C18" s="161" t="s">
        <v>546</v>
      </c>
      <c r="D18" s="161" t="s">
        <v>213</v>
      </c>
      <c r="E18" s="162" t="s">
        <v>547</v>
      </c>
      <c r="F18" s="162" t="s">
        <v>548</v>
      </c>
      <c r="G18" s="161">
        <v>2025</v>
      </c>
      <c r="H18" s="161" t="s">
        <v>549</v>
      </c>
      <c r="I18" s="166" t="s">
        <v>550</v>
      </c>
      <c r="J18" s="166" t="s">
        <v>551</v>
      </c>
      <c r="K18" s="162" t="s">
        <v>502</v>
      </c>
      <c r="L18" s="162" t="s">
        <v>459</v>
      </c>
      <c r="M18" s="164" t="s">
        <v>552</v>
      </c>
      <c r="N18" s="163" t="s">
        <v>460</v>
      </c>
    </row>
    <row r="19" spans="1:14" s="3" customFormat="1" ht="24.75" customHeight="1">
      <c r="A19" s="160">
        <v>18</v>
      </c>
      <c r="B19" s="161">
        <v>3786</v>
      </c>
      <c r="C19" s="161" t="s">
        <v>553</v>
      </c>
      <c r="D19" s="161" t="s">
        <v>32</v>
      </c>
      <c r="E19" s="162" t="s">
        <v>428</v>
      </c>
      <c r="F19" s="162" t="s">
        <v>344</v>
      </c>
      <c r="G19" s="161">
        <v>2025</v>
      </c>
      <c r="H19" s="161" t="s">
        <v>554</v>
      </c>
      <c r="I19" s="166" t="s">
        <v>550</v>
      </c>
      <c r="J19" s="166" t="s">
        <v>555</v>
      </c>
      <c r="K19" s="162" t="s">
        <v>502</v>
      </c>
      <c r="L19" s="162" t="s">
        <v>459</v>
      </c>
      <c r="M19" s="164" t="s">
        <v>556</v>
      </c>
      <c r="N19" s="163" t="s">
        <v>460</v>
      </c>
    </row>
    <row r="20" spans="1:14" s="3" customFormat="1" ht="24.75" customHeight="1">
      <c r="A20" s="160">
        <v>19</v>
      </c>
      <c r="B20" s="161">
        <v>2332671</v>
      </c>
      <c r="C20" s="161" t="s">
        <v>557</v>
      </c>
      <c r="D20" s="161" t="s">
        <v>558</v>
      </c>
      <c r="E20" s="162" t="s">
        <v>559</v>
      </c>
      <c r="F20" s="162" t="s">
        <v>560</v>
      </c>
      <c r="G20" s="161">
        <v>2025</v>
      </c>
      <c r="H20" s="161" t="s">
        <v>561</v>
      </c>
      <c r="I20" s="166" t="s">
        <v>562</v>
      </c>
      <c r="J20" s="166" t="s">
        <v>30</v>
      </c>
      <c r="K20" s="162" t="s">
        <v>502</v>
      </c>
      <c r="L20" s="162" t="s">
        <v>459</v>
      </c>
      <c r="M20" s="164" t="s">
        <v>563</v>
      </c>
      <c r="N20" s="163" t="s">
        <v>460</v>
      </c>
    </row>
    <row r="21" spans="1:14" s="3" customFormat="1" ht="24.75" customHeight="1">
      <c r="A21" s="160">
        <v>20</v>
      </c>
      <c r="B21" s="161">
        <v>2149990</v>
      </c>
      <c r="C21" s="161" t="s">
        <v>564</v>
      </c>
      <c r="D21" s="161" t="s">
        <v>36</v>
      </c>
      <c r="E21" s="162" t="s">
        <v>480</v>
      </c>
      <c r="F21" s="162" t="s">
        <v>565</v>
      </c>
      <c r="G21" s="161">
        <v>2025</v>
      </c>
      <c r="H21" s="161" t="s">
        <v>561</v>
      </c>
      <c r="I21" s="166" t="s">
        <v>550</v>
      </c>
      <c r="J21" s="166" t="s">
        <v>30</v>
      </c>
      <c r="K21" s="162" t="s">
        <v>502</v>
      </c>
      <c r="L21" s="162" t="s">
        <v>459</v>
      </c>
      <c r="M21" s="164" t="s">
        <v>566</v>
      </c>
      <c r="N21" s="163" t="s">
        <v>460</v>
      </c>
    </row>
    <row r="22" spans="1:14" s="3" customFormat="1" ht="24.75" customHeight="1">
      <c r="A22" s="160">
        <v>21</v>
      </c>
      <c r="B22" s="161">
        <v>2756951</v>
      </c>
      <c r="C22" s="161" t="s">
        <v>567</v>
      </c>
      <c r="D22" s="161" t="s">
        <v>252</v>
      </c>
      <c r="E22" s="162" t="s">
        <v>568</v>
      </c>
      <c r="F22" s="162" t="s">
        <v>569</v>
      </c>
      <c r="G22" s="161">
        <v>2025</v>
      </c>
      <c r="H22" s="161" t="s">
        <v>561</v>
      </c>
      <c r="I22" s="166" t="s">
        <v>570</v>
      </c>
      <c r="J22" s="166" t="s">
        <v>30</v>
      </c>
      <c r="K22" s="162" t="s">
        <v>502</v>
      </c>
      <c r="L22" s="162" t="s">
        <v>459</v>
      </c>
      <c r="M22" s="164" t="s">
        <v>571</v>
      </c>
      <c r="N22" s="163" t="s">
        <v>460</v>
      </c>
    </row>
  </sheetData>
  <autoFilter ref="A1:N22" xr:uid="{6BA0B621-3056-4A87-B4D6-8499283ADE28}">
    <filterColumn colId="4">
      <filters>
        <filter val="Recife"/>
      </filters>
    </filterColumn>
  </autoFilter>
  <hyperlinks>
    <hyperlink ref="M13" r:id="rId1" xr:uid="{DB685516-DB08-4BC4-BDF4-E95A9EA290C7}"/>
    <hyperlink ref="M15" r:id="rId2" xr:uid="{60C065BF-3E28-483D-A23A-44A867ADCA3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2B60CFA3574E418ABE55294884A6E6" ma:contentTypeVersion="8" ma:contentTypeDescription="Crie um novo documento." ma:contentTypeScope="" ma:versionID="8bab56e7f3b4bb0ad8170e6889b611db">
  <xsd:schema xmlns:xsd="http://www.w3.org/2001/XMLSchema" xmlns:xs="http://www.w3.org/2001/XMLSchema" xmlns:p="http://schemas.microsoft.com/office/2006/metadata/properties" xmlns:ns2="6f7ca0c4-1488-499e-a7f3-eda84cf95c24" targetNamespace="http://schemas.microsoft.com/office/2006/metadata/properties" ma:root="true" ma:fieldsID="575b4d5cd5c839abd935955da0e26345" ns2:_="">
    <xsd:import namespace="6f7ca0c4-1488-499e-a7f3-eda84cf95c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7ca0c4-1488-499e-a7f3-eda84cf95c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B76121-C69C-4694-83F8-C8664E22DE88}"/>
</file>

<file path=customXml/itemProps2.xml><?xml version="1.0" encoding="utf-8"?>
<ds:datastoreItem xmlns:ds="http://schemas.openxmlformats.org/officeDocument/2006/customXml" ds:itemID="{7EF7652E-B966-4FE8-A2B3-6B6968E53530}"/>
</file>

<file path=customXml/itemProps3.xml><?xml version="1.0" encoding="utf-8"?>
<ds:datastoreItem xmlns:ds="http://schemas.openxmlformats.org/officeDocument/2006/customXml" ds:itemID="{8A65D17B-C23D-40C9-93C8-05745C0E1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Aparecida Dias</dc:creator>
  <cp:keywords/>
  <dc:description/>
  <cp:lastModifiedBy/>
  <cp:revision/>
  <dcterms:created xsi:type="dcterms:W3CDTF">2026-01-13T13:49:34Z</dcterms:created>
  <dcterms:modified xsi:type="dcterms:W3CDTF">2026-09-25T12:08:52Z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0x010100E32B60CFA3574E418ABE55294884A6E6</vt:lpwstr>
  </property>
</Properties>
</file>