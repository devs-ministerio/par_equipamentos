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2" activeTab="2" autoFilterDateGrouping="1"/>
  </bookViews>
  <sheets>
    <sheet name="Instrucional" sheetId="1" state="visible" r:id="rId1"/>
    <sheet name="ACL Concluídos" sheetId="2" state="visible" r:id="rId2"/>
    <sheet name="Planilha Monitoramento " sheetId="3" state="visible" r:id="rId3"/>
    <sheet name="Em Desenvolvimento" sheetId="4" state="visible" r:id="rId4"/>
    <sheet name="FAFs antigos" sheetId="5" state="visible" r:id="rId5"/>
    <sheet name="ACL Não Executados" sheetId="6" state="visible" r:id="rId6"/>
    <sheet name="Controle Geral" sheetId="7" state="visible" r:id="rId7"/>
  </sheets>
  <definedNames>
    <definedName name="concluid">#REF!</definedName>
    <definedName name="Concluido">Instrucional!#REF!</definedName>
    <definedName name="DV_Fase">Instrucional!$J$76:$J$76</definedName>
    <definedName name="Em_acao_preparatoria">Instrucional!#REF!</definedName>
    <definedName name="Em_andamento">Instrucional!#REF!</definedName>
    <definedName name="Em_execucao">Instrucional!#REF!</definedName>
    <definedName name="Em_licitacao">Instrucional!#REF!</definedName>
    <definedName name="Instrumento_formalizado">Instrucional!#REF!</definedName>
    <definedName name="Nao_iniciado">Instrucional!#REF!</definedName>
    <definedName name="_xlnm._FilterDatabase" localSheetId="1" hidden="1">'ACL Concluídos'!$A$1:$BL$49</definedName>
    <definedName name="_xlnm._FilterDatabase" localSheetId="2" hidden="1">'Planilha Monitoramento '!$A$1:$XER$134</definedName>
    <definedName name="_xlnm._FilterDatabase" localSheetId="3" hidden="1">'Em Desenvolvimento'!$A$1:$BL$185</definedName>
    <definedName name="_xlnm._FilterDatabase" localSheetId="4" hidden="1">'FAFs antigos'!$A$1:$AS$162</definedName>
    <definedName name="_xlnm._FilterDatabase" localSheetId="5" hidden="1">'ACL Não Executados'!$A$1:$BN$14</definedName>
    <definedName name="_xlnm._FilterDatabase" localSheetId="6" hidden="1">'Controle Geral'!$A$1:$H$1</definedName>
  </definedNames>
  <calcPr calcId="191028" fullCalcOnLoad="1"/>
</workbook>
</file>

<file path=xl/styles.xml><?xml version="1.0" encoding="utf-8"?>
<styleSheet xmlns="http://schemas.openxmlformats.org/spreadsheetml/2006/main">
  <numFmts count="5">
    <numFmt numFmtId="164" formatCode="&quot;R$&quot;\ #,##0.00"/>
    <numFmt numFmtId="165" formatCode="&quot;R$&quot;\ #,##0.00;[Red]\-&quot;R$&quot;\ #,##0.00"/>
    <numFmt numFmtId="166" formatCode="[$-416]d\-mmm\-yy;@"/>
    <numFmt numFmtId="167" formatCode="[$-416]mmm\-yy;@"/>
    <numFmt numFmtId="168" formatCode="[$-F800]dddd\,\ mmmm\ dd\,\ yyyy"/>
  </numFmts>
  <fonts count="74">
    <font>
      <name val="Calibri"/>
      <family val="2"/>
      <color theme="1"/>
      <sz val="11"/>
      <scheme val="minor"/>
    </font>
    <font>
      <name val="Calibri"/>
      <color theme="1"/>
      <sz val="11"/>
      <scheme val="minor"/>
    </font>
    <font>
      <name val="Calibri"/>
      <color theme="1"/>
      <sz val="11"/>
      <scheme val="minor"/>
    </font>
    <font>
      <name val="Calibri"/>
      <color theme="1"/>
      <sz val="11"/>
      <scheme val="minor"/>
    </font>
    <font>
      <name val="Calibri"/>
      <family val="2"/>
      <color theme="1"/>
      <sz val="11"/>
      <scheme val="minor"/>
    </font>
    <font>
      <name val="Calibri"/>
      <family val="2"/>
      <b val="1"/>
      <color theme="1"/>
      <sz val="11"/>
    </font>
    <font>
      <name val="Calibri"/>
      <family val="2"/>
      <b val="1"/>
      <color rgb="FF000000"/>
      <sz val="11"/>
    </font>
    <font>
      <name val="Calibri"/>
      <b val="1"/>
      <color rgb="FF000000"/>
      <sz val="11"/>
    </font>
    <font>
      <name val="Calibri"/>
      <color rgb="FF000000"/>
      <sz val="11"/>
      <scheme val="minor"/>
    </font>
    <font>
      <name val="Calibri"/>
      <b val="1"/>
      <color rgb="FF000000"/>
      <sz val="11"/>
      <scheme val="minor"/>
    </font>
    <font>
      <name val="Calibri"/>
      <sz val="11"/>
      <scheme val="minor"/>
    </font>
    <font>
      <name val="Calibri"/>
      <family val="2"/>
      <sz val="11"/>
      <scheme val="minor"/>
    </font>
    <font>
      <name val="Calibri"/>
      <family val="2"/>
      <sz val="11"/>
    </font>
    <font>
      <name val="Calibri"/>
      <sz val="11"/>
    </font>
    <font>
      <name val="Aptos Narrow"/>
      <family val="2"/>
      <sz val="11"/>
    </font>
    <font>
      <name val="Calibri"/>
      <color rgb="FF000000"/>
      <sz val="10"/>
      <scheme val="minor"/>
    </font>
    <font>
      <name val="Calibri"/>
      <b val="1"/>
      <color rgb="FF000000"/>
      <sz val="24"/>
      <scheme val="minor"/>
    </font>
    <font>
      <name val="Calibri"/>
      <b val="1"/>
      <color rgb="FF000000"/>
      <sz val="18"/>
      <scheme val="minor"/>
    </font>
    <font>
      <name val="Calibri"/>
      <b val="1"/>
      <color rgb="FF000000"/>
      <sz val="13.5"/>
      <scheme val="minor"/>
    </font>
    <font>
      <name val="Calibri"/>
      <b val="1"/>
      <color rgb="FF000000"/>
      <sz val="14"/>
      <scheme val="minor"/>
    </font>
    <font>
      <name val="Calibri"/>
      <color rgb="FF000000"/>
      <sz val="12"/>
      <scheme val="minor"/>
    </font>
    <font>
      <name val="Calibri"/>
      <color rgb="FF000000"/>
      <sz val="11"/>
    </font>
    <font>
      <name val="Calibri"/>
      <color rgb="FFFF0000"/>
      <sz val="11"/>
      <scheme val="minor"/>
    </font>
    <font>
      <name val="Calibri"/>
      <family val="2"/>
      <color rgb="FF000000"/>
      <sz val="11"/>
    </font>
    <font>
      <name val="Calibri"/>
      <family val="2"/>
      <color rgb="FF000000"/>
      <sz val="11"/>
      <u val="single"/>
    </font>
    <font>
      <name val="Calibri"/>
      <family val="2"/>
      <color rgb="FFFF0000"/>
      <sz val="11"/>
    </font>
    <font>
      <name val="Calibri"/>
      <family val="2"/>
      <color rgb="FFFF0000"/>
      <sz val="11"/>
      <scheme val="minor"/>
    </font>
    <font>
      <name val="Calibri"/>
      <family val="2"/>
      <color rgb="FF000000"/>
      <sz val="11"/>
      <scheme val="minor"/>
    </font>
    <font>
      <name val="Calibri"/>
      <family val="2"/>
      <b val="1"/>
      <color theme="1"/>
      <sz val="11"/>
      <scheme val="minor"/>
    </font>
    <font>
      <name val="Calibri"/>
      <family val="2"/>
      <b val="1"/>
      <color rgb="FF000000"/>
      <sz val="11"/>
      <scheme val="minor"/>
    </font>
    <font>
      <name val="Calibri"/>
      <color rgb="FFFF0000"/>
      <sz val="12"/>
      <scheme val="minor"/>
    </font>
    <font>
      <name val="Calibri"/>
      <b val="1"/>
      <color rgb="FFFF0000"/>
      <sz val="11"/>
      <scheme val="minor"/>
    </font>
    <font>
      <name val="Calibri"/>
      <color rgb="FFFF0000"/>
      <sz val="11"/>
    </font>
    <font>
      <name val="Calibri"/>
      <family val="2"/>
      <color rgb="FF000000"/>
      <sz val="11"/>
      <u val="single"/>
      <scheme val="minor"/>
    </font>
    <font>
      <name val="Calibri"/>
      <color rgb="FF000000"/>
      <sz val="14"/>
      <scheme val="minor"/>
    </font>
    <font>
      <name val="Calibri"/>
      <family val="2"/>
      <color theme="10"/>
      <sz val="11"/>
      <u val="single"/>
      <scheme val="minor"/>
    </font>
    <font>
      <name val="Calibri"/>
      <family val="2"/>
      <b val="1"/>
      <color rgb="FF00B050"/>
      <sz val="11"/>
      <scheme val="minor"/>
    </font>
    <font>
      <name val="Calibri"/>
      <family val="2"/>
      <b val="1"/>
      <color theme="10"/>
      <sz val="11"/>
      <u val="single"/>
      <scheme val="minor"/>
    </font>
    <font>
      <name val="Aptos Narrow"/>
      <charset val="1"/>
      <color rgb="FF242424"/>
      <sz val="11"/>
    </font>
    <font>
      <name val="Aptos Narrow"/>
      <charset val="1"/>
      <b val="1"/>
      <color rgb="FF242424"/>
      <sz val="11"/>
    </font>
    <font>
      <name val="Calibri"/>
      <color rgb="FFFF0000"/>
      <sz val="11"/>
      <u val="single"/>
      <scheme val="minor"/>
    </font>
    <font>
      <name val="Calibri"/>
      <family val="2"/>
      <color theme="1"/>
      <sz val="11"/>
      <u val="single"/>
      <scheme val="minor"/>
    </font>
    <font>
      <name val="Calibri"/>
      <charset val="1"/>
      <family val="2"/>
      <sz val="11"/>
    </font>
    <font>
      <name val="Calibri"/>
      <charset val="1"/>
      <family val="2"/>
      <b val="1"/>
      <sz val="11"/>
    </font>
    <font>
      <name val="Calibri"/>
      <charset val="1"/>
      <color rgb="FFFF0000"/>
      <sz val="11"/>
    </font>
    <font>
      <name val="Calibri"/>
      <family val="2"/>
      <color rgb="FF000000"/>
      <sz val="10"/>
      <scheme val="minor"/>
    </font>
    <font>
      <name val="Calibri"/>
      <family val="2"/>
      <b val="1"/>
      <color rgb="FFFF0000"/>
      <sz val="11"/>
      <scheme val="minor"/>
    </font>
    <font>
      <name val="Aptos Narrow"/>
      <charset val="1"/>
      <b val="1"/>
      <color rgb="FF00B050"/>
      <sz val="11"/>
    </font>
    <font>
      <name val="Calibri"/>
      <charset val="1"/>
      <b val="1"/>
      <color rgb="FF000000"/>
      <sz val="12"/>
    </font>
    <font>
      <name val="Calibri"/>
      <charset val="1"/>
      <color rgb="FF000000"/>
      <sz val="12"/>
    </font>
    <font>
      <name val="Calibri"/>
      <b val="1"/>
      <color rgb="FFFFC000"/>
      <sz val="11"/>
      <scheme val="minor"/>
    </font>
    <font>
      <name val="Calibri"/>
      <charset val="1"/>
      <color rgb="FF00B050"/>
      <sz val="11"/>
    </font>
    <font>
      <name val="Calibri"/>
      <family val="2"/>
      <color rgb="FF00B050"/>
      <sz val="11"/>
      <scheme val="minor"/>
    </font>
    <font>
      <name val="Calibri"/>
      <charset val="1"/>
      <b val="1"/>
      <color rgb="FFFF0000"/>
      <sz val="11"/>
    </font>
    <font>
      <name val="Calibri"/>
      <color rgb="FF000000"/>
      <sz val="13"/>
    </font>
    <font>
      <name val="Calibri"/>
      <b val="1"/>
      <color rgb="FFFF0000"/>
      <sz val="11"/>
    </font>
    <font>
      <name val="Calibri"/>
      <color rgb="FF000000"/>
      <sz val="12"/>
    </font>
    <font>
      <name val="Calibri"/>
      <strike val="1"/>
      <color rgb="FF000000"/>
      <sz val="12"/>
    </font>
    <font>
      <name val="Arial"/>
      <charset val="1"/>
      <b val="1"/>
      <color rgb="FF003399"/>
      <sz val="9"/>
    </font>
    <font>
      <name val="Calibri"/>
      <color rgb="FF000000"/>
      <sz val="16"/>
      <scheme val="minor"/>
    </font>
    <font>
      <name val="Calibri"/>
      <b val="1"/>
      <color rgb="FF000000"/>
      <sz val="16"/>
      <scheme val="minor"/>
    </font>
    <font>
      <name val="Calibri"/>
      <family val="2"/>
      <color theme="1"/>
      <sz val="16"/>
      <scheme val="minor"/>
    </font>
    <font>
      <name val="Calibri"/>
      <charset val="1"/>
      <color rgb="FF000000"/>
      <sz val="11"/>
    </font>
    <font>
      <name val="Calibri"/>
      <family val="2"/>
      <b val="1"/>
      <sz val="11"/>
      <scheme val="minor"/>
    </font>
    <font>
      <name val="Calibri"/>
      <family val="2"/>
      <color rgb="FF000000"/>
      <sz val="12"/>
      <scheme val="minor"/>
    </font>
    <font>
      <name val="Calibri"/>
      <family val="2"/>
      <b val="1"/>
      <color rgb="FF000000"/>
      <sz val="12"/>
      <scheme val="minor"/>
    </font>
    <font>
      <name val="Calibri"/>
      <family val="2"/>
      <color theme="7" tint="-0.249977111117893"/>
      <sz val="11"/>
      <scheme val="minor"/>
    </font>
    <font>
      <name val="Calibri Light"/>
      <b val="1"/>
      <color rgb="FF00B050"/>
      <sz val="11"/>
    </font>
    <font>
      <name val="Calibri"/>
      <family val="2"/>
      <color rgb="FFFF0000"/>
      <sz val="12"/>
      <scheme val="minor"/>
    </font>
    <font>
      <name val="Calibri"/>
      <family val="2"/>
      <b val="1"/>
      <color theme="7" tint="-0.249977111117893"/>
      <sz val="11"/>
      <scheme val="minor"/>
    </font>
    <font>
      <name val="Calibri"/>
      <family val="2"/>
      <color theme="1"/>
      <sz val="12"/>
      <scheme val="minor"/>
    </font>
    <font>
      <name val="Calibri"/>
      <family val="2"/>
      <b val="1"/>
      <color rgb="FFFF0000"/>
      <sz val="12"/>
      <scheme val="minor"/>
    </font>
    <font>
      <name val="Calibri"/>
      <family val="2"/>
      <b val="1"/>
      <color rgb="FF92D050"/>
      <sz val="11"/>
      <scheme val="minor"/>
    </font>
    <font>
      <name val="Calibri"/>
      <color rgb="FFFF0000"/>
      <sz val="12"/>
    </font>
  </fonts>
  <fills count="33">
    <fill>
      <patternFill/>
    </fill>
    <fill>
      <patternFill patternType="gray125"/>
    </fill>
    <fill>
      <patternFill patternType="solid">
        <fgColor theme="9" tint="0.5999938962981048"/>
        <bgColor indexed="64"/>
      </patternFill>
    </fill>
    <fill>
      <patternFill patternType="solid">
        <fgColor theme="0"/>
        <bgColor indexed="64"/>
      </patternFill>
    </fill>
    <fill>
      <patternFill patternType="solid">
        <fgColor theme="7" tint="0.5999938962981048"/>
        <bgColor indexed="64"/>
      </patternFill>
    </fill>
    <fill>
      <patternFill patternType="solid">
        <fgColor theme="8" tint="0.7999816888943144"/>
        <bgColor indexed="64"/>
      </patternFill>
    </fill>
    <fill>
      <patternFill patternType="solid">
        <fgColor rgb="FFFFC000"/>
        <bgColor indexed="64"/>
      </patternFill>
    </fill>
    <fill>
      <patternFill patternType="solid">
        <fgColor rgb="FFFFFF00"/>
        <bgColor indexed="64"/>
      </patternFill>
    </fill>
    <fill>
      <patternFill patternType="solid">
        <fgColor theme="5" tint="0.3999755851924192"/>
        <bgColor indexed="64"/>
      </patternFill>
    </fill>
    <fill>
      <patternFill patternType="solid">
        <fgColor rgb="FFD9D9D9"/>
        <bgColor rgb="FF000000"/>
      </patternFill>
    </fill>
    <fill>
      <patternFill patternType="solid">
        <fgColor theme="0" tint="-0.1499984740745262"/>
        <bgColor indexed="64"/>
      </patternFill>
    </fill>
    <fill>
      <patternFill patternType="solid">
        <fgColor theme="4" tint="0.3999755851924192"/>
        <bgColor indexed="64"/>
      </patternFill>
    </fill>
    <fill>
      <patternFill patternType="solid">
        <fgColor rgb="FFBFBFBF"/>
        <bgColor rgb="FFED7D31"/>
      </patternFill>
    </fill>
    <fill>
      <patternFill patternType="solid">
        <fgColor rgb="FFEDEDED"/>
        <bgColor rgb="FF000000"/>
      </patternFill>
    </fill>
    <fill>
      <patternFill patternType="solid">
        <fgColor theme="9" tint="0.3999755851924192"/>
        <bgColor indexed="64"/>
      </patternFill>
    </fill>
    <fill>
      <patternFill patternType="solid">
        <fgColor theme="0" tint="-0.249977111117893"/>
        <bgColor indexed="64"/>
      </patternFill>
    </fill>
    <fill>
      <patternFill patternType="solid">
        <fgColor rgb="FFFFFFFF"/>
        <bgColor rgb="FF000000"/>
      </patternFill>
    </fill>
    <fill>
      <patternFill patternType="solid">
        <fgColor theme="8" tint="0.5999938962981048"/>
        <bgColor indexed="64"/>
      </patternFill>
    </fill>
    <fill>
      <patternFill patternType="solid">
        <fgColor theme="7" tint="0.3999755851924192"/>
        <bgColor indexed="64"/>
      </patternFill>
    </fill>
    <fill>
      <patternFill patternType="solid">
        <fgColor theme="5"/>
        <bgColor indexed="64"/>
      </patternFill>
    </fill>
    <fill>
      <patternFill patternType="solid">
        <fgColor rgb="FFBE96DC"/>
        <bgColor indexed="64"/>
      </patternFill>
    </fill>
    <fill>
      <patternFill patternType="solid">
        <fgColor theme="9" tint="-0.249977111117893"/>
        <bgColor indexed="64"/>
      </patternFill>
    </fill>
    <fill>
      <patternFill patternType="solid">
        <fgColor theme="5" tint="0.7999816888943144"/>
        <bgColor indexed="64"/>
      </patternFill>
    </fill>
    <fill>
      <patternFill patternType="solid">
        <fgColor rgb="FFFFC000"/>
        <bgColor rgb="FF000000"/>
      </patternFill>
    </fill>
    <fill>
      <patternFill patternType="solid">
        <fgColor theme="0" tint="-0.3499862666707358"/>
        <bgColor indexed="64"/>
      </patternFill>
    </fill>
    <fill>
      <patternFill patternType="solid">
        <fgColor theme="0" tint="-0.1499984740745262"/>
        <bgColor theme="0" tint="-0.1499984740745262"/>
      </patternFill>
    </fill>
    <fill>
      <patternFill patternType="solid">
        <fgColor theme="4" tint="0.799981688894314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2" tint="-0.249977111117893"/>
        <bgColor indexed="64"/>
      </patternFill>
    </fill>
    <fill>
      <patternFill patternType="solid">
        <fgColor rgb="FFB4C6E7"/>
        <bgColor rgb="FF000000"/>
      </patternFill>
    </fill>
    <fill>
      <patternFill patternType="solid">
        <fgColor theme="2" tint="-0.09997863704336681"/>
        <bgColor indexed="64"/>
      </patternFill>
    </fill>
    <fill>
      <patternFill patternType="solid">
        <fgColor theme="7" tint="0.7999816888943144"/>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style="thin">
        <color rgb="FF000000"/>
      </top>
      <bottom/>
      <diagonal/>
    </border>
    <border>
      <left style="thin">
        <color theme="1"/>
      </left>
      <right style="thin">
        <color theme="1"/>
      </right>
      <top style="thin">
        <color theme="1"/>
      </top>
      <bottom style="thin">
        <color theme="1"/>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s>
  <cellStyleXfs count="4">
    <xf numFmtId="0" fontId="4" fillId="0" borderId="0"/>
    <xf numFmtId="44" fontId="4" fillId="0" borderId="0"/>
    <xf numFmtId="0" fontId="14" fillId="0" borderId="0"/>
    <xf numFmtId="0" fontId="35" fillId="0" borderId="0"/>
  </cellStyleXfs>
  <cellXfs count="823">
    <xf numFmtId="0" fontId="0" fillId="0" borderId="0" pivotButton="0" quotePrefix="0" xfId="0"/>
    <xf numFmtId="0" fontId="8" fillId="0" borderId="3" applyAlignment="1" pivotButton="0" quotePrefix="0" xfId="0">
      <alignment horizontal="center" vertical="center" wrapText="1"/>
    </xf>
    <xf numFmtId="0" fontId="8" fillId="3" borderId="3" applyAlignment="1" pivotButton="0" quotePrefix="0" xfId="0">
      <alignment horizontal="left" vertical="center" wrapText="1"/>
    </xf>
    <xf numFmtId="49" fontId="8" fillId="0" borderId="3" applyAlignment="1" pivotButton="0" quotePrefix="0" xfId="0">
      <alignment horizontal="center" vertical="center" wrapText="1"/>
    </xf>
    <xf numFmtId="0" fontId="10" fillId="10" borderId="3" applyAlignment="1" pivotButton="0" quotePrefix="0" xfId="0">
      <alignment horizontal="center" vertical="center" wrapText="1"/>
    </xf>
    <xf numFmtId="49" fontId="10" fillId="10" borderId="3" applyAlignment="1" pivotButton="0" quotePrefix="1" xfId="0">
      <alignment horizontal="center" vertical="center" wrapText="1"/>
    </xf>
    <xf numFmtId="49" fontId="10" fillId="10" borderId="3" applyAlignment="1" pivotButton="0" quotePrefix="0" xfId="0">
      <alignment horizontal="center" vertical="center" wrapText="1"/>
    </xf>
    <xf numFmtId="49" fontId="11" fillId="10" borderId="3" applyAlignment="1" pivotButton="0" quotePrefix="1" xfId="0">
      <alignment horizontal="center" vertical="center" wrapText="1"/>
    </xf>
    <xf numFmtId="0" fontId="11" fillId="10" borderId="3" applyAlignment="1" pivotButton="0" quotePrefix="0" xfId="0">
      <alignment horizontal="center" vertical="center" wrapText="1"/>
    </xf>
    <xf numFmtId="164" fontId="10" fillId="10" borderId="3" applyAlignment="1" pivotButton="0" quotePrefix="0" xfId="0">
      <alignment horizontal="center" vertical="center" wrapText="1"/>
    </xf>
    <xf numFmtId="14" fontId="10" fillId="10" borderId="3" applyAlignment="1" pivotButton="0" quotePrefix="0" xfId="0">
      <alignment horizontal="center" vertical="center" wrapText="1"/>
    </xf>
    <xf numFmtId="14" fontId="11" fillId="10" borderId="3" applyAlignment="1" pivotButton="0" quotePrefix="0" xfId="0">
      <alignment horizontal="center" vertical="center" wrapText="1"/>
    </xf>
    <xf numFmtId="164" fontId="11" fillId="10" borderId="3" applyAlignment="1" pivotButton="0" quotePrefix="0" xfId="0">
      <alignment horizontal="center" vertical="center" wrapText="1"/>
    </xf>
    <xf numFmtId="0" fontId="2" fillId="0" borderId="0" pivotButton="0" quotePrefix="0" xfId="0"/>
    <xf numFmtId="0" fontId="15" fillId="0" borderId="0" pivotButton="0" quotePrefix="0" xfId="0"/>
    <xf numFmtId="0" fontId="16" fillId="0" borderId="0" pivotButton="0" quotePrefix="0" xfId="0"/>
    <xf numFmtId="0" fontId="16" fillId="0" borderId="0" applyAlignment="1" pivotButton="0" quotePrefix="0" xfId="0">
      <alignment horizontal="right"/>
    </xf>
    <xf numFmtId="0" fontId="8" fillId="0" borderId="0" pivotButton="0" quotePrefix="0" xfId="0"/>
    <xf numFmtId="0" fontId="8" fillId="0" borderId="0" applyAlignment="1" pivotButton="0" quotePrefix="0" xfId="0">
      <alignment horizontal="right"/>
    </xf>
    <xf numFmtId="0" fontId="9" fillId="0" borderId="0" pivotButton="0" quotePrefix="0" xfId="0"/>
    <xf numFmtId="0" fontId="17" fillId="0" borderId="0" pivotButton="0" quotePrefix="0" xfId="0"/>
    <xf numFmtId="0" fontId="18" fillId="0" borderId="0" pivotButton="0" quotePrefix="0" xfId="0"/>
    <xf numFmtId="0" fontId="17" fillId="0" borderId="0" applyAlignment="1" pivotButton="0" quotePrefix="0" xfId="0">
      <alignment horizontal="right"/>
    </xf>
    <xf numFmtId="0" fontId="9" fillId="0" borderId="0" applyAlignment="1" pivotButton="0" quotePrefix="0" xfId="0">
      <alignment horizontal="right"/>
    </xf>
    <xf numFmtId="0" fontId="10" fillId="0" borderId="0" pivotButton="0" quotePrefix="0" xfId="0"/>
    <xf numFmtId="0" fontId="2" fillId="0" borderId="0" applyAlignment="1" pivotButton="0" quotePrefix="0" xfId="0">
      <alignment horizontal="right"/>
    </xf>
    <xf numFmtId="0" fontId="8" fillId="16" borderId="3" applyAlignment="1" pivotButton="0" quotePrefix="0" xfId="0">
      <alignment horizontal="center" vertical="center" wrapText="1"/>
    </xf>
    <xf numFmtId="49" fontId="8" fillId="16" borderId="3" applyAlignment="1" pivotButton="0" quotePrefix="0" xfId="0">
      <alignment horizontal="center" vertical="center" wrapText="1"/>
    </xf>
    <xf numFmtId="0" fontId="22" fillId="0" borderId="3" applyAlignment="1" pivotButton="0" quotePrefix="0" xfId="0">
      <alignment horizontal="center" vertical="center" wrapText="1"/>
    </xf>
    <xf numFmtId="0" fontId="23" fillId="0" borderId="3" applyAlignment="1" pivotButton="0" quotePrefix="0" xfId="0">
      <alignment horizontal="center" vertical="center" wrapText="1"/>
    </xf>
    <xf numFmtId="0" fontId="23" fillId="0" borderId="3" applyAlignment="1" pivotButton="0" quotePrefix="1" xfId="0">
      <alignment horizontal="center" vertical="center" wrapText="1"/>
    </xf>
    <xf numFmtId="0" fontId="21" fillId="0" borderId="3" applyAlignment="1" pivotButton="0" quotePrefix="0" xfId="0">
      <alignment horizontal="center" vertical="center" wrapText="1"/>
    </xf>
    <xf numFmtId="0" fontId="27" fillId="0" borderId="3" applyAlignment="1" pivotButton="0" quotePrefix="0" xfId="0">
      <alignment horizontal="center" vertical="center" wrapText="1"/>
    </xf>
    <xf numFmtId="0" fontId="26" fillId="0" borderId="3" applyAlignment="1" pivotButton="0" quotePrefix="0" xfId="0">
      <alignment horizontal="center" vertical="center" wrapText="1"/>
    </xf>
    <xf numFmtId="0" fontId="25" fillId="0" borderId="3" applyAlignment="1" pivotButton="0" quotePrefix="0" xfId="0">
      <alignment horizontal="center" vertical="center" wrapText="1"/>
    </xf>
    <xf numFmtId="0" fontId="25" fillId="0" borderId="3" applyAlignment="1" pivotButton="0" quotePrefix="1" xfId="0">
      <alignment horizontal="center" vertical="center" wrapText="1"/>
    </xf>
    <xf numFmtId="0" fontId="9" fillId="0" borderId="3" applyAlignment="1" pivotButton="0" quotePrefix="0" xfId="0">
      <alignment horizontal="center" vertical="center" wrapText="1"/>
    </xf>
    <xf numFmtId="165" fontId="25" fillId="0" borderId="3" applyAlignment="1" pivotButton="0" quotePrefix="0" xfId="0">
      <alignment horizontal="center" vertical="center" wrapText="1"/>
    </xf>
    <xf numFmtId="0" fontId="27" fillId="3" borderId="3" applyAlignment="1" pivotButton="0" quotePrefix="0" xfId="0">
      <alignment horizontal="center" vertical="center" wrapText="1"/>
    </xf>
    <xf numFmtId="165" fontId="23" fillId="0" borderId="3" applyAlignment="1" pivotButton="0" quotePrefix="0" xfId="0">
      <alignment horizontal="center" vertical="center" wrapText="1"/>
    </xf>
    <xf numFmtId="9" fontId="8" fillId="0" borderId="0" pivotButton="0" quotePrefix="0" xfId="0"/>
    <xf numFmtId="2" fontId="27" fillId="3" borderId="3" applyAlignment="1" pivotButton="0" quotePrefix="0" xfId="1">
      <alignment horizontal="center" vertical="center" wrapText="1"/>
    </xf>
    <xf numFmtId="164" fontId="27" fillId="0" borderId="3" applyAlignment="1" pivotButton="0" quotePrefix="0" xfId="1">
      <alignment horizontal="center" vertical="center" wrapText="1"/>
    </xf>
    <xf numFmtId="164" fontId="27" fillId="3" borderId="3" applyAlignment="1" pivotButton="0" quotePrefix="0" xfId="1">
      <alignment horizontal="center" vertical="center" wrapText="1"/>
    </xf>
    <xf numFmtId="1" fontId="27" fillId="3" borderId="3" applyAlignment="1" pivotButton="0" quotePrefix="0" xfId="1">
      <alignment horizontal="center" vertical="center" wrapText="1"/>
    </xf>
    <xf numFmtId="49" fontId="27" fillId="0" borderId="3" applyAlignment="1" pivotButton="0" quotePrefix="0" xfId="0">
      <alignment horizontal="center" vertical="center"/>
    </xf>
    <xf numFmtId="49" fontId="27" fillId="3" borderId="3" applyAlignment="1" pivotButton="0" quotePrefix="0" xfId="0">
      <alignment horizontal="center" vertical="center" wrapText="1"/>
    </xf>
    <xf numFmtId="0" fontId="27" fillId="3" borderId="3" applyAlignment="1" pivotButton="0" quotePrefix="0" xfId="0">
      <alignment horizontal="center" vertical="center"/>
    </xf>
    <xf numFmtId="0" fontId="11" fillId="12" borderId="1" pivotButton="0" quotePrefix="0" xfId="0"/>
    <xf numFmtId="0" fontId="11" fillId="12" borderId="2" pivotButton="0" quotePrefix="0" xfId="0"/>
    <xf numFmtId="0" fontId="27" fillId="15" borderId="4" pivotButton="0" quotePrefix="0" xfId="0"/>
    <xf numFmtId="0" fontId="11" fillId="14" borderId="6" pivotButton="0" quotePrefix="0" xfId="0"/>
    <xf numFmtId="0" fontId="11" fillId="14" borderId="7" pivotButton="0" quotePrefix="0" xfId="0"/>
    <xf numFmtId="9" fontId="27" fillId="9" borderId="3" pivotButton="0" quotePrefix="0" xfId="0"/>
    <xf numFmtId="0" fontId="11" fillId="11" borderId="6" pivotButton="0" quotePrefix="0" xfId="0"/>
    <xf numFmtId="0" fontId="11" fillId="11" borderId="7" pivotButton="0" quotePrefix="0" xfId="0"/>
    <xf numFmtId="0" fontId="11" fillId="0" borderId="0" pivotButton="0" quotePrefix="0" xfId="0"/>
    <xf numFmtId="0" fontId="27" fillId="0" borderId="0" pivotButton="0" quotePrefix="0" xfId="0"/>
    <xf numFmtId="0" fontId="11" fillId="13" borderId="6" pivotButton="0" quotePrefix="0" xfId="0"/>
    <xf numFmtId="0" fontId="11" fillId="13" borderId="7" pivotButton="0" quotePrefix="0" xfId="0"/>
    <xf numFmtId="9" fontId="27" fillId="0" borderId="0" pivotButton="0" quotePrefix="0" xfId="0"/>
    <xf numFmtId="0" fontId="11" fillId="8" borderId="7" pivotButton="0" quotePrefix="0" xfId="0"/>
    <xf numFmtId="0" fontId="11" fillId="8" borderId="6" pivotButton="0" quotePrefix="0" xfId="0"/>
    <xf numFmtId="0" fontId="11" fillId="18" borderId="6" pivotButton="0" quotePrefix="0" xfId="0"/>
    <xf numFmtId="0" fontId="11" fillId="18" borderId="7" pivotButton="0" quotePrefix="0" xfId="0"/>
    <xf numFmtId="0" fontId="11" fillId="19" borderId="6" pivotButton="0" quotePrefix="0" xfId="0"/>
    <xf numFmtId="0" fontId="11" fillId="19" borderId="7" pivotButton="0" quotePrefix="0" xfId="0"/>
    <xf numFmtId="0" fontId="11" fillId="20" borderId="6" pivotButton="0" quotePrefix="0" xfId="0"/>
    <xf numFmtId="0" fontId="11" fillId="20" borderId="7" pivotButton="0" quotePrefix="0" xfId="0"/>
    <xf numFmtId="9" fontId="21" fillId="0" borderId="3" applyAlignment="1" pivotButton="0" quotePrefix="0" xfId="0">
      <alignment horizontal="center" vertical="center" wrapText="1"/>
    </xf>
    <xf numFmtId="9" fontId="8" fillId="0" borderId="3" applyAlignment="1" pivotButton="0" quotePrefix="0" xfId="0">
      <alignment horizontal="center" vertical="center" wrapText="1"/>
    </xf>
    <xf numFmtId="0" fontId="27" fillId="0" borderId="3" applyAlignment="1" pivotButton="0" quotePrefix="0" xfId="0">
      <alignment horizontal="center" vertical="center"/>
    </xf>
    <xf numFmtId="14" fontId="27" fillId="0" borderId="3" applyAlignment="1" pivotButton="0" quotePrefix="0" xfId="0">
      <alignment horizontal="center" vertical="center" wrapText="1"/>
    </xf>
    <xf numFmtId="0" fontId="32" fillId="0" borderId="3" applyAlignment="1" pivotButton="0" quotePrefix="0" xfId="0">
      <alignment horizontal="center" vertical="center" wrapText="1"/>
    </xf>
    <xf numFmtId="0" fontId="26" fillId="0" borderId="3" applyAlignment="1" pivotButton="0" quotePrefix="0" xfId="0">
      <alignment horizontal="center" vertical="center"/>
    </xf>
    <xf numFmtId="0" fontId="32" fillId="0" borderId="3" applyAlignment="1" pivotButton="0" quotePrefix="0" xfId="0">
      <alignment horizontal="center" vertical="center"/>
    </xf>
    <xf numFmtId="49" fontId="26" fillId="0" borderId="3" applyAlignment="1" pivotButton="0" quotePrefix="1" xfId="0">
      <alignment horizontal="center" vertical="center"/>
    </xf>
    <xf numFmtId="165" fontId="32" fillId="0" borderId="3" applyAlignment="1" pivotButton="0" quotePrefix="0" xfId="0">
      <alignment horizontal="center" vertical="center"/>
    </xf>
    <xf numFmtId="0" fontId="27" fillId="10" borderId="3" applyAlignment="1" pivotButton="0" quotePrefix="0" xfId="1">
      <alignment horizontal="center" vertical="center" wrapText="1"/>
    </xf>
    <xf numFmtId="0" fontId="27" fillId="17" borderId="3" applyAlignment="1" pivotButton="0" quotePrefix="0" xfId="1">
      <alignment horizontal="center" vertical="center" wrapText="1"/>
    </xf>
    <xf numFmtId="0" fontId="8" fillId="0" borderId="0" applyAlignment="1" pivotButton="0" quotePrefix="0" xfId="0">
      <alignment horizontal="center" vertical="center" wrapText="1"/>
    </xf>
    <xf numFmtId="0" fontId="27" fillId="0" borderId="0" applyAlignment="1" pivotButton="0" quotePrefix="0" xfId="0">
      <alignment horizontal="center" vertical="center"/>
    </xf>
    <xf numFmtId="49" fontId="21" fillId="0" borderId="3" applyAlignment="1" pivotButton="0" quotePrefix="1" xfId="0">
      <alignment horizontal="center" vertical="center" wrapText="1"/>
    </xf>
    <xf numFmtId="0" fontId="27" fillId="0" borderId="0" applyAlignment="1" pivotButton="0" quotePrefix="0" xfId="0">
      <alignment horizontal="center" vertical="center" wrapText="1"/>
    </xf>
    <xf numFmtId="49" fontId="23" fillId="0" borderId="3" applyAlignment="1" pivotButton="0" quotePrefix="1" xfId="0">
      <alignment horizontal="center" vertical="center" wrapText="1"/>
    </xf>
    <xf numFmtId="49" fontId="22" fillId="0" borderId="3" applyAlignment="1" pivotButton="0" quotePrefix="1" xfId="0">
      <alignment horizontal="center" vertical="center" wrapText="1"/>
    </xf>
    <xf numFmtId="165" fontId="32" fillId="0" borderId="3" applyAlignment="1" pivotButton="0" quotePrefix="0" xfId="0">
      <alignment horizontal="center" vertical="center" wrapText="1"/>
    </xf>
    <xf numFmtId="0" fontId="9" fillId="2" borderId="3" applyAlignment="1" pivotButton="0" quotePrefix="0" xfId="0">
      <alignment horizontal="center" vertical="center" wrapText="1"/>
    </xf>
    <xf numFmtId="49" fontId="9" fillId="2" borderId="3" applyAlignment="1" pivotButton="0" quotePrefix="0" xfId="0">
      <alignment horizontal="center" vertical="center" wrapText="1"/>
    </xf>
    <xf numFmtId="0" fontId="29" fillId="2" borderId="3" applyAlignment="1" pivotButton="0" quotePrefix="0" xfId="0">
      <alignment horizontal="center" vertical="center" wrapText="1"/>
    </xf>
    <xf numFmtId="164" fontId="9" fillId="2" borderId="3" applyAlignment="1" pivotButton="0" quotePrefix="0" xfId="1">
      <alignment horizontal="center" vertical="center" wrapText="1"/>
    </xf>
    <xf numFmtId="14" fontId="9" fillId="2" borderId="3" applyAlignment="1" pivotButton="0" quotePrefix="0" xfId="1">
      <alignment horizontal="center" vertical="center" wrapText="1"/>
    </xf>
    <xf numFmtId="9" fontId="9" fillId="2" borderId="3" applyAlignment="1" pivotButton="0" quotePrefix="0" xfId="1">
      <alignment horizontal="center" vertical="center" wrapText="1"/>
    </xf>
    <xf numFmtId="0" fontId="22" fillId="0" borderId="3" applyAlignment="1" pivotButton="0" quotePrefix="0" xfId="0">
      <alignment horizontal="center" vertical="center"/>
    </xf>
    <xf numFmtId="0" fontId="27" fillId="0" borderId="3" applyAlignment="1" pivotButton="0" quotePrefix="0" xfId="0">
      <alignment horizontal="left" vertical="center" wrapText="1"/>
    </xf>
    <xf numFmtId="0" fontId="27" fillId="17" borderId="3" applyAlignment="1" pivotButton="0" quotePrefix="0" xfId="0">
      <alignment horizontal="center" vertical="center" wrapText="1"/>
    </xf>
    <xf numFmtId="14" fontId="27" fillId="17" borderId="3" applyAlignment="1" pivotButton="0" quotePrefix="0" xfId="0">
      <alignment horizontal="center" vertical="center" wrapText="1"/>
    </xf>
    <xf numFmtId="0" fontId="27" fillId="9" borderId="3" applyAlignment="1" pivotButton="0" quotePrefix="0" xfId="0">
      <alignment horizontal="center" vertical="center" wrapText="1"/>
    </xf>
    <xf numFmtId="49" fontId="27" fillId="0" borderId="3" applyAlignment="1" pivotButton="0" quotePrefix="0" xfId="0">
      <alignment horizontal="center" vertical="center" wrapText="1"/>
    </xf>
    <xf numFmtId="166" fontId="9" fillId="2" borderId="3" applyAlignment="1" pivotButton="0" quotePrefix="0" xfId="1">
      <alignment horizontal="center" vertical="center" wrapText="1"/>
    </xf>
    <xf numFmtId="166" fontId="27" fillId="3" borderId="3" applyAlignment="1" pivotButton="0" quotePrefix="0" xfId="1">
      <alignment horizontal="center" vertical="center" wrapText="1"/>
    </xf>
    <xf numFmtId="166" fontId="8" fillId="0" borderId="3" applyAlignment="1" pivotButton="0" quotePrefix="0" xfId="0">
      <alignment horizontal="center" vertical="center" wrapText="1"/>
    </xf>
    <xf numFmtId="166" fontId="22" fillId="0" borderId="3" applyAlignment="1" pivotButton="0" quotePrefix="0" xfId="0">
      <alignment horizontal="center" vertical="center" wrapText="1"/>
    </xf>
    <xf numFmtId="166" fontId="27" fillId="0" borderId="3" applyAlignment="1" pivotButton="0" quotePrefix="0" xfId="0">
      <alignment horizontal="center" vertical="center" wrapText="1"/>
    </xf>
    <xf numFmtId="14" fontId="9" fillId="2" borderId="3" applyAlignment="1" pivotButton="0" quotePrefix="0" xfId="0">
      <alignment horizontal="center" vertical="center" wrapText="1"/>
    </xf>
    <xf numFmtId="167" fontId="9" fillId="2" borderId="3" applyAlignment="1" pivotButton="0" quotePrefix="0" xfId="1">
      <alignment horizontal="center" vertical="center" wrapText="1"/>
    </xf>
    <xf numFmtId="3" fontId="8" fillId="0" borderId="3" applyAlignment="1" pivotButton="0" quotePrefix="0" xfId="0">
      <alignment horizontal="center" vertical="center" wrapText="1"/>
    </xf>
    <xf numFmtId="0" fontId="3" fillId="0" borderId="0" applyAlignment="1" pivotButton="0" quotePrefix="0" xfId="0">
      <alignment horizontal="center" vertical="center"/>
    </xf>
    <xf numFmtId="0" fontId="5" fillId="2" borderId="3" applyAlignment="1" pivotButton="0" quotePrefix="0" xfId="0">
      <alignment horizontal="center" vertical="center" wrapText="1"/>
    </xf>
    <xf numFmtId="0" fontId="6" fillId="2" borderId="3" applyAlignment="1" pivotButton="0" quotePrefix="0" xfId="0">
      <alignment horizontal="center" vertical="center" wrapText="1"/>
    </xf>
    <xf numFmtId="49" fontId="6" fillId="2" borderId="3" applyAlignment="1" pivotButton="0" quotePrefix="0" xfId="0">
      <alignment horizontal="center" vertical="center" wrapText="1"/>
    </xf>
    <xf numFmtId="164" fontId="6" fillId="2" borderId="3" applyAlignment="1" pivotButton="0" quotePrefix="0" xfId="1">
      <alignment horizontal="center" vertical="center" wrapText="1"/>
    </xf>
    <xf numFmtId="14" fontId="6" fillId="2" borderId="3" applyAlignment="1" pivotButton="0" quotePrefix="0" xfId="1">
      <alignment horizontal="center" vertical="center" wrapText="1"/>
    </xf>
    <xf numFmtId="0" fontId="10" fillId="17" borderId="3" applyAlignment="1" pivotButton="0" quotePrefix="0" xfId="0">
      <alignment horizontal="center" vertical="center" wrapText="1"/>
    </xf>
    <xf numFmtId="49" fontId="10" fillId="17" borderId="3" applyAlignment="1" pivotButton="0" quotePrefix="1" xfId="0">
      <alignment horizontal="center" vertical="center" wrapText="1"/>
    </xf>
    <xf numFmtId="49" fontId="10" fillId="17" borderId="3" applyAlignment="1" pivotButton="0" quotePrefix="0" xfId="0">
      <alignment horizontal="center" vertical="center" wrapText="1"/>
    </xf>
    <xf numFmtId="0" fontId="11" fillId="17" borderId="3" applyAlignment="1" pivotButton="0" quotePrefix="0" xfId="0">
      <alignment horizontal="center" vertical="center" wrapText="1"/>
    </xf>
    <xf numFmtId="49" fontId="11" fillId="17" borderId="3" applyAlignment="1" pivotButton="0" quotePrefix="1" xfId="0">
      <alignment horizontal="center" vertical="center" wrapText="1"/>
    </xf>
    <xf numFmtId="164" fontId="10" fillId="17" borderId="3" applyAlignment="1" pivotButton="0" quotePrefix="0" xfId="0">
      <alignment horizontal="center" vertical="center" wrapText="1"/>
    </xf>
    <xf numFmtId="14" fontId="10" fillId="17" borderId="3" applyAlignment="1" pivotButton="0" quotePrefix="0" xfId="0">
      <alignment horizontal="center" vertical="center" wrapText="1"/>
    </xf>
    <xf numFmtId="0" fontId="37" fillId="0" borderId="3" applyAlignment="1" pivotButton="0" quotePrefix="0" xfId="3">
      <alignment horizontal="center" vertical="center" wrapText="1"/>
    </xf>
    <xf numFmtId="165" fontId="21" fillId="0" borderId="3" applyAlignment="1" pivotButton="0" quotePrefix="0" xfId="0">
      <alignment horizontal="center" vertical="center" wrapText="1"/>
    </xf>
    <xf numFmtId="0" fontId="8" fillId="0" borderId="3" applyAlignment="1" pivotButton="0" quotePrefix="1" xfId="0">
      <alignment horizontal="center" vertical="center" wrapText="1"/>
    </xf>
    <xf numFmtId="0" fontId="34" fillId="0" borderId="0" applyAlignment="1" pivotButton="0" quotePrefix="0" xfId="0">
      <alignment horizontal="center" vertical="center" wrapText="1"/>
    </xf>
    <xf numFmtId="49" fontId="8" fillId="0" borderId="3" applyAlignment="1" pivotButton="0" quotePrefix="1" xfId="0">
      <alignment horizontal="center" vertical="center" wrapText="1"/>
    </xf>
    <xf numFmtId="3" fontId="25" fillId="0" borderId="3" applyAlignment="1" pivotButton="0" quotePrefix="0" xfId="0">
      <alignment horizontal="center" vertical="center" wrapText="1"/>
    </xf>
    <xf numFmtId="3" fontId="26" fillId="0" borderId="3" applyAlignment="1" pivotButton="0" quotePrefix="0" xfId="0">
      <alignment horizontal="center" vertical="center"/>
    </xf>
    <xf numFmtId="3" fontId="22" fillId="0" borderId="3" applyAlignment="1" pivotButton="0" quotePrefix="0" xfId="0">
      <alignment horizontal="center" vertical="center" wrapText="1"/>
    </xf>
    <xf numFmtId="3" fontId="23" fillId="0" borderId="3" applyAlignment="1" pivotButton="0" quotePrefix="0" xfId="0">
      <alignment horizontal="center" vertical="center" wrapText="1"/>
    </xf>
    <xf numFmtId="3" fontId="24" fillId="0" borderId="3" applyAlignment="1" pivotButton="0" quotePrefix="0" xfId="0">
      <alignment horizontal="center" vertical="center" wrapText="1"/>
    </xf>
    <xf numFmtId="9" fontId="8" fillId="0" borderId="3" applyAlignment="1" pivotButton="0" quotePrefix="1" xfId="0">
      <alignment horizontal="center" vertical="center" wrapText="1"/>
    </xf>
    <xf numFmtId="9" fontId="27" fillId="0" borderId="3" applyAlignment="1" pivotButton="0" quotePrefix="0" xfId="0">
      <alignment horizontal="center" vertical="center" wrapText="1"/>
    </xf>
    <xf numFmtId="0" fontId="27" fillId="10" borderId="3" applyAlignment="1" pivotButton="0" quotePrefix="0" xfId="0">
      <alignment horizontal="center" vertical="center" wrapText="1"/>
    </xf>
    <xf numFmtId="0" fontId="0" fillId="0" borderId="0" applyAlignment="1" pivotButton="0" quotePrefix="0" xfId="0">
      <alignment horizontal="center" vertical="center"/>
    </xf>
    <xf numFmtId="3" fontId="12" fillId="10" borderId="12" applyAlignment="1" pivotButton="0" quotePrefix="0" xfId="0">
      <alignment horizontal="center" vertical="center" wrapText="1"/>
    </xf>
    <xf numFmtId="3" fontId="13" fillId="10" borderId="12" applyAlignment="1" pivotButton="0" quotePrefix="0" xfId="0">
      <alignment horizontal="center" vertical="center" wrapText="1"/>
    </xf>
    <xf numFmtId="3" fontId="12" fillId="17" borderId="12" applyAlignment="1" pivotButton="0" quotePrefix="0" xfId="0">
      <alignment horizontal="center" vertical="center" wrapText="1"/>
    </xf>
    <xf numFmtId="3" fontId="13" fillId="17" borderId="12" applyAlignment="1" pivotButton="0" quotePrefix="0" xfId="0">
      <alignment horizontal="center" vertical="center" wrapText="1"/>
    </xf>
    <xf numFmtId="0" fontId="0" fillId="0" borderId="0" applyAlignment="1" pivotButton="0" quotePrefix="0" xfId="0">
      <alignment horizontal="center" vertical="center" wrapText="1"/>
    </xf>
    <xf numFmtId="0" fontId="26" fillId="0" borderId="0" applyAlignment="1" pivotButton="0" quotePrefix="0" xfId="0">
      <alignment horizontal="center" vertical="center"/>
    </xf>
    <xf numFmtId="49" fontId="27" fillId="0" borderId="0" applyAlignment="1" pivotButton="0" quotePrefix="0" xfId="0">
      <alignment horizontal="center" vertical="center" wrapText="1"/>
    </xf>
    <xf numFmtId="166" fontId="27" fillId="0" borderId="0" applyAlignment="1" pivotButton="0" quotePrefix="0" xfId="0">
      <alignment horizontal="center" vertical="center" wrapText="1"/>
    </xf>
    <xf numFmtId="0" fontId="10" fillId="17" borderId="5" applyAlignment="1" pivotButton="0" quotePrefix="0" xfId="0">
      <alignment horizontal="center" vertical="center" wrapText="1"/>
    </xf>
    <xf numFmtId="0" fontId="10" fillId="10" borderId="5" applyAlignment="1" pivotButton="0" quotePrefix="0" xfId="0">
      <alignment horizontal="center" vertical="center" wrapText="1"/>
    </xf>
    <xf numFmtId="0" fontId="11" fillId="10" borderId="5" applyAlignment="1" pivotButton="0" quotePrefix="0" xfId="0">
      <alignment horizontal="center" vertical="center" wrapText="1"/>
    </xf>
    <xf numFmtId="0" fontId="9" fillId="21" borderId="4" applyAlignment="1" pivotButton="0" quotePrefix="0" xfId="0">
      <alignment horizontal="center" vertical="center" wrapText="1"/>
    </xf>
    <xf numFmtId="0" fontId="13" fillId="10" borderId="9" applyAlignment="1" pivotButton="0" quotePrefix="0" xfId="0">
      <alignment horizontal="center" vertical="center" wrapText="1"/>
    </xf>
    <xf numFmtId="0" fontId="12" fillId="10" borderId="12" applyAlignment="1" pivotButton="0" quotePrefix="0" xfId="0">
      <alignment horizontal="center" vertical="center" wrapText="1"/>
    </xf>
    <xf numFmtId="0" fontId="13" fillId="10" borderId="12" applyAlignment="1" pivotButton="0" quotePrefix="0" xfId="0">
      <alignment horizontal="center" vertical="center" wrapText="1"/>
    </xf>
    <xf numFmtId="0" fontId="13" fillId="17" borderId="9" applyAlignment="1" pivotButton="0" quotePrefix="0" xfId="0">
      <alignment horizontal="center" vertical="center" wrapText="1"/>
    </xf>
    <xf numFmtId="0" fontId="13" fillId="17" borderId="12" applyAlignment="1" pivotButton="0" quotePrefix="0" xfId="0">
      <alignment horizontal="center" vertical="center" wrapText="1"/>
    </xf>
    <xf numFmtId="0" fontId="12" fillId="17" borderId="12" applyAlignment="1" pivotButton="0" quotePrefix="0" xfId="0">
      <alignment horizontal="center" vertical="center" wrapText="1"/>
    </xf>
    <xf numFmtId="0" fontId="12" fillId="17" borderId="9" applyAlignment="1" pivotButton="0" quotePrefix="0" xfId="0">
      <alignment horizontal="center" vertical="center" wrapText="1"/>
    </xf>
    <xf numFmtId="0" fontId="21" fillId="10" borderId="3" applyAlignment="1" pivotButton="0" quotePrefix="0" xfId="0">
      <alignment horizontal="center" vertical="center" wrapText="1"/>
    </xf>
    <xf numFmtId="166" fontId="27" fillId="10" borderId="3" applyAlignment="1" pivotButton="0" quotePrefix="0" xfId="0">
      <alignment horizontal="center" vertical="center" wrapText="1"/>
    </xf>
    <xf numFmtId="0" fontId="7" fillId="23" borderId="3" applyAlignment="1" pivotButton="0" quotePrefix="0" xfId="0">
      <alignment wrapText="1"/>
    </xf>
    <xf numFmtId="0" fontId="7" fillId="23" borderId="8" applyAlignment="1" pivotButton="0" quotePrefix="0" xfId="0">
      <alignment wrapText="1"/>
    </xf>
    <xf numFmtId="166" fontId="9" fillId="2" borderId="4" applyAlignment="1" pivotButton="0" quotePrefix="0" xfId="1">
      <alignment horizontal="center" vertical="center" wrapText="1"/>
    </xf>
    <xf numFmtId="164" fontId="9" fillId="2" borderId="4" applyAlignment="1" pivotButton="0" quotePrefix="0" xfId="1">
      <alignment horizontal="center" vertical="center" wrapText="1"/>
    </xf>
    <xf numFmtId="166" fontId="10" fillId="17" borderId="8" applyAlignment="1" pivotButton="0" quotePrefix="0" xfId="0">
      <alignment horizontal="center" vertical="center" wrapText="1"/>
    </xf>
    <xf numFmtId="166" fontId="10" fillId="10" borderId="8" applyAlignment="1" pivotButton="0" quotePrefix="0" xfId="0">
      <alignment horizontal="center" vertical="center" wrapText="1"/>
    </xf>
    <xf numFmtId="166" fontId="11" fillId="10" borderId="8" applyAlignment="1" pivotButton="0" quotePrefix="0" xfId="0">
      <alignment horizontal="center" vertical="center" wrapText="1"/>
    </xf>
    <xf numFmtId="166" fontId="10" fillId="17" borderId="13" applyAlignment="1" pivotButton="0" quotePrefix="0" xfId="0">
      <alignment horizontal="center" vertical="center" wrapText="1"/>
    </xf>
    <xf numFmtId="166" fontId="10" fillId="17" borderId="3" applyAlignment="1" pivotButton="0" quotePrefix="0" xfId="0">
      <alignment horizontal="center" vertical="center" wrapText="1"/>
    </xf>
    <xf numFmtId="166" fontId="10" fillId="10" borderId="3" applyAlignment="1" pivotButton="0" quotePrefix="0" xfId="0">
      <alignment horizontal="center" vertical="center" wrapText="1"/>
    </xf>
    <xf numFmtId="0" fontId="33" fillId="0" borderId="0" applyAlignment="1" pivotButton="0" quotePrefix="0" xfId="0">
      <alignment horizontal="center" vertical="center" wrapText="1"/>
    </xf>
    <xf numFmtId="166" fontId="25" fillId="0" borderId="3" applyAlignment="1" pivotButton="0" quotePrefix="0" xfId="0">
      <alignment horizontal="center" vertical="center" wrapText="1"/>
    </xf>
    <xf numFmtId="166" fontId="32" fillId="0" borderId="3" applyAlignment="1" pivotButton="0" quotePrefix="0" xfId="0">
      <alignment horizontal="center" vertical="center"/>
    </xf>
    <xf numFmtId="166" fontId="32" fillId="0" borderId="3" applyAlignment="1" pivotButton="0" quotePrefix="0" xfId="0">
      <alignment horizontal="center" vertical="center" wrapText="1"/>
    </xf>
    <xf numFmtId="166" fontId="6" fillId="2" borderId="3" applyAlignment="1" pivotButton="0" quotePrefix="0" xfId="0">
      <alignment horizontal="center" vertical="center" wrapText="1"/>
    </xf>
    <xf numFmtId="166" fontId="13" fillId="10" borderId="3" applyAlignment="1" pivotButton="0" quotePrefix="0" xfId="0">
      <alignment horizontal="center" vertical="center" wrapText="1"/>
    </xf>
    <xf numFmtId="166" fontId="11" fillId="10" borderId="3" applyAlignment="1" pivotButton="0" quotePrefix="0" xfId="0">
      <alignment horizontal="center" vertical="center" wrapText="1"/>
    </xf>
    <xf numFmtId="166" fontId="0" fillId="0" borderId="0" applyAlignment="1" pivotButton="0" quotePrefix="0" xfId="0">
      <alignment horizontal="center" vertical="center"/>
    </xf>
    <xf numFmtId="164" fontId="27" fillId="0" borderId="3" applyAlignment="1" pivotButton="0" quotePrefix="0" xfId="0">
      <alignment horizontal="center" vertical="center"/>
    </xf>
    <xf numFmtId="0" fontId="32" fillId="0" borderId="3" applyAlignment="1" pivotButton="0" quotePrefix="0" xfId="0">
      <alignment wrapText="1"/>
    </xf>
    <xf numFmtId="0" fontId="32" fillId="0" borderId="9" applyAlignment="1" pivotButton="0" quotePrefix="0" xfId="0">
      <alignment wrapText="1"/>
    </xf>
    <xf numFmtId="164" fontId="0" fillId="3" borderId="3" applyAlignment="1" pivotButton="0" quotePrefix="0" xfId="1">
      <alignment horizontal="center" vertical="center" wrapText="1"/>
    </xf>
    <xf numFmtId="164" fontId="0" fillId="0" borderId="3" applyAlignment="1" pivotButton="0" quotePrefix="0" xfId="0">
      <alignment horizontal="center" vertical="center"/>
    </xf>
    <xf numFmtId="0" fontId="0" fillId="0" borderId="3"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3" fillId="0" borderId="0" applyAlignment="1" pivotButton="0" quotePrefix="1" xfId="0">
      <alignment horizontal="center" vertical="center"/>
    </xf>
    <xf numFmtId="0" fontId="10" fillId="0" borderId="4" applyAlignment="1" pivotButton="0" quotePrefix="0" xfId="0">
      <alignment horizontal="center" vertical="center" wrapText="1"/>
    </xf>
    <xf numFmtId="164" fontId="10" fillId="0" borderId="4" applyAlignment="1" pivotButton="0" quotePrefix="0" xfId="0">
      <alignment horizontal="center" vertical="center" wrapText="1"/>
    </xf>
    <xf numFmtId="0" fontId="0" fillId="11" borderId="3" applyAlignment="1" pivotButton="0" quotePrefix="0" xfId="0">
      <alignment horizontal="center" vertical="center" wrapText="1"/>
    </xf>
    <xf numFmtId="0" fontId="0" fillId="25" borderId="17" applyAlignment="1" pivotButton="0" quotePrefix="0" xfId="0">
      <alignment vertical="center" wrapText="1"/>
    </xf>
    <xf numFmtId="0" fontId="0" fillId="10" borderId="3" applyAlignment="1" pivotButton="0" quotePrefix="0" xfId="0">
      <alignment horizontal="center" vertical="center" wrapText="1"/>
    </xf>
    <xf numFmtId="0" fontId="23" fillId="10" borderId="3" applyAlignment="1" pivotButton="0" quotePrefix="0" xfId="0">
      <alignment horizontal="center" vertical="center"/>
    </xf>
    <xf numFmtId="0" fontId="23" fillId="10" borderId="3" applyAlignment="1" pivotButton="0" quotePrefix="0" xfId="0">
      <alignment horizontal="center" vertical="center" wrapText="1"/>
    </xf>
    <xf numFmtId="49" fontId="0" fillId="10" borderId="3" applyAlignment="1" pivotButton="0" quotePrefix="1" xfId="0">
      <alignment horizontal="center" vertical="center"/>
    </xf>
    <xf numFmtId="0" fontId="0" fillId="10" borderId="3" applyAlignment="1" pivotButton="0" quotePrefix="0" xfId="0">
      <alignment horizontal="center" vertical="center"/>
    </xf>
    <xf numFmtId="166" fontId="0" fillId="10" borderId="3" applyAlignment="1" pivotButton="0" quotePrefix="0" xfId="0">
      <alignment horizontal="center" vertical="center"/>
    </xf>
    <xf numFmtId="0" fontId="0" fillId="24" borderId="3" applyAlignment="1" pivotButton="0" quotePrefix="0" xfId="0">
      <alignment horizontal="center" vertical="center" wrapText="1"/>
    </xf>
    <xf numFmtId="0" fontId="23" fillId="24" borderId="3" applyAlignment="1" pivotButton="0" quotePrefix="0" xfId="0">
      <alignment horizontal="center" vertical="center"/>
    </xf>
    <xf numFmtId="0" fontId="23" fillId="24" borderId="3" applyAlignment="1" pivotButton="0" quotePrefix="0" xfId="0">
      <alignment horizontal="center" vertical="center" wrapText="1"/>
    </xf>
    <xf numFmtId="49" fontId="0" fillId="24" borderId="3" applyAlignment="1" pivotButton="0" quotePrefix="1" xfId="0">
      <alignment horizontal="center" vertical="center"/>
    </xf>
    <xf numFmtId="0" fontId="0" fillId="24" borderId="3" applyAlignment="1" pivotButton="0" quotePrefix="0" xfId="0">
      <alignment horizontal="center" vertical="center"/>
    </xf>
    <xf numFmtId="0" fontId="10" fillId="24" borderId="3" applyAlignment="1" pivotButton="0" quotePrefix="0" xfId="0">
      <alignment horizontal="center" vertical="center" wrapText="1"/>
    </xf>
    <xf numFmtId="166" fontId="0" fillId="24" borderId="3" applyAlignment="1" pivotButton="0" quotePrefix="0" xfId="0">
      <alignment horizontal="center" vertical="center"/>
    </xf>
    <xf numFmtId="164" fontId="0" fillId="10" borderId="3" applyAlignment="1" pivotButton="0" quotePrefix="0" xfId="0">
      <alignment horizontal="center" vertical="center"/>
    </xf>
    <xf numFmtId="164" fontId="0" fillId="24" borderId="3" applyAlignment="1" pivotButton="0" quotePrefix="0" xfId="0">
      <alignment horizontal="center" vertical="center"/>
    </xf>
    <xf numFmtId="49" fontId="23" fillId="10" borderId="3" applyAlignment="1" pivotButton="0" quotePrefix="1" xfId="0">
      <alignment horizontal="center" vertical="center"/>
    </xf>
    <xf numFmtId="0" fontId="10" fillId="24" borderId="4" applyAlignment="1" pivotButton="0" quotePrefix="0" xfId="0">
      <alignment horizontal="center" vertical="center" wrapText="1"/>
    </xf>
    <xf numFmtId="164" fontId="10" fillId="24" borderId="4" applyAlignment="1" pivotButton="0" quotePrefix="0" xfId="0">
      <alignment horizontal="center" vertical="center" wrapText="1"/>
    </xf>
    <xf numFmtId="0" fontId="10" fillId="10" borderId="4" applyAlignment="1" pivotButton="0" quotePrefix="0" xfId="0">
      <alignment horizontal="center" vertical="center" wrapText="1"/>
    </xf>
    <xf numFmtId="164" fontId="10" fillId="10" borderId="4" applyAlignment="1" pivotButton="0" quotePrefix="0" xfId="0">
      <alignment horizontal="center" vertical="center" wrapText="1"/>
    </xf>
    <xf numFmtId="0" fontId="0" fillId="10" borderId="4" applyAlignment="1" pivotButton="0" quotePrefix="0" xfId="0">
      <alignment horizontal="center" vertical="center"/>
    </xf>
    <xf numFmtId="0" fontId="23" fillId="0" borderId="3" applyAlignment="1" pivotButton="0" quotePrefix="0" xfId="0">
      <alignment horizontal="center" vertical="center"/>
    </xf>
    <xf numFmtId="49" fontId="0" fillId="0" borderId="3" applyAlignment="1" pivotButton="0" quotePrefix="1" xfId="0">
      <alignment horizontal="center" vertical="center"/>
    </xf>
    <xf numFmtId="49" fontId="23" fillId="0" borderId="3" applyAlignment="1" pivotButton="0" quotePrefix="0" xfId="0">
      <alignment horizontal="center" vertical="center"/>
    </xf>
    <xf numFmtId="0" fontId="0" fillId="0" borderId="3" applyAlignment="1" pivotButton="0" quotePrefix="0" xfId="0">
      <alignment horizontal="center" vertical="center"/>
    </xf>
    <xf numFmtId="0" fontId="10" fillId="0" borderId="3" applyAlignment="1" pivotButton="0" quotePrefix="0" xfId="0">
      <alignment horizontal="center" vertical="center" wrapText="1"/>
    </xf>
    <xf numFmtId="166" fontId="0" fillId="0" borderId="3" applyAlignment="1" pivotButton="0" quotePrefix="0" xfId="0">
      <alignment horizontal="center" vertical="center"/>
    </xf>
    <xf numFmtId="0" fontId="0" fillId="17" borderId="3" applyAlignment="1" pivotButton="0" quotePrefix="0" xfId="0">
      <alignment horizontal="center" vertical="center"/>
    </xf>
    <xf numFmtId="49" fontId="10" fillId="0" borderId="3" applyAlignment="1" pivotButton="0" quotePrefix="1" xfId="0">
      <alignment horizontal="center" vertical="center" wrapText="1"/>
    </xf>
    <xf numFmtId="0" fontId="13" fillId="0" borderId="9" applyAlignment="1" pivotButton="0" quotePrefix="0" xfId="0">
      <alignment horizontal="center" vertical="center" wrapText="1"/>
    </xf>
    <xf numFmtId="0" fontId="13" fillId="0" borderId="12" applyAlignment="1" pivotButton="0" quotePrefix="0" xfId="0">
      <alignment horizontal="center" vertical="center" wrapText="1"/>
    </xf>
    <xf numFmtId="0" fontId="12" fillId="0" borderId="12" applyAlignment="1" pivotButton="0" quotePrefix="1" xfId="0">
      <alignment horizontal="center" vertical="center" wrapText="1"/>
    </xf>
    <xf numFmtId="3" fontId="13" fillId="0" borderId="12" applyAlignment="1" pivotButton="0" quotePrefix="0" xfId="0">
      <alignment horizontal="center" vertical="center" wrapText="1"/>
    </xf>
    <xf numFmtId="0" fontId="10" fillId="0" borderId="5" applyAlignment="1" pivotButton="0" quotePrefix="0" xfId="0">
      <alignment horizontal="center" vertical="center" wrapText="1"/>
    </xf>
    <xf numFmtId="49" fontId="10" fillId="0" borderId="3" applyAlignment="1" pivotButton="0" quotePrefix="0" xfId="0">
      <alignment horizontal="center" vertical="center" wrapText="1"/>
    </xf>
    <xf numFmtId="49" fontId="10" fillId="0" borderId="8" applyAlignment="1" pivotButton="0" quotePrefix="1" xfId="0">
      <alignment horizontal="center" vertical="center" wrapText="1"/>
    </xf>
    <xf numFmtId="166" fontId="10" fillId="0" borderId="3" applyAlignment="1" pivotButton="0" quotePrefix="0" xfId="0">
      <alignment horizontal="center" vertical="center" wrapText="1"/>
    </xf>
    <xf numFmtId="164" fontId="10" fillId="0" borderId="3" applyAlignment="1" pivotButton="0" quotePrefix="0" xfId="0">
      <alignment horizontal="center" vertical="center" wrapText="1"/>
    </xf>
    <xf numFmtId="166" fontId="11" fillId="0" borderId="3" applyAlignment="1" pivotButton="0" quotePrefix="0" xfId="0">
      <alignment horizontal="center" vertical="center" wrapText="1"/>
    </xf>
    <xf numFmtId="14" fontId="10" fillId="0" borderId="3" applyAlignment="1" pivotButton="0" quotePrefix="0" xfId="0">
      <alignment horizontal="center" vertical="center" wrapText="1"/>
    </xf>
    <xf numFmtId="0" fontId="32" fillId="0" borderId="9" applyAlignment="1" pivotButton="0" quotePrefix="0" xfId="0">
      <alignment horizontal="center" vertical="center" wrapText="1"/>
    </xf>
    <xf numFmtId="0" fontId="32" fillId="0" borderId="12" applyAlignment="1" pivotButton="0" quotePrefix="0" xfId="0">
      <alignment horizontal="center" vertical="center" wrapText="1"/>
    </xf>
    <xf numFmtId="3" fontId="25" fillId="0" borderId="12" applyAlignment="1" pivotButton="0" quotePrefix="0" xfId="0">
      <alignment horizontal="center" vertical="center" wrapText="1"/>
    </xf>
    <xf numFmtId="3" fontId="32" fillId="0" borderId="12" applyAlignment="1" pivotButton="0" quotePrefix="0" xfId="0">
      <alignment horizontal="center" vertical="center" wrapText="1"/>
    </xf>
    <xf numFmtId="0" fontId="22" fillId="0" borderId="5" applyAlignment="1" pivotButton="0" quotePrefix="0" xfId="0">
      <alignment horizontal="center" vertical="center" wrapText="1"/>
    </xf>
    <xf numFmtId="49" fontId="22" fillId="0" borderId="3" applyAlignment="1" pivotButton="0" quotePrefix="0" xfId="0">
      <alignment horizontal="center" vertical="center" wrapText="1"/>
    </xf>
    <xf numFmtId="49" fontId="22" fillId="0" borderId="8" applyAlignment="1" pivotButton="0" quotePrefix="0" xfId="0">
      <alignment horizontal="center" vertical="center" wrapText="1"/>
    </xf>
    <xf numFmtId="164" fontId="22" fillId="0" borderId="3" applyAlignment="1" pivotButton="0" quotePrefix="0" xfId="0">
      <alignment horizontal="center" vertical="center" wrapText="1"/>
    </xf>
    <xf numFmtId="166" fontId="26" fillId="0" borderId="3" applyAlignment="1" pivotButton="0" quotePrefix="0" xfId="0">
      <alignment horizontal="center" vertical="center" wrapText="1"/>
    </xf>
    <xf numFmtId="14" fontId="22" fillId="0" borderId="3" applyAlignment="1" pivotButton="0" quotePrefix="0" xfId="0">
      <alignment horizontal="center" vertical="center" wrapText="1"/>
    </xf>
    <xf numFmtId="166" fontId="40" fillId="0" borderId="3" applyAlignment="1" pivotButton="0" quotePrefix="0" xfId="0">
      <alignment horizontal="center" vertical="center" wrapText="1"/>
    </xf>
    <xf numFmtId="0" fontId="22" fillId="0" borderId="0" applyAlignment="1" pivotButton="0" quotePrefix="0" xfId="0">
      <alignment horizontal="center" vertical="center"/>
    </xf>
    <xf numFmtId="49" fontId="22" fillId="0" borderId="9" applyAlignment="1" pivotButton="0" quotePrefix="0" xfId="0">
      <alignment horizontal="center" vertical="center" wrapText="1"/>
    </xf>
    <xf numFmtId="0" fontId="12" fillId="0" borderId="9" applyAlignment="1" pivotButton="0" quotePrefix="0" xfId="0">
      <alignment horizontal="center" vertical="center" wrapText="1"/>
    </xf>
    <xf numFmtId="0" fontId="12" fillId="0" borderId="12" applyAlignment="1" pivotButton="0" quotePrefix="0" xfId="0">
      <alignment horizontal="center" vertical="center" wrapText="1"/>
    </xf>
    <xf numFmtId="3" fontId="12" fillId="0" borderId="12" applyAlignment="1" pivotButton="0" quotePrefix="0" xfId="0">
      <alignment horizontal="center" vertical="center" wrapText="1"/>
    </xf>
    <xf numFmtId="49" fontId="10" fillId="0" borderId="5" applyAlignment="1" pivotButton="0" quotePrefix="0" xfId="0">
      <alignment horizontal="center" vertical="center" wrapText="1"/>
    </xf>
    <xf numFmtId="49" fontId="10" fillId="0" borderId="9" applyAlignment="1" pivotButton="0" quotePrefix="1" xfId="0">
      <alignment horizontal="center" vertical="center" wrapText="1"/>
    </xf>
    <xf numFmtId="49" fontId="10" fillId="0" borderId="4" applyAlignment="1" pivotButton="0" quotePrefix="1" xfId="0">
      <alignment horizontal="center" vertical="center" wrapText="1"/>
    </xf>
    <xf numFmtId="0" fontId="12" fillId="0" borderId="11" applyAlignment="1" pivotButton="0" quotePrefix="0" xfId="0">
      <alignment horizontal="center" vertical="center" wrapText="1"/>
    </xf>
    <xf numFmtId="0" fontId="12" fillId="0" borderId="15" applyAlignment="1" pivotButton="0" quotePrefix="0" xfId="0">
      <alignment horizontal="center" vertical="center" wrapText="1"/>
    </xf>
    <xf numFmtId="3" fontId="12" fillId="0" borderId="15" applyAlignment="1" pivotButton="0" quotePrefix="0" xfId="0">
      <alignment horizontal="center" vertical="center" wrapText="1"/>
    </xf>
    <xf numFmtId="3" fontId="13" fillId="0" borderId="15" applyAlignment="1" pivotButton="0" quotePrefix="0" xfId="0">
      <alignment horizontal="center" vertical="center" wrapText="1"/>
    </xf>
    <xf numFmtId="49" fontId="10" fillId="0" borderId="4" applyAlignment="1" pivotButton="0" quotePrefix="0" xfId="0">
      <alignment horizontal="center" vertical="center" wrapText="1"/>
    </xf>
    <xf numFmtId="166" fontId="10" fillId="0" borderId="4" applyAlignment="1" pivotButton="0" quotePrefix="0" xfId="0">
      <alignment horizontal="center" vertical="center" wrapText="1"/>
    </xf>
    <xf numFmtId="166" fontId="11" fillId="0" borderId="4" applyAlignment="1" pivotButton="0" quotePrefix="0" xfId="0">
      <alignment horizontal="center" vertical="center" wrapText="1"/>
    </xf>
    <xf numFmtId="14" fontId="10" fillId="0" borderId="4" applyAlignment="1" pivotButton="0" quotePrefix="0" xfId="0">
      <alignment horizontal="center" vertical="center" wrapText="1"/>
    </xf>
    <xf numFmtId="0" fontId="10" fillId="0" borderId="16" applyAlignment="1" pivotButton="0" quotePrefix="0" xfId="0">
      <alignment horizontal="center" vertical="center" wrapText="1"/>
    </xf>
    <xf numFmtId="49" fontId="23" fillId="0" borderId="3" applyAlignment="1" pivotButton="0" quotePrefix="1" xfId="0">
      <alignment horizontal="center" vertical="center"/>
    </xf>
    <xf numFmtId="0" fontId="23" fillId="0" borderId="3" applyAlignment="1" pivotButton="0" quotePrefix="1" xfId="0">
      <alignment horizontal="center" vertical="center"/>
    </xf>
    <xf numFmtId="0" fontId="41" fillId="0" borderId="3" applyAlignment="1" pivotButton="0" quotePrefix="0" xfId="0">
      <alignment horizontal="center" vertical="center"/>
    </xf>
    <xf numFmtId="0" fontId="23" fillId="10" borderId="3" applyAlignment="1" pivotButton="0" quotePrefix="1" xfId="0">
      <alignment horizontal="center" vertical="center"/>
    </xf>
    <xf numFmtId="0" fontId="0" fillId="10" borderId="4" applyAlignment="1" pivotButton="0" quotePrefix="0" xfId="0">
      <alignment horizontal="center" vertical="center" wrapText="1"/>
    </xf>
    <xf numFmtId="0" fontId="23" fillId="10" borderId="4" applyAlignment="1" pivotButton="0" quotePrefix="0" xfId="0">
      <alignment horizontal="center" vertical="center"/>
    </xf>
    <xf numFmtId="0" fontId="23" fillId="10" borderId="4" applyAlignment="1" pivotButton="0" quotePrefix="0" xfId="0">
      <alignment horizontal="center" vertical="center" wrapText="1"/>
    </xf>
    <xf numFmtId="49" fontId="0" fillId="10" borderId="4" applyAlignment="1" pivotButton="0" quotePrefix="1" xfId="0">
      <alignment horizontal="center" vertical="center"/>
    </xf>
    <xf numFmtId="166" fontId="0" fillId="10" borderId="4" applyAlignment="1" pivotButton="0" quotePrefix="0" xfId="0">
      <alignment horizontal="center" vertical="center"/>
    </xf>
    <xf numFmtId="164" fontId="0" fillId="10" borderId="4" applyAlignment="1" pivotButton="0" quotePrefix="0" xfId="0">
      <alignment horizontal="center" vertical="center"/>
    </xf>
    <xf numFmtId="49" fontId="23" fillId="24" borderId="3" applyAlignment="1" pivotButton="0" quotePrefix="1" xfId="0">
      <alignment horizontal="center" vertical="center"/>
    </xf>
    <xf numFmtId="0" fontId="19" fillId="0" borderId="0" pivotButton="0" quotePrefix="0" xfId="0"/>
    <xf numFmtId="49" fontId="23" fillId="10" borderId="4" applyAlignment="1" pivotButton="0" quotePrefix="1" xfId="0">
      <alignment horizontal="center" vertical="center"/>
    </xf>
    <xf numFmtId="0" fontId="0" fillId="0" borderId="4" applyAlignment="1" pivotButton="0" quotePrefix="0" xfId="0">
      <alignment horizontal="center" vertical="center" wrapText="1"/>
    </xf>
    <xf numFmtId="0" fontId="23" fillId="0" borderId="4" applyAlignment="1" pivotButton="0" quotePrefix="0" xfId="0">
      <alignment horizontal="center" vertical="center"/>
    </xf>
    <xf numFmtId="0" fontId="23" fillId="0" borderId="4" applyAlignment="1" pivotButton="0" quotePrefix="0" xfId="0">
      <alignment horizontal="center" vertical="center" wrapText="1"/>
    </xf>
    <xf numFmtId="49" fontId="0" fillId="0" borderId="4" applyAlignment="1" pivotButton="0" quotePrefix="1" xfId="0">
      <alignment horizontal="center" vertical="center"/>
    </xf>
    <xf numFmtId="49" fontId="23" fillId="0" borderId="4" applyAlignment="1" pivotButton="0" quotePrefix="0" xfId="0">
      <alignment horizontal="center" vertical="center"/>
    </xf>
    <xf numFmtId="0" fontId="0" fillId="0" borderId="4" applyAlignment="1" pivotButton="0" quotePrefix="0" xfId="0">
      <alignment horizontal="center" vertical="center"/>
    </xf>
    <xf numFmtId="166" fontId="0" fillId="0" borderId="4" applyAlignment="1" pivotButton="0" quotePrefix="0" xfId="0">
      <alignment horizontal="center" vertical="center"/>
    </xf>
    <xf numFmtId="164" fontId="0" fillId="0" borderId="4" applyAlignment="1" pivotButton="0" quotePrefix="0" xfId="0">
      <alignment horizontal="center" vertical="center"/>
    </xf>
    <xf numFmtId="0" fontId="25" fillId="0" borderId="3" applyAlignment="1" pivotButton="0" quotePrefix="0" xfId="0">
      <alignment horizontal="center" vertical="center"/>
    </xf>
    <xf numFmtId="0" fontId="25" fillId="0" borderId="3" applyAlignment="1" pivotButton="0" quotePrefix="1" xfId="0">
      <alignment horizontal="center" vertical="center"/>
    </xf>
    <xf numFmtId="0" fontId="21" fillId="10" borderId="3" applyAlignment="1" pivotButton="0" quotePrefix="0" xfId="0">
      <alignment horizontal="center" vertical="center"/>
    </xf>
    <xf numFmtId="0" fontId="0" fillId="27" borderId="3" applyAlignment="1" pivotButton="0" quotePrefix="0" xfId="0">
      <alignment horizontal="center" vertical="center" wrapText="1"/>
    </xf>
    <xf numFmtId="49" fontId="0" fillId="27" borderId="3" applyAlignment="1" pivotButton="0" quotePrefix="1" xfId="0">
      <alignment horizontal="center" vertical="center"/>
    </xf>
    <xf numFmtId="0" fontId="0" fillId="27" borderId="3" applyAlignment="1" pivotButton="0" quotePrefix="0" xfId="0">
      <alignment horizontal="center" vertical="center"/>
    </xf>
    <xf numFmtId="166" fontId="0" fillId="27" borderId="3" applyAlignment="1" pivotButton="0" quotePrefix="0" xfId="0">
      <alignment horizontal="center" vertical="center"/>
    </xf>
    <xf numFmtId="164" fontId="0" fillId="27" borderId="3" applyAlignment="1" pivotButton="0" quotePrefix="0" xfId="0">
      <alignment horizontal="center" vertical="center"/>
    </xf>
    <xf numFmtId="0" fontId="0" fillId="27" borderId="0" applyAlignment="1" pivotButton="0" quotePrefix="0" xfId="0">
      <alignment horizontal="center" vertical="center"/>
    </xf>
    <xf numFmtId="0" fontId="0" fillId="27" borderId="9" applyAlignment="1" pivotButton="0" quotePrefix="0" xfId="0">
      <alignment horizontal="center" vertical="center"/>
    </xf>
    <xf numFmtId="0" fontId="0" fillId="27" borderId="9" applyAlignment="1" pivotButton="0" quotePrefix="0" xfId="0">
      <alignment horizontal="center" vertical="center" wrapText="1"/>
    </xf>
    <xf numFmtId="49" fontId="0" fillId="0" borderId="0" pivotButton="0" quotePrefix="0" xfId="0"/>
    <xf numFmtId="0" fontId="0" fillId="28" borderId="0" applyAlignment="1" pivotButton="0" quotePrefix="0" xfId="0">
      <alignment horizontal="center" vertical="center" wrapText="1"/>
    </xf>
    <xf numFmtId="49" fontId="0" fillId="28" borderId="0" applyAlignment="1" pivotButton="0" quotePrefix="0" xfId="0">
      <alignment horizontal="center" vertical="center" wrapText="1"/>
    </xf>
    <xf numFmtId="0" fontId="0" fillId="17" borderId="3" applyAlignment="1" pivotButton="0" quotePrefix="0" xfId="0">
      <alignment horizontal="center" vertical="center" wrapText="1"/>
    </xf>
    <xf numFmtId="0" fontId="29" fillId="0" borderId="0" applyAlignment="1" pivotButton="0" quotePrefix="0" xfId="0">
      <alignment horizontal="center" vertical="center" wrapText="1"/>
    </xf>
    <xf numFmtId="0" fontId="28" fillId="0" borderId="0" applyAlignment="1" pivotButton="0" quotePrefix="0" xfId="0">
      <alignment horizontal="center" vertical="center"/>
    </xf>
    <xf numFmtId="0" fontId="29" fillId="0" borderId="0" applyAlignment="1" pivotButton="0" quotePrefix="0" xfId="0">
      <alignment horizontal="center" vertical="center"/>
    </xf>
    <xf numFmtId="0" fontId="29" fillId="26" borderId="0" applyAlignment="1" pivotButton="0" quotePrefix="0" xfId="0">
      <alignment horizontal="center" vertical="center"/>
    </xf>
    <xf numFmtId="0" fontId="27" fillId="10" borderId="0" applyAlignment="1" pivotButton="0" quotePrefix="0" xfId="0">
      <alignment horizontal="center" vertical="center"/>
    </xf>
    <xf numFmtId="0" fontId="27" fillId="27" borderId="0" applyAlignment="1" pivotButton="0" quotePrefix="0" xfId="0">
      <alignment horizontal="center" vertical="center"/>
    </xf>
    <xf numFmtId="49" fontId="27" fillId="0" borderId="0" applyAlignment="1" pivotButton="0" quotePrefix="0" xfId="0">
      <alignment horizontal="center" vertical="center"/>
    </xf>
    <xf numFmtId="166" fontId="27" fillId="0" borderId="0" applyAlignment="1" pivotButton="0" quotePrefix="0" xfId="0">
      <alignment horizontal="center" vertical="center"/>
    </xf>
    <xf numFmtId="164" fontId="27" fillId="0" borderId="0" applyAlignment="1" pivotButton="0" quotePrefix="0" xfId="0">
      <alignment horizontal="center" vertical="center"/>
    </xf>
    <xf numFmtId="9" fontId="27" fillId="0" borderId="0" applyAlignment="1" pivotButton="0" quotePrefix="0" xfId="0">
      <alignment horizontal="center" vertical="center"/>
    </xf>
    <xf numFmtId="164" fontId="27" fillId="0" borderId="0" applyAlignment="1" pivotButton="0" quotePrefix="0" xfId="0">
      <alignment horizontal="center" vertical="center" wrapText="1"/>
    </xf>
    <xf numFmtId="0" fontId="27" fillId="0" borderId="0" applyAlignment="1" pivotButton="0" quotePrefix="0" xfId="0">
      <alignment horizontal="left" vertical="center" wrapText="1"/>
    </xf>
    <xf numFmtId="0" fontId="27" fillId="0" borderId="0" applyAlignment="1" pivotButton="0" quotePrefix="0" xfId="0">
      <alignment horizontal="left" vertical="center"/>
    </xf>
    <xf numFmtId="49" fontId="29" fillId="2" borderId="3" applyAlignment="1" pivotButton="0" quotePrefix="0" xfId="0">
      <alignment horizontal="center" vertical="center" wrapText="1"/>
    </xf>
    <xf numFmtId="164" fontId="29" fillId="2" borderId="3" applyAlignment="1" pivotButton="0" quotePrefix="0" xfId="1">
      <alignment horizontal="center" vertical="center" wrapText="1"/>
    </xf>
    <xf numFmtId="166" fontId="29" fillId="2" borderId="3" applyAlignment="1" pivotButton="0" quotePrefix="0" xfId="0">
      <alignment horizontal="center" vertical="center" wrapText="1"/>
    </xf>
    <xf numFmtId="166" fontId="29" fillId="2" borderId="3" applyAlignment="1" pivotButton="0" quotePrefix="0" xfId="1">
      <alignment horizontal="center" vertical="center" wrapText="1"/>
    </xf>
    <xf numFmtId="0" fontId="29" fillId="2" borderId="3" applyAlignment="1" pivotButton="0" quotePrefix="0" xfId="1">
      <alignment horizontal="center" vertical="center" wrapText="1"/>
    </xf>
    <xf numFmtId="9" fontId="29" fillId="2" borderId="3" applyAlignment="1" pivotButton="0" quotePrefix="0" xfId="1">
      <alignment horizontal="center" vertical="center" wrapText="1"/>
    </xf>
    <xf numFmtId="14" fontId="29" fillId="2" borderId="3" applyAlignment="1" pivotButton="0" quotePrefix="0" xfId="1">
      <alignment horizontal="center" vertical="center" wrapText="1"/>
    </xf>
    <xf numFmtId="164" fontId="29" fillId="24" borderId="3" applyAlignment="1" pivotButton="0" quotePrefix="0" xfId="1">
      <alignment horizontal="center" vertical="center" wrapText="1"/>
    </xf>
    <xf numFmtId="166" fontId="29" fillId="24" borderId="3" applyAlignment="1" pivotButton="0" quotePrefix="0" xfId="1">
      <alignment horizontal="center" vertical="center" wrapText="1"/>
    </xf>
    <xf numFmtId="164" fontId="29" fillId="6" borderId="3" applyAlignment="1" pivotButton="0" quotePrefix="0" xfId="1">
      <alignment horizontal="center" vertical="center" wrapText="1"/>
    </xf>
    <xf numFmtId="0" fontId="29" fillId="6" borderId="3" applyAlignment="1" pivotButton="0" quotePrefix="0" xfId="0">
      <alignment horizontal="left" vertical="center" wrapText="1"/>
    </xf>
    <xf numFmtId="0" fontId="29" fillId="6" borderId="3" applyAlignment="1" pivotButton="0" quotePrefix="0" xfId="0">
      <alignment horizontal="center" vertical="center" wrapText="1"/>
    </xf>
    <xf numFmtId="0" fontId="29" fillId="8" borderId="3" applyAlignment="1" pivotButton="0" quotePrefix="0" xfId="0">
      <alignment horizontal="center" vertical="center" wrapText="1"/>
    </xf>
    <xf numFmtId="166" fontId="27" fillId="0" borderId="3" applyAlignment="1" pivotButton="0" quotePrefix="0" xfId="0">
      <alignment horizontal="center" vertical="center"/>
    </xf>
    <xf numFmtId="166" fontId="27" fillId="0" borderId="3" applyAlignment="1" pivotButton="0" quotePrefix="0" xfId="1">
      <alignment horizontal="center" vertical="center"/>
    </xf>
    <xf numFmtId="166" fontId="27" fillId="0" borderId="3" applyAlignment="1" pivotButton="0" quotePrefix="0" xfId="1">
      <alignment horizontal="center" vertical="center" wrapText="1"/>
    </xf>
    <xf numFmtId="164" fontId="45" fillId="0" borderId="3" applyAlignment="1" pivotButton="0" quotePrefix="0" xfId="1">
      <alignment horizontal="center" vertical="center" wrapText="1"/>
    </xf>
    <xf numFmtId="0" fontId="27" fillId="0" borderId="3" applyAlignment="1" pivotButton="0" quotePrefix="0" xfId="1">
      <alignment horizontal="center" vertical="center" wrapText="1"/>
    </xf>
    <xf numFmtId="2" fontId="27" fillId="0" borderId="3" applyAlignment="1" pivotButton="0" quotePrefix="0" xfId="1">
      <alignment horizontal="center" vertical="center" wrapText="1"/>
    </xf>
    <xf numFmtId="14" fontId="27" fillId="0" borderId="3" applyAlignment="1" pivotButton="0" quotePrefix="0" xfId="1">
      <alignment horizontal="center" vertical="center" wrapText="1"/>
    </xf>
    <xf numFmtId="164" fontId="27" fillId="0" borderId="3" applyAlignment="1" pivotButton="0" quotePrefix="0" xfId="0">
      <alignment horizontal="center" vertical="center" wrapText="1"/>
    </xf>
    <xf numFmtId="0" fontId="27" fillId="0" borderId="4" applyAlignment="1" pivotButton="0" quotePrefix="0" xfId="0">
      <alignment horizontal="left" vertical="center" wrapText="1"/>
    </xf>
    <xf numFmtId="0" fontId="27" fillId="0" borderId="4" applyAlignment="1" pivotButton="0" quotePrefix="0" xfId="0">
      <alignment vertical="top" wrapText="1"/>
    </xf>
    <xf numFmtId="49" fontId="21" fillId="10" borderId="3" applyAlignment="1" pivotButton="0" quotePrefix="0" xfId="0">
      <alignment horizontal="center" vertical="center"/>
    </xf>
    <xf numFmtId="164" fontId="11" fillId="17" borderId="3" applyAlignment="1" pivotButton="0" quotePrefix="0" xfId="0">
      <alignment horizontal="center" vertical="center" wrapText="1"/>
    </xf>
    <xf numFmtId="166" fontId="11" fillId="17" borderId="3" applyAlignment="1" pivotButton="0" quotePrefix="0" xfId="0">
      <alignment horizontal="center" vertical="center" wrapText="1"/>
    </xf>
    <xf numFmtId="166" fontId="11" fillId="17" borderId="8" applyAlignment="1" pivotButton="0" quotePrefix="0" xfId="0">
      <alignment horizontal="center" vertical="center" wrapText="1"/>
    </xf>
    <xf numFmtId="0" fontId="21" fillId="27" borderId="3" applyAlignment="1" pivotButton="0" quotePrefix="0" xfId="0">
      <alignment horizontal="center" vertical="center"/>
    </xf>
    <xf numFmtId="0" fontId="21" fillId="27" borderId="3" applyAlignment="1" pivotButton="0" quotePrefix="0" xfId="0">
      <alignment horizontal="center" vertical="center" wrapText="1"/>
    </xf>
    <xf numFmtId="49" fontId="21" fillId="27" borderId="3" applyAlignment="1" pivotButton="0" quotePrefix="0" xfId="0">
      <alignment horizontal="center" vertical="center"/>
    </xf>
    <xf numFmtId="0" fontId="11" fillId="27" borderId="4" applyAlignment="1" pivotButton="0" quotePrefix="0" xfId="0">
      <alignment horizontal="center" vertical="center" wrapText="1"/>
    </xf>
    <xf numFmtId="0" fontId="27" fillId="27" borderId="3" applyAlignment="1" pivotButton="0" quotePrefix="0" xfId="0">
      <alignment horizontal="center" vertical="center" wrapText="1"/>
    </xf>
    <xf numFmtId="0" fontId="33" fillId="0" borderId="0" applyAlignment="1" pivotButton="0" quotePrefix="0" xfId="0">
      <alignment horizontal="left" vertical="center" wrapText="1"/>
    </xf>
    <xf numFmtId="49" fontId="21" fillId="27" borderId="3" applyAlignment="1" pivotButton="0" quotePrefix="1" xfId="0">
      <alignment horizontal="center" vertical="center"/>
    </xf>
    <xf numFmtId="0" fontId="8" fillId="7" borderId="3" applyAlignment="1" pivotButton="0" quotePrefix="0" xfId="0">
      <alignment horizontal="center" vertical="center" wrapText="1"/>
    </xf>
    <xf numFmtId="166" fontId="27" fillId="3" borderId="3" applyAlignment="1" pivotButton="0" quotePrefix="0" xfId="0">
      <alignment horizontal="center" vertical="center" wrapText="1"/>
    </xf>
    <xf numFmtId="164" fontId="27" fillId="3" borderId="3" applyAlignment="1" pivotButton="0" quotePrefix="0" xfId="0">
      <alignment horizontal="center" vertical="center" wrapText="1"/>
    </xf>
    <xf numFmtId="166" fontId="9" fillId="0" borderId="3" applyAlignment="1" pivotButton="0" quotePrefix="0" xfId="0">
      <alignment horizontal="center" vertical="center" wrapText="1"/>
    </xf>
    <xf numFmtId="49" fontId="27" fillId="10" borderId="3" applyAlignment="1" pivotButton="0" quotePrefix="0" xfId="0">
      <alignment horizontal="center" vertical="center" wrapText="1"/>
    </xf>
    <xf numFmtId="49" fontId="0" fillId="11" borderId="3" applyAlignment="1" pivotButton="0" quotePrefix="1" xfId="0">
      <alignment horizontal="center" vertical="center" wrapText="1"/>
    </xf>
    <xf numFmtId="166" fontId="0" fillId="11" borderId="3" applyAlignment="1" pivotButton="0" quotePrefix="0" xfId="0">
      <alignment horizontal="center" vertical="center" wrapText="1"/>
    </xf>
    <xf numFmtId="164" fontId="0" fillId="11" borderId="3" applyAlignment="1" pivotButton="0" quotePrefix="0" xfId="0">
      <alignment horizontal="center" vertical="center" wrapText="1"/>
    </xf>
    <xf numFmtId="49" fontId="0" fillId="10" borderId="3" applyAlignment="1" pivotButton="0" quotePrefix="1" xfId="0">
      <alignment horizontal="center" vertical="center" wrapText="1"/>
    </xf>
    <xf numFmtId="166" fontId="0" fillId="10" borderId="3" applyAlignment="1" pivotButton="0" quotePrefix="0" xfId="0">
      <alignment horizontal="center" vertical="center" wrapText="1"/>
    </xf>
    <xf numFmtId="164" fontId="0" fillId="10" borderId="3" applyAlignment="1" pivotButton="0" quotePrefix="0" xfId="0">
      <alignment horizontal="center" vertical="center" wrapText="1"/>
    </xf>
    <xf numFmtId="0" fontId="0" fillId="11" borderId="8" applyAlignment="1" pivotButton="0" quotePrefix="0" xfId="0">
      <alignment horizontal="center" vertical="center" wrapText="1"/>
    </xf>
    <xf numFmtId="0" fontId="0" fillId="10" borderId="8" applyAlignment="1" pivotButton="0" quotePrefix="0" xfId="0">
      <alignment horizontal="center" vertical="center" wrapText="1"/>
    </xf>
    <xf numFmtId="49" fontId="0" fillId="11" borderId="3" applyAlignment="1" pivotButton="0" quotePrefix="0" xfId="0">
      <alignment horizontal="center" vertical="center" wrapText="1"/>
    </xf>
    <xf numFmtId="49" fontId="0" fillId="10" borderId="3" applyAlignment="1" pivotButton="0" quotePrefix="0" xfId="0">
      <alignment horizontal="center" vertical="center" wrapText="1"/>
    </xf>
    <xf numFmtId="49" fontId="0" fillId="27" borderId="3" applyAlignment="1" pivotButton="0" quotePrefix="1" xfId="0">
      <alignment horizontal="center" vertical="center" wrapText="1"/>
    </xf>
    <xf numFmtId="0" fontId="0" fillId="27" borderId="3" applyAlignment="1" pivotButton="0" quotePrefix="1" xfId="0">
      <alignment horizontal="center" vertical="center" wrapText="1"/>
    </xf>
    <xf numFmtId="166" fontId="0" fillId="27" borderId="3" applyAlignment="1" pivotButton="0" quotePrefix="0" xfId="0">
      <alignment horizontal="center" vertical="center" wrapText="1"/>
    </xf>
    <xf numFmtId="164" fontId="0" fillId="27" borderId="3" applyAlignment="1" pivotButton="0" quotePrefix="0" xfId="0">
      <alignment horizontal="center" vertical="center" wrapText="1"/>
    </xf>
    <xf numFmtId="0" fontId="0" fillId="27" borderId="0" applyAlignment="1" pivotButton="0" quotePrefix="0" xfId="0">
      <alignment horizontal="center" vertical="center" wrapText="1"/>
    </xf>
    <xf numFmtId="0" fontId="0" fillId="0" borderId="0" applyAlignment="1" pivotButton="0" quotePrefix="0" xfId="0">
      <alignment horizontal="left" vertical="center" wrapText="1"/>
    </xf>
    <xf numFmtId="0" fontId="10" fillId="29" borderId="3" applyAlignment="1" pivotButton="0" quotePrefix="0" xfId="0">
      <alignment horizontal="center" vertical="center" wrapText="1"/>
    </xf>
    <xf numFmtId="14" fontId="10" fillId="29" borderId="3" applyAlignment="1" pivotButton="0" quotePrefix="0" xfId="0">
      <alignment horizontal="center" vertical="center" wrapText="1"/>
    </xf>
    <xf numFmtId="0" fontId="10" fillId="29" borderId="5" applyAlignment="1" pivotButton="0" quotePrefix="0" xfId="0">
      <alignment horizontal="center" vertical="center" wrapText="1"/>
    </xf>
    <xf numFmtId="0" fontId="8" fillId="24" borderId="3" applyAlignment="1" pivotButton="0" quotePrefix="0" xfId="0">
      <alignment horizontal="center" vertical="center" wrapText="1"/>
    </xf>
    <xf numFmtId="0" fontId="0" fillId="24" borderId="3" applyAlignment="1" pivotButton="0" quotePrefix="1" xfId="0">
      <alignment horizontal="center" vertical="center"/>
    </xf>
    <xf numFmtId="0" fontId="23" fillId="24" borderId="3" applyAlignment="1" pivotButton="0" quotePrefix="1" xfId="0">
      <alignment horizontal="center" vertical="center"/>
    </xf>
    <xf numFmtId="166" fontId="0" fillId="24" borderId="4" applyAlignment="1" pivotButton="0" quotePrefix="0" xfId="0">
      <alignment horizontal="center" vertical="center"/>
    </xf>
    <xf numFmtId="0" fontId="21" fillId="3" borderId="3" applyAlignment="1" pivotButton="0" quotePrefix="0" xfId="0">
      <alignment horizontal="left" vertical="center" wrapText="1"/>
    </xf>
    <xf numFmtId="0" fontId="0" fillId="27" borderId="0" applyAlignment="1" pivotButton="0" quotePrefix="0" xfId="0">
      <alignment horizontal="left" vertical="center" wrapText="1"/>
    </xf>
    <xf numFmtId="49" fontId="27" fillId="27" borderId="3" applyAlignment="1" pivotButton="0" quotePrefix="0" xfId="0">
      <alignment horizontal="center" vertical="center" wrapText="1"/>
    </xf>
    <xf numFmtId="9" fontId="7" fillId="27" borderId="3" applyAlignment="1" pivotButton="0" quotePrefix="0" xfId="0">
      <alignment horizontal="center" vertical="center" wrapText="1"/>
    </xf>
    <xf numFmtId="0" fontId="44" fillId="27" borderId="10" applyAlignment="1" pivotButton="0" quotePrefix="0" xfId="0">
      <alignment horizontal="center" vertical="center" wrapText="1"/>
    </xf>
    <xf numFmtId="166" fontId="8" fillId="7" borderId="3" applyAlignment="1" pivotButton="0" quotePrefix="0" xfId="0">
      <alignment horizontal="center" vertical="center" wrapText="1"/>
    </xf>
    <xf numFmtId="0" fontId="0" fillId="10" borderId="3" applyAlignment="1" pivotButton="0" quotePrefix="1" xfId="0">
      <alignment horizontal="center" vertical="center"/>
    </xf>
    <xf numFmtId="0" fontId="23" fillId="17" borderId="3" applyAlignment="1" pivotButton="0" quotePrefix="0" xfId="0">
      <alignment horizontal="center" vertical="center"/>
    </xf>
    <xf numFmtId="0" fontId="23" fillId="17" borderId="3" applyAlignment="1" pivotButton="0" quotePrefix="0" xfId="0">
      <alignment horizontal="center" vertical="center" wrapText="1"/>
    </xf>
    <xf numFmtId="0" fontId="0" fillId="17" borderId="3" applyAlignment="1" pivotButton="0" quotePrefix="1" xfId="0">
      <alignment horizontal="center" vertical="center"/>
    </xf>
    <xf numFmtId="166" fontId="0" fillId="17" borderId="3" applyAlignment="1" pivotButton="0" quotePrefix="0" xfId="0">
      <alignment horizontal="center" vertical="center"/>
    </xf>
    <xf numFmtId="0" fontId="23" fillId="17" borderId="3" applyAlignment="1" pivotButton="0" quotePrefix="1" xfId="0">
      <alignment horizontal="center" vertical="center"/>
    </xf>
    <xf numFmtId="164" fontId="0" fillId="17" borderId="3" applyAlignment="1" pivotButton="0" quotePrefix="0" xfId="0">
      <alignment horizontal="center" vertical="center"/>
    </xf>
    <xf numFmtId="14" fontId="0" fillId="17" borderId="3" applyAlignment="1" pivotButton="0" quotePrefix="0" xfId="0">
      <alignment horizontal="center" vertical="center"/>
    </xf>
    <xf numFmtId="165" fontId="23" fillId="7" borderId="3" applyAlignment="1" pivotButton="0" quotePrefix="0" xfId="0">
      <alignment horizontal="center" vertical="center" wrapText="1"/>
    </xf>
    <xf numFmtId="0" fontId="49" fillId="27" borderId="0" applyAlignment="1" pivotButton="0" quotePrefix="0" xfId="0">
      <alignment horizontal="center" vertical="center" wrapText="1"/>
    </xf>
    <xf numFmtId="0" fontId="38" fillId="10" borderId="3" applyAlignment="1" pivotButton="0" quotePrefix="0" xfId="0">
      <alignment horizontal="center" vertical="center"/>
    </xf>
    <xf numFmtId="9" fontId="21" fillId="27" borderId="8" applyAlignment="1" pivotButton="0" quotePrefix="0" xfId="0">
      <alignment horizontal="center" vertical="center" wrapText="1"/>
    </xf>
    <xf numFmtId="9" fontId="21" fillId="10" borderId="8" applyAlignment="1" pivotButton="0" quotePrefix="0" xfId="0">
      <alignment horizontal="center" vertical="center" wrapText="1"/>
    </xf>
    <xf numFmtId="0" fontId="27" fillId="17" borderId="9" applyAlignment="1" pivotButton="0" quotePrefix="0" xfId="1">
      <alignment horizontal="center" vertical="center" wrapText="1"/>
    </xf>
    <xf numFmtId="0" fontId="23" fillId="7" borderId="3" applyAlignment="1" pivotButton="0" quotePrefix="0" xfId="0">
      <alignment horizontal="center" vertical="center" wrapText="1"/>
    </xf>
    <xf numFmtId="0" fontId="0" fillId="7" borderId="3" applyAlignment="1" pivotButton="0" quotePrefix="0" xfId="0">
      <alignment horizontal="center" vertical="center" wrapText="1"/>
    </xf>
    <xf numFmtId="0" fontId="27" fillId="7" borderId="3" applyAlignment="1" pivotButton="0" quotePrefix="0" xfId="0">
      <alignment horizontal="center" vertical="center" wrapText="1"/>
    </xf>
    <xf numFmtId="0" fontId="38" fillId="7" borderId="3" applyAlignment="1" pivotButton="0" quotePrefix="0" xfId="0">
      <alignment horizontal="center" vertical="center"/>
    </xf>
    <xf numFmtId="0" fontId="0" fillId="7" borderId="3" applyAlignment="1" pivotButton="0" quotePrefix="0" xfId="0">
      <alignment horizontal="center" vertical="center"/>
    </xf>
    <xf numFmtId="49" fontId="0" fillId="10" borderId="4" applyAlignment="1" pivotButton="0" quotePrefix="1" xfId="0">
      <alignment horizontal="center" vertical="center" wrapText="1"/>
    </xf>
    <xf numFmtId="166" fontId="0" fillId="10" borderId="4" applyAlignment="1" pivotButton="0" quotePrefix="0" xfId="0">
      <alignment horizontal="center" vertical="center" wrapText="1"/>
    </xf>
    <xf numFmtId="164" fontId="0" fillId="10" borderId="4" applyAlignment="1" pivotButton="0" quotePrefix="0" xfId="0">
      <alignment horizontal="center" vertical="center" wrapText="1"/>
    </xf>
    <xf numFmtId="0" fontId="13" fillId="30" borderId="3" applyAlignment="1" pivotButton="0" quotePrefix="0" xfId="0">
      <alignment horizontal="center" vertical="center" wrapText="1"/>
    </xf>
    <xf numFmtId="14" fontId="27" fillId="3" borderId="3" applyAlignment="1" pivotButton="0" quotePrefix="0" xfId="1">
      <alignment horizontal="center" vertical="center" wrapText="1"/>
    </xf>
    <xf numFmtId="49" fontId="27" fillId="3" borderId="3" applyAlignment="1" pivotButton="0" quotePrefix="1" xfId="0">
      <alignment horizontal="center" vertical="center" wrapText="1"/>
    </xf>
    <xf numFmtId="14" fontId="27" fillId="3" borderId="3" applyAlignment="1" pivotButton="0" quotePrefix="0" xfId="0">
      <alignment horizontal="center" vertical="center" wrapText="1"/>
    </xf>
    <xf numFmtId="0" fontId="27" fillId="3" borderId="7" applyAlignment="1" pivotButton="0" quotePrefix="0" xfId="0">
      <alignment horizontal="center" vertical="center"/>
    </xf>
    <xf numFmtId="0" fontId="0" fillId="3" borderId="3" applyAlignment="1" pivotButton="0" quotePrefix="0" xfId="0">
      <alignment horizontal="center" vertical="center"/>
    </xf>
    <xf numFmtId="0" fontId="27" fillId="0" borderId="9" applyAlignment="1" pivotButton="0" quotePrefix="0" xfId="0">
      <alignment horizontal="center" vertical="center" wrapText="1"/>
    </xf>
    <xf numFmtId="9" fontId="21" fillId="27" borderId="3" applyAlignment="1" pivotButton="0" quotePrefix="0" xfId="0">
      <alignment horizontal="center" vertical="center" wrapText="1"/>
    </xf>
    <xf numFmtId="9" fontId="21" fillId="4" borderId="3" applyAlignment="1" pivotButton="0" quotePrefix="0" xfId="0">
      <alignment horizontal="center" vertical="center" wrapText="1"/>
    </xf>
    <xf numFmtId="9" fontId="21" fillId="28" borderId="3" applyAlignment="1" pivotButton="0" quotePrefix="0" xfId="0">
      <alignment horizontal="center" vertical="center" wrapText="1"/>
    </xf>
    <xf numFmtId="9" fontId="21" fillId="20" borderId="3" applyAlignment="1" pivotButton="0" quotePrefix="0" xfId="0">
      <alignment horizontal="center" vertical="center" wrapText="1"/>
    </xf>
    <xf numFmtId="0" fontId="7" fillId="8" borderId="9" applyAlignment="1" pivotButton="0" quotePrefix="0" xfId="0">
      <alignment horizontal="center" vertical="center" wrapText="1"/>
    </xf>
    <xf numFmtId="0" fontId="39" fillId="5" borderId="3" applyAlignment="1" pivotButton="0" quotePrefix="0" xfId="0">
      <alignment horizontal="center" vertical="center" wrapText="1"/>
    </xf>
    <xf numFmtId="0" fontId="27" fillId="3" borderId="3" applyAlignment="1" pivotButton="0" quotePrefix="0" xfId="0">
      <alignment horizontal="left" vertical="center" wrapText="1"/>
    </xf>
    <xf numFmtId="14" fontId="27" fillId="3" borderId="9" applyAlignment="1" pivotButton="0" quotePrefix="0" xfId="1">
      <alignment horizontal="center" vertical="center" wrapText="1"/>
    </xf>
    <xf numFmtId="0" fontId="49" fillId="3" borderId="0" applyAlignment="1" pivotButton="0" quotePrefix="0" xfId="0">
      <alignment horizontal="center" vertical="center"/>
    </xf>
    <xf numFmtId="0" fontId="48" fillId="3" borderId="0" applyAlignment="1" pivotButton="0" quotePrefix="0" xfId="0">
      <alignment horizontal="center" vertical="center"/>
    </xf>
    <xf numFmtId="0" fontId="38" fillId="3" borderId="4" applyAlignment="1" pivotButton="0" quotePrefix="0" xfId="0">
      <alignment wrapText="1"/>
    </xf>
    <xf numFmtId="164" fontId="0" fillId="3" borderId="3" applyAlignment="1" pivotButton="0" quotePrefix="0" xfId="0">
      <alignment horizontal="center" vertical="center" wrapText="1"/>
    </xf>
    <xf numFmtId="0" fontId="36" fillId="3" borderId="0" applyAlignment="1" pivotButton="0" quotePrefix="0" xfId="0">
      <alignment horizontal="center" vertical="center"/>
    </xf>
    <xf numFmtId="0" fontId="47" fillId="3" borderId="0" applyAlignment="1" pivotButton="0" quotePrefix="0" xfId="0">
      <alignment horizontal="center" vertical="center"/>
    </xf>
    <xf numFmtId="164" fontId="27" fillId="3" borderId="9" applyAlignment="1" pivotButton="0" quotePrefix="0" xfId="1">
      <alignment horizontal="center" vertical="center" wrapText="1"/>
    </xf>
    <xf numFmtId="0" fontId="54" fillId="3" borderId="0" applyAlignment="1" pivotButton="0" quotePrefix="0" xfId="0">
      <alignment vertical="center" wrapText="1"/>
    </xf>
    <xf numFmtId="0" fontId="0" fillId="3" borderId="3" applyAlignment="1" pivotButton="0" quotePrefix="0" xfId="0">
      <alignment horizontal="left" vertical="center" wrapText="1"/>
    </xf>
    <xf numFmtId="14" fontId="27" fillId="3" borderId="9" applyAlignment="1" pivotButton="0" quotePrefix="0" xfId="0">
      <alignment horizontal="center" vertical="center" wrapText="1"/>
    </xf>
    <xf numFmtId="14" fontId="53" fillId="3" borderId="0" applyAlignment="1" pivotButton="0" quotePrefix="0" xfId="0">
      <alignment horizontal="center" vertical="center"/>
    </xf>
    <xf numFmtId="0" fontId="46" fillId="3" borderId="14" applyAlignment="1" pivotButton="0" quotePrefix="0" xfId="0">
      <alignment horizontal="center" vertical="center"/>
    </xf>
    <xf numFmtId="14" fontId="46" fillId="3" borderId="3" applyAlignment="1" pivotButton="0" quotePrefix="0" xfId="1">
      <alignment horizontal="center" vertical="center" wrapText="1"/>
    </xf>
    <xf numFmtId="0" fontId="51" fillId="3" borderId="0" applyAlignment="1" pivotButton="0" quotePrefix="0" xfId="0">
      <alignment horizontal="center" vertical="center"/>
    </xf>
    <xf numFmtId="0" fontId="56" fillId="3" borderId="5" applyAlignment="1" pivotButton="0" quotePrefix="0" xfId="0">
      <alignment vertical="center" wrapText="1"/>
    </xf>
    <xf numFmtId="0" fontId="0" fillId="3" borderId="3" applyAlignment="1" pivotButton="0" quotePrefix="0" xfId="0">
      <alignment wrapText="1"/>
    </xf>
    <xf numFmtId="0" fontId="52" fillId="3" borderId="3" applyAlignment="1" pivotButton="0" quotePrefix="0" xfId="0">
      <alignment horizontal="center" vertical="center" wrapText="1"/>
    </xf>
    <xf numFmtId="0" fontId="51" fillId="3" borderId="3" applyAlignment="1" pivotButton="0" quotePrefix="0" xfId="0">
      <alignment horizontal="center" vertical="center"/>
    </xf>
    <xf numFmtId="0" fontId="29" fillId="3" borderId="3" applyAlignment="1" pivotButton="0" quotePrefix="0" xfId="0">
      <alignment horizontal="center" vertical="center" wrapText="1"/>
    </xf>
    <xf numFmtId="0" fontId="44" fillId="3" borderId="10" applyAlignment="1" pivotButton="0" quotePrefix="0" xfId="0">
      <alignment horizontal="center" vertical="center" wrapText="1"/>
    </xf>
    <xf numFmtId="9" fontId="21" fillId="2" borderId="3" applyAlignment="1" pivotButton="0" quotePrefix="0" xfId="0">
      <alignment horizontal="center" vertical="center" wrapText="1"/>
    </xf>
    <xf numFmtId="9" fontId="7" fillId="2" borderId="8" applyAlignment="1" pivotButton="0" quotePrefix="0" xfId="0">
      <alignment horizontal="center" vertical="center" wrapText="1"/>
    </xf>
    <xf numFmtId="0" fontId="13" fillId="10" borderId="12" applyAlignment="1" pivotButton="0" quotePrefix="1" xfId="0">
      <alignment horizontal="center" vertical="center" wrapText="1"/>
    </xf>
    <xf numFmtId="0" fontId="27" fillId="26" borderId="3" applyAlignment="1" pivotButton="0" quotePrefix="0" xfId="0">
      <alignment horizontal="center" vertical="center"/>
    </xf>
    <xf numFmtId="0" fontId="27" fillId="26" borderId="3" applyAlignment="1" pivotButton="0" quotePrefix="0" xfId="0">
      <alignment horizontal="center" vertical="center" wrapText="1"/>
    </xf>
    <xf numFmtId="0" fontId="43" fillId="0" borderId="3" pivotButton="0" quotePrefix="0" xfId="0"/>
    <xf numFmtId="0" fontId="42" fillId="0" borderId="3" pivotButton="0" quotePrefix="0" xfId="0"/>
    <xf numFmtId="0" fontId="17" fillId="0" borderId="3" pivotButton="0" quotePrefix="0" xfId="0"/>
    <xf numFmtId="0" fontId="27" fillId="31" borderId="3" applyAlignment="1" pivotButton="0" quotePrefix="0" xfId="0">
      <alignment horizontal="center" vertical="center"/>
    </xf>
    <xf numFmtId="0" fontId="27" fillId="31" borderId="3" applyAlignment="1" pivotButton="0" quotePrefix="0" xfId="0">
      <alignment horizontal="center" vertical="center" wrapText="1"/>
    </xf>
    <xf numFmtId="0" fontId="42" fillId="7" borderId="3" pivotButton="0" quotePrefix="0" xfId="0"/>
    <xf numFmtId="0" fontId="0" fillId="27" borderId="4" applyAlignment="1" pivotButton="0" quotePrefix="0" xfId="0">
      <alignment horizontal="center" vertical="center" wrapText="1"/>
    </xf>
    <xf numFmtId="0" fontId="27" fillId="27" borderId="4" applyAlignment="1" pivotButton="0" quotePrefix="0" xfId="0">
      <alignment horizontal="center" vertical="center" wrapText="1"/>
    </xf>
    <xf numFmtId="0" fontId="0" fillId="27" borderId="4" applyAlignment="1" pivotButton="0" quotePrefix="0" xfId="0">
      <alignment horizontal="center" vertical="center"/>
    </xf>
    <xf numFmtId="0" fontId="27" fillId="10" borderId="4" applyAlignment="1" pivotButton="0" quotePrefix="0" xfId="0">
      <alignment horizontal="center" vertical="center" wrapText="1"/>
    </xf>
    <xf numFmtId="0" fontId="0" fillId="26" borderId="3" applyAlignment="1" pivotButton="0" quotePrefix="0" xfId="0">
      <alignment horizontal="center" vertical="center"/>
    </xf>
    <xf numFmtId="0" fontId="27" fillId="10" borderId="3" applyAlignment="1" pivotButton="0" quotePrefix="0" xfId="0">
      <alignment horizontal="center" vertical="center"/>
    </xf>
    <xf numFmtId="0" fontId="49" fillId="26" borderId="0" applyAlignment="1" pivotButton="0" quotePrefix="0" xfId="0">
      <alignment horizontal="center" vertical="center" indent="1"/>
    </xf>
    <xf numFmtId="0" fontId="0" fillId="26" borderId="0" applyAlignment="1" pivotButton="0" quotePrefix="0" xfId="0">
      <alignment horizontal="center" vertical="center"/>
    </xf>
    <xf numFmtId="0" fontId="27" fillId="0" borderId="9" applyAlignment="1" pivotButton="0" quotePrefix="0" xfId="0">
      <alignment horizontal="center" vertical="center"/>
    </xf>
    <xf numFmtId="0" fontId="0" fillId="0" borderId="9" applyAlignment="1" pivotButton="0" quotePrefix="0" xfId="0">
      <alignment horizontal="center" vertical="center" wrapText="1"/>
    </xf>
    <xf numFmtId="0" fontId="49" fillId="31" borderId="19" applyAlignment="1" pivotButton="0" quotePrefix="0" xfId="0">
      <alignment horizontal="center" vertical="center" indent="1"/>
    </xf>
    <xf numFmtId="0" fontId="49" fillId="31" borderId="0" applyAlignment="1" pivotButton="0" quotePrefix="0" xfId="0">
      <alignment horizontal="center" vertical="center" indent="1"/>
    </xf>
    <xf numFmtId="0" fontId="0" fillId="26" borderId="3" applyAlignment="1" pivotButton="0" quotePrefix="0" xfId="0">
      <alignment horizontal="center" vertical="center" wrapText="1"/>
    </xf>
    <xf numFmtId="49" fontId="21" fillId="3" borderId="3" applyAlignment="1" pivotButton="0" quotePrefix="0" xfId="0">
      <alignment horizontal="center" vertical="center" wrapText="1"/>
    </xf>
    <xf numFmtId="49" fontId="0" fillId="26" borderId="0" applyAlignment="1" pivotButton="0" quotePrefix="0" xfId="0">
      <alignment horizontal="center" vertical="center"/>
    </xf>
    <xf numFmtId="49" fontId="0" fillId="10" borderId="20" applyAlignment="1" pivotButton="0" quotePrefix="0" xfId="0">
      <alignment horizontal="center" vertical="center"/>
    </xf>
    <xf numFmtId="0" fontId="0" fillId="31" borderId="3" applyAlignment="1" pivotButton="0" quotePrefix="0" xfId="0">
      <alignment horizontal="center" vertical="center"/>
    </xf>
    <xf numFmtId="0" fontId="21" fillId="0" borderId="3" applyAlignment="1" pivotButton="0" quotePrefix="0" xfId="0">
      <alignment horizontal="center" vertical="center"/>
    </xf>
    <xf numFmtId="0" fontId="58" fillId="0" borderId="0" applyAlignment="1" pivotButton="0" quotePrefix="0" xfId="0">
      <alignment horizontal="center" vertical="center"/>
    </xf>
    <xf numFmtId="0" fontId="0" fillId="31" borderId="3" applyAlignment="1" pivotButton="0" quotePrefix="0" xfId="0">
      <alignment horizontal="center" vertical="center" wrapText="1"/>
    </xf>
    <xf numFmtId="49" fontId="0" fillId="7" borderId="0" applyAlignment="1" pivotButton="0" quotePrefix="0" xfId="0">
      <alignment horizontal="center" vertical="center"/>
    </xf>
    <xf numFmtId="0" fontId="0" fillId="10" borderId="0" applyAlignment="1" pivotButton="0" quotePrefix="0" xfId="0">
      <alignment horizontal="center" vertical="center"/>
    </xf>
    <xf numFmtId="0" fontId="0" fillId="10" borderId="20" applyAlignment="1" pivotButton="0" quotePrefix="0" xfId="0">
      <alignment horizontal="center" vertical="center"/>
    </xf>
    <xf numFmtId="0" fontId="62" fillId="0" borderId="3" applyAlignment="1" pivotButton="0" quotePrefix="0" xfId="0">
      <alignment horizontal="center" vertical="center"/>
    </xf>
    <xf numFmtId="0" fontId="0" fillId="0" borderId="10" applyAlignment="1" pivotButton="0" quotePrefix="0" xfId="0">
      <alignment horizontal="center" vertical="center" wrapText="1"/>
    </xf>
    <xf numFmtId="49" fontId="27" fillId="7" borderId="3" applyAlignment="1" pivotButton="0" quotePrefix="0" xfId="0">
      <alignment horizontal="center" vertical="center" wrapText="1"/>
    </xf>
    <xf numFmtId="14" fontId="27" fillId="7" borderId="9" applyAlignment="1" pivotButton="0" quotePrefix="0" xfId="1">
      <alignment horizontal="center" vertical="center" wrapText="1"/>
    </xf>
    <xf numFmtId="164" fontId="27" fillId="7" borderId="3" applyAlignment="1" pivotButton="0" quotePrefix="0" xfId="0">
      <alignment horizontal="center" vertical="center" wrapText="1"/>
    </xf>
    <xf numFmtId="14" fontId="27" fillId="7" borderId="3" applyAlignment="1" pivotButton="0" quotePrefix="0" xfId="0">
      <alignment horizontal="center" vertical="center" wrapText="1"/>
    </xf>
    <xf numFmtId="166" fontId="27" fillId="7" borderId="3" applyAlignment="1" pivotButton="0" quotePrefix="0" xfId="0">
      <alignment horizontal="center" vertical="center" wrapText="1"/>
    </xf>
    <xf numFmtId="0" fontId="11" fillId="7" borderId="3" applyAlignment="1" pivotButton="0" quotePrefix="0" xfId="0">
      <alignment horizontal="center" vertical="center" wrapText="1"/>
    </xf>
    <xf numFmtId="14" fontId="27" fillId="0" borderId="0" applyAlignment="1" pivotButton="0" quotePrefix="0" xfId="0">
      <alignment horizontal="center" vertical="center" wrapText="1"/>
    </xf>
    <xf numFmtId="9" fontId="27" fillId="0" borderId="0" applyAlignment="1" pivotButton="0" quotePrefix="0" xfId="0">
      <alignment horizontal="center" vertical="center" wrapText="1"/>
    </xf>
    <xf numFmtId="0" fontId="27" fillId="26" borderId="0" applyAlignment="1" pivotButton="0" quotePrefix="0" xfId="0">
      <alignment horizontal="center" vertical="center" wrapText="1"/>
    </xf>
    <xf numFmtId="0" fontId="27" fillId="31" borderId="0" applyAlignment="1" pivotButton="0" quotePrefix="0" xfId="0">
      <alignment horizontal="center" vertical="center" wrapText="1"/>
    </xf>
    <xf numFmtId="0" fontId="27" fillId="3" borderId="0" applyAlignment="1" pivotButton="0" quotePrefix="0" xfId="0">
      <alignment horizontal="center" vertical="center" wrapText="1"/>
    </xf>
    <xf numFmtId="0" fontId="27" fillId="3" borderId="4" applyAlignment="1" pivotButton="0" quotePrefix="0" xfId="0">
      <alignment horizontal="center" vertical="center" wrapText="1"/>
    </xf>
    <xf numFmtId="0" fontId="27" fillId="27" borderId="0" applyAlignment="1" pivotButton="0" quotePrefix="0" xfId="0">
      <alignment horizontal="center" vertical="center" wrapText="1"/>
    </xf>
    <xf numFmtId="0" fontId="27" fillId="10" borderId="0" applyAlignment="1" pivotButton="0" quotePrefix="0" xfId="0">
      <alignment horizontal="center" vertical="center" wrapText="1"/>
    </xf>
    <xf numFmtId="0" fontId="28" fillId="0" borderId="0" applyAlignment="1" pivotButton="0" quotePrefix="0" xfId="0">
      <alignment horizontal="center" vertical="center" wrapText="1"/>
    </xf>
    <xf numFmtId="0" fontId="26" fillId="0" borderId="0" applyAlignment="1" pivotButton="0" quotePrefix="0" xfId="0">
      <alignment horizontal="center" vertical="center" wrapText="1"/>
    </xf>
    <xf numFmtId="0" fontId="29" fillId="0" borderId="3" applyAlignment="1" pivotButton="0" quotePrefix="0" xfId="0">
      <alignment horizontal="center" vertical="center" wrapText="1"/>
    </xf>
    <xf numFmtId="1" fontId="27" fillId="0" borderId="0" applyAlignment="1" pivotButton="0" quotePrefix="0" xfId="0">
      <alignment horizontal="center" vertical="center" wrapText="1"/>
    </xf>
    <xf numFmtId="1" fontId="27" fillId="0" borderId="3" applyAlignment="1" pivotButton="0" quotePrefix="0" xfId="0">
      <alignment horizontal="center" vertical="center" wrapText="1"/>
    </xf>
    <xf numFmtId="0" fontId="27" fillId="10" borderId="8" applyAlignment="1" pivotButton="0" quotePrefix="0" xfId="0">
      <alignment horizontal="center" vertical="center" wrapText="1"/>
    </xf>
    <xf numFmtId="0" fontId="21" fillId="10" borderId="3" applyAlignment="1" pivotButton="0" quotePrefix="0" xfId="0">
      <alignment wrapText="1"/>
    </xf>
    <xf numFmtId="14" fontId="27" fillId="31" borderId="3" applyAlignment="1" pivotButton="0" quotePrefix="0" xfId="0">
      <alignment horizontal="center" vertical="center" wrapText="1"/>
    </xf>
    <xf numFmtId="0" fontId="27" fillId="31" borderId="9" applyAlignment="1" pivotButton="0" quotePrefix="0" xfId="0">
      <alignment horizontal="center" vertical="center" wrapText="1"/>
    </xf>
    <xf numFmtId="9" fontId="27" fillId="31" borderId="3" applyAlignment="1" pivotButton="0" quotePrefix="0" xfId="0">
      <alignment horizontal="center" vertical="center" wrapText="1"/>
    </xf>
    <xf numFmtId="164" fontId="27" fillId="31" borderId="3" applyAlignment="1" pivotButton="0" quotePrefix="0" xfId="0">
      <alignment horizontal="center" vertical="center" wrapText="1"/>
    </xf>
    <xf numFmtId="166" fontId="27" fillId="31" borderId="3" applyAlignment="1" pivotButton="0" quotePrefix="0" xfId="0">
      <alignment horizontal="center" vertical="center" wrapText="1"/>
    </xf>
    <xf numFmtId="49" fontId="27" fillId="31" borderId="3" applyAlignment="1" pivotButton="0" quotePrefix="0" xfId="0">
      <alignment horizontal="center" vertical="center" wrapText="1"/>
    </xf>
    <xf numFmtId="14" fontId="27" fillId="26" borderId="3" applyAlignment="1" pivotButton="0" quotePrefix="0" xfId="0">
      <alignment horizontal="center" vertical="center" wrapText="1"/>
    </xf>
    <xf numFmtId="0" fontId="27" fillId="26" borderId="9" applyAlignment="1" pivotButton="0" quotePrefix="0" xfId="0">
      <alignment horizontal="center" vertical="center" wrapText="1"/>
    </xf>
    <xf numFmtId="9" fontId="27" fillId="26" borderId="3" applyAlignment="1" pivotButton="0" quotePrefix="0" xfId="0">
      <alignment horizontal="center" vertical="center" wrapText="1"/>
    </xf>
    <xf numFmtId="164" fontId="27" fillId="26" borderId="3" applyAlignment="1" pivotButton="0" quotePrefix="0" xfId="0">
      <alignment horizontal="center" vertical="center" wrapText="1"/>
    </xf>
    <xf numFmtId="166" fontId="27" fillId="26" borderId="3" applyAlignment="1" pivotButton="0" quotePrefix="0" xfId="0">
      <alignment horizontal="center" vertical="center" wrapText="1"/>
    </xf>
    <xf numFmtId="49" fontId="27" fillId="26" borderId="3" applyAlignment="1" pivotButton="0" quotePrefix="0" xfId="0">
      <alignment horizontal="center" vertical="center" wrapText="1"/>
    </xf>
    <xf numFmtId="49" fontId="11" fillId="3" borderId="3" applyAlignment="1" pivotButton="0" quotePrefix="1" xfId="0">
      <alignment horizontal="center" vertical="center" wrapText="1"/>
    </xf>
    <xf numFmtId="14" fontId="27" fillId="0" borderId="9" applyAlignment="1" pivotButton="0" quotePrefix="0" xfId="0">
      <alignment horizontal="center" vertical="center" wrapText="1"/>
    </xf>
    <xf numFmtId="9" fontId="27" fillId="0" borderId="9" applyAlignment="1" pivotButton="0" quotePrefix="0" xfId="0">
      <alignment horizontal="center" vertical="center" wrapText="1"/>
    </xf>
    <xf numFmtId="49" fontId="27" fillId="0" borderId="9" applyAlignment="1" pivotButton="0" quotePrefix="0" xfId="0">
      <alignment horizontal="center" vertical="center" wrapText="1"/>
    </xf>
    <xf numFmtId="9" fontId="27" fillId="3" borderId="3" applyAlignment="1" pivotButton="0" quotePrefix="0" xfId="0">
      <alignment horizontal="center" vertical="center" wrapText="1"/>
    </xf>
    <xf numFmtId="49" fontId="27" fillId="3" borderId="4" applyAlignment="1" pivotButton="0" quotePrefix="0" xfId="0">
      <alignment horizontal="center" vertical="center" wrapText="1"/>
    </xf>
    <xf numFmtId="14" fontId="27" fillId="10" borderId="4" applyAlignment="1" pivotButton="0" quotePrefix="0" xfId="0">
      <alignment horizontal="center" vertical="center" wrapText="1"/>
    </xf>
    <xf numFmtId="9" fontId="27" fillId="10" borderId="4" applyAlignment="1" pivotButton="0" quotePrefix="0" xfId="0">
      <alignment horizontal="center" vertical="center" wrapText="1"/>
    </xf>
    <xf numFmtId="164" fontId="27" fillId="10" borderId="4" applyAlignment="1" pivotButton="0" quotePrefix="0" xfId="0">
      <alignment horizontal="center" vertical="center" wrapText="1"/>
    </xf>
    <xf numFmtId="164" fontId="27" fillId="10" borderId="0" applyAlignment="1" pivotButton="0" quotePrefix="0" xfId="0">
      <alignment horizontal="center" vertical="center" wrapText="1"/>
    </xf>
    <xf numFmtId="166" fontId="27" fillId="10" borderId="4" applyAlignment="1" pivotButton="0" quotePrefix="0" xfId="0">
      <alignment horizontal="center" vertical="center" wrapText="1"/>
    </xf>
    <xf numFmtId="49" fontId="27" fillId="10" borderId="4" applyAlignment="1" pivotButton="0" quotePrefix="0" xfId="0">
      <alignment horizontal="center" vertical="center" wrapText="1"/>
    </xf>
    <xf numFmtId="166" fontId="27" fillId="3" borderId="0" applyAlignment="1" pivotButton="0" quotePrefix="0" xfId="0">
      <alignment horizontal="center" vertical="center" wrapText="1"/>
    </xf>
    <xf numFmtId="14" fontId="27" fillId="27" borderId="4" applyAlignment="1" pivotButton="0" quotePrefix="0" xfId="0">
      <alignment horizontal="center" vertical="center" wrapText="1"/>
    </xf>
    <xf numFmtId="9" fontId="27" fillId="27" borderId="4" applyAlignment="1" pivotButton="0" quotePrefix="0" xfId="0">
      <alignment horizontal="center" vertical="center" wrapText="1"/>
    </xf>
    <xf numFmtId="164" fontId="27" fillId="27" borderId="4" applyAlignment="1" pivotButton="0" quotePrefix="0" xfId="0">
      <alignment horizontal="center" vertical="center" wrapText="1"/>
    </xf>
    <xf numFmtId="164" fontId="27" fillId="27" borderId="0" applyAlignment="1" pivotButton="0" quotePrefix="0" xfId="0">
      <alignment horizontal="center" vertical="center" wrapText="1"/>
    </xf>
    <xf numFmtId="166" fontId="27" fillId="27" borderId="4" applyAlignment="1" pivotButton="0" quotePrefix="0" xfId="0">
      <alignment horizontal="center" vertical="center" wrapText="1"/>
    </xf>
    <xf numFmtId="49" fontId="27" fillId="27" borderId="4" applyAlignment="1" pivotButton="0" quotePrefix="0" xfId="0">
      <alignment horizontal="center" vertical="center" wrapText="1"/>
    </xf>
    <xf numFmtId="9" fontId="27" fillId="7" borderId="3" applyAlignment="1" pivotButton="0" quotePrefix="0" xfId="0">
      <alignment horizontal="center" vertical="center" wrapText="1"/>
    </xf>
    <xf numFmtId="49" fontId="21" fillId="10" borderId="4" applyAlignment="1" pivotButton="0" quotePrefix="0" xfId="0">
      <alignment horizontal="center" vertical="center" wrapText="1"/>
    </xf>
    <xf numFmtId="0" fontId="21" fillId="10" borderId="4" applyAlignment="1" pivotButton="0" quotePrefix="0" xfId="0">
      <alignment horizontal="center" vertical="center" wrapText="1"/>
    </xf>
    <xf numFmtId="49" fontId="21" fillId="27" borderId="3" applyAlignment="1" pivotButton="0" quotePrefix="0" xfId="0">
      <alignment horizontal="center" vertical="center" wrapText="1"/>
    </xf>
    <xf numFmtId="0" fontId="11" fillId="27" borderId="3" applyAlignment="1" pivotButton="0" quotePrefix="0" xfId="0">
      <alignment horizontal="center" vertical="center" wrapText="1"/>
    </xf>
    <xf numFmtId="49" fontId="21" fillId="27" borderId="3" applyAlignment="1" pivotButton="0" quotePrefix="1" xfId="0">
      <alignment horizontal="center" vertical="center" wrapText="1"/>
    </xf>
    <xf numFmtId="49" fontId="63" fillId="10" borderId="3" applyAlignment="1" pivotButton="0" quotePrefix="1" xfId="0">
      <alignment horizontal="center" vertical="center" wrapText="1"/>
    </xf>
    <xf numFmtId="49" fontId="11" fillId="17" borderId="3" applyAlignment="1" pivotButton="0" quotePrefix="0" xfId="0">
      <alignment horizontal="center" vertical="center" wrapText="1"/>
    </xf>
    <xf numFmtId="49" fontId="11" fillId="10" borderId="3" applyAlignment="1" pivotButton="0" quotePrefix="0" xfId="0">
      <alignment horizontal="center" vertical="center" wrapText="1"/>
    </xf>
    <xf numFmtId="49" fontId="63" fillId="10" borderId="3" applyAlignment="1" pivotButton="0" quotePrefix="0" xfId="0">
      <alignment horizontal="center" vertical="center" wrapText="1"/>
    </xf>
    <xf numFmtId="14" fontId="11" fillId="17" borderId="3" applyAlignment="1" pivotButton="0" quotePrefix="0" xfId="0">
      <alignment horizontal="center" vertical="center" wrapText="1"/>
    </xf>
    <xf numFmtId="166" fontId="13" fillId="17" borderId="3" applyAlignment="1" pivotButton="0" quotePrefix="0" xfId="0">
      <alignment horizontal="center" vertical="center" wrapText="1"/>
    </xf>
    <xf numFmtId="0" fontId="13" fillId="17" borderId="8" applyAlignment="1" pivotButton="0" quotePrefix="0" xfId="0">
      <alignment horizontal="center" vertical="center" wrapText="1"/>
    </xf>
    <xf numFmtId="49" fontId="21" fillId="10" borderId="3" applyAlignment="1" pivotButton="0" quotePrefix="1" xfId="0">
      <alignment horizontal="center" vertical="center" wrapText="1"/>
    </xf>
    <xf numFmtId="49" fontId="21" fillId="11" borderId="3" applyAlignment="1" pivotButton="0" quotePrefix="1" xfId="0">
      <alignment horizontal="center" vertical="center" wrapText="1"/>
    </xf>
    <xf numFmtId="49" fontId="21" fillId="10" borderId="5" applyAlignment="1" pivotButton="0" quotePrefix="0" xfId="0">
      <alignment horizontal="center" vertical="center" wrapText="1"/>
    </xf>
    <xf numFmtId="49" fontId="21" fillId="11" borderId="5" applyAlignment="1" pivotButton="0" quotePrefix="0" xfId="0">
      <alignment horizontal="center" vertical="center" wrapText="1"/>
    </xf>
    <xf numFmtId="49" fontId="7" fillId="10" borderId="3" applyAlignment="1" pivotButton="0" quotePrefix="0" xfId="0">
      <alignment horizontal="center" vertical="center" wrapText="1"/>
    </xf>
    <xf numFmtId="0" fontId="11" fillId="10" borderId="4" applyAlignment="1" pivotButton="0" quotePrefix="0" xfId="0">
      <alignment horizontal="center" vertical="center" wrapText="1"/>
    </xf>
    <xf numFmtId="49" fontId="21" fillId="10" borderId="3" applyAlignment="1" pivotButton="0" quotePrefix="0" xfId="0">
      <alignment horizontal="center" vertical="center" wrapText="1"/>
    </xf>
    <xf numFmtId="0" fontId="11" fillId="11" borderId="4" applyAlignment="1" pivotButton="0" quotePrefix="0" xfId="0">
      <alignment horizontal="center" vertical="center" wrapText="1"/>
    </xf>
    <xf numFmtId="0" fontId="11" fillId="11" borderId="3" applyAlignment="1" pivotButton="0" quotePrefix="0" xfId="0">
      <alignment horizontal="center" vertical="center" wrapText="1"/>
    </xf>
    <xf numFmtId="49" fontId="21" fillId="11" borderId="3" applyAlignment="1" pivotButton="0" quotePrefix="0" xfId="0">
      <alignment horizontal="center" vertical="center" wrapText="1"/>
    </xf>
    <xf numFmtId="0" fontId="21" fillId="11" borderId="3" applyAlignment="1" pivotButton="0" quotePrefix="0" xfId="0">
      <alignment horizontal="center" vertical="center" wrapText="1"/>
    </xf>
    <xf numFmtId="0" fontId="33" fillId="9" borderId="3" applyAlignment="1" pivotButton="0" quotePrefix="0" xfId="0">
      <alignment horizontal="center" vertical="center" wrapText="1"/>
    </xf>
    <xf numFmtId="9" fontId="27" fillId="10" borderId="3" applyAlignment="1" pivotButton="0" quotePrefix="0" xfId="0">
      <alignment horizontal="center" vertical="center" wrapText="1"/>
    </xf>
    <xf numFmtId="164" fontId="27" fillId="10" borderId="3" applyAlignment="1" pivotButton="0" quotePrefix="0" xfId="0">
      <alignment horizontal="center" vertical="center" wrapText="1"/>
    </xf>
    <xf numFmtId="49" fontId="27" fillId="10" borderId="3" applyAlignment="1" pivotButton="0" quotePrefix="1" xfId="0">
      <alignment horizontal="center" vertical="center" wrapText="1"/>
    </xf>
    <xf numFmtId="0" fontId="27" fillId="9" borderId="3" applyAlignment="1" pivotButton="0" quotePrefix="0" xfId="0">
      <alignment horizontal="left" vertical="center" wrapText="1"/>
    </xf>
    <xf numFmtId="14" fontId="27" fillId="9" borderId="3" applyAlignment="1" pivotButton="0" quotePrefix="0" xfId="0">
      <alignment horizontal="center" vertical="center" wrapText="1"/>
    </xf>
    <xf numFmtId="9" fontId="27" fillId="9" borderId="3" applyAlignment="1" pivotButton="0" quotePrefix="0" xfId="0">
      <alignment horizontal="center" vertical="center" wrapText="1"/>
    </xf>
    <xf numFmtId="164" fontId="27" fillId="9" borderId="3" applyAlignment="1" pivotButton="0" quotePrefix="0" xfId="0">
      <alignment horizontal="center" vertical="center" wrapText="1"/>
    </xf>
    <xf numFmtId="166" fontId="27" fillId="9" borderId="3" applyAlignment="1" pivotButton="0" quotePrefix="0" xfId="0">
      <alignment horizontal="center" vertical="center" wrapText="1"/>
    </xf>
    <xf numFmtId="49" fontId="27" fillId="9" borderId="3" applyAlignment="1" pivotButton="0" quotePrefix="1" xfId="0">
      <alignment horizontal="center" vertical="center" wrapText="1"/>
    </xf>
    <xf numFmtId="49" fontId="27" fillId="9" borderId="3" applyAlignment="1" pivotButton="0" quotePrefix="0" xfId="0">
      <alignment horizontal="center" vertical="center" wrapText="1"/>
    </xf>
    <xf numFmtId="0" fontId="27" fillId="17" borderId="3" applyAlignment="1" pivotButton="0" quotePrefix="0" xfId="0">
      <alignment horizontal="left" vertical="center" wrapText="1"/>
    </xf>
    <xf numFmtId="9" fontId="27" fillId="17" borderId="3" applyAlignment="1" pivotButton="0" quotePrefix="0" xfId="0">
      <alignment horizontal="center" vertical="center" wrapText="1"/>
    </xf>
    <xf numFmtId="0" fontId="27" fillId="17" borderId="9" applyAlignment="1" pivotButton="0" quotePrefix="0" xfId="0">
      <alignment horizontal="center" vertical="center" wrapText="1"/>
    </xf>
    <xf numFmtId="164" fontId="27" fillId="17" borderId="3" applyAlignment="1" pivotButton="0" quotePrefix="0" xfId="0">
      <alignment horizontal="center" vertical="center" wrapText="1"/>
    </xf>
    <xf numFmtId="166" fontId="27" fillId="17" borderId="3" applyAlignment="1" pivotButton="0" quotePrefix="0" xfId="0">
      <alignment horizontal="center" vertical="center" wrapText="1"/>
    </xf>
    <xf numFmtId="49" fontId="27" fillId="17" borderId="3" applyAlignment="1" pivotButton="0" quotePrefix="1" xfId="0">
      <alignment horizontal="center" vertical="center" wrapText="1"/>
    </xf>
    <xf numFmtId="49" fontId="27" fillId="17" borderId="3" applyAlignment="1" pivotButton="0" quotePrefix="0" xfId="0">
      <alignment horizontal="center" vertical="center" wrapText="1"/>
    </xf>
    <xf numFmtId="164" fontId="45" fillId="10" borderId="3" applyAlignment="1" pivotButton="0" quotePrefix="0" xfId="1">
      <alignment horizontal="center" vertical="center" wrapText="1"/>
    </xf>
    <xf numFmtId="164" fontId="45" fillId="10" borderId="5" applyAlignment="1" pivotButton="0" quotePrefix="0" xfId="1">
      <alignment horizontal="center" vertical="center" wrapText="1"/>
    </xf>
    <xf numFmtId="0" fontId="27" fillId="10" borderId="9" applyAlignment="1" pivotButton="0" quotePrefix="0" xfId="0">
      <alignment horizontal="center" vertical="center" wrapText="1"/>
    </xf>
    <xf numFmtId="14" fontId="27" fillId="10" borderId="3" applyAlignment="1" pivotButton="0" quotePrefix="0" xfId="1">
      <alignment horizontal="center" vertical="center" wrapText="1"/>
    </xf>
    <xf numFmtId="0" fontId="27" fillId="10" borderId="3" applyAlignment="1" pivotButton="0" quotePrefix="0" xfId="0">
      <alignment wrapText="1"/>
    </xf>
    <xf numFmtId="0" fontId="27" fillId="10" borderId="3" applyAlignment="1" pivotButton="0" quotePrefix="0" xfId="0">
      <alignment horizontal="left" vertical="center" wrapText="1"/>
    </xf>
    <xf numFmtId="2" fontId="27" fillId="10" borderId="3" applyAlignment="1" pivotButton="0" quotePrefix="0" xfId="1">
      <alignment horizontal="center" vertical="center" wrapText="1"/>
    </xf>
    <xf numFmtId="164" fontId="27" fillId="10" borderId="5" applyAlignment="1" pivotButton="0" quotePrefix="0" xfId="1">
      <alignment horizontal="center" vertical="center" wrapText="1"/>
    </xf>
    <xf numFmtId="1" fontId="27" fillId="10" borderId="3" applyAlignment="1" pivotButton="0" quotePrefix="0" xfId="1">
      <alignment horizontal="center" vertical="center" wrapText="1"/>
    </xf>
    <xf numFmtId="164" fontId="27" fillId="10" borderId="3" applyAlignment="1" pivotButton="0" quotePrefix="0" xfId="1">
      <alignment horizontal="center" vertical="center" wrapText="1"/>
    </xf>
    <xf numFmtId="166" fontId="27" fillId="10" borderId="3" applyAlignment="1" pivotButton="0" quotePrefix="0" xfId="1">
      <alignment horizontal="center" vertical="center" wrapText="1"/>
    </xf>
    <xf numFmtId="14" fontId="27" fillId="10" borderId="3" applyAlignment="1" pivotButton="0" quotePrefix="0" xfId="0">
      <alignment horizontal="center" vertical="center" wrapText="1"/>
    </xf>
    <xf numFmtId="0" fontId="27" fillId="27" borderId="10" applyAlignment="1" pivotButton="0" quotePrefix="0" xfId="0">
      <alignment horizontal="center" vertical="center" wrapText="1"/>
    </xf>
    <xf numFmtId="14" fontId="27" fillId="27" borderId="3" applyAlignment="1" pivotButton="0" quotePrefix="0" xfId="1">
      <alignment horizontal="center" vertical="center" wrapText="1"/>
    </xf>
    <xf numFmtId="0" fontId="27" fillId="27" borderId="3" applyAlignment="1" pivotButton="0" quotePrefix="0" xfId="0">
      <alignment horizontal="left" vertical="center" wrapText="1"/>
    </xf>
    <xf numFmtId="0" fontId="27" fillId="27" borderId="9" applyAlignment="1" pivotButton="0" quotePrefix="0" xfId="0">
      <alignment wrapText="1"/>
    </xf>
    <xf numFmtId="0" fontId="27" fillId="27" borderId="9" applyAlignment="1" pivotButton="0" quotePrefix="0" xfId="0">
      <alignment horizontal="left" vertical="center" wrapText="1"/>
    </xf>
    <xf numFmtId="0" fontId="27" fillId="27" borderId="5" applyAlignment="1" pivotButton="0" quotePrefix="0" xfId="0">
      <alignment horizontal="center" vertical="center" wrapText="1"/>
    </xf>
    <xf numFmtId="1" fontId="27" fillId="27" borderId="3" applyAlignment="1" pivotButton="0" quotePrefix="0" xfId="1">
      <alignment horizontal="center" vertical="center" wrapText="1"/>
    </xf>
    <xf numFmtId="164" fontId="27" fillId="27" borderId="9" applyAlignment="1" pivotButton="0" quotePrefix="0" xfId="1">
      <alignment horizontal="center" vertical="center" wrapText="1"/>
    </xf>
    <xf numFmtId="164" fontId="27" fillId="27" borderId="3" applyAlignment="1" pivotButton="0" quotePrefix="0" xfId="0">
      <alignment horizontal="center" vertical="center" wrapText="1"/>
    </xf>
    <xf numFmtId="166" fontId="27" fillId="27" borderId="3" applyAlignment="1" pivotButton="0" quotePrefix="0" xfId="1">
      <alignment horizontal="center" vertical="center" wrapText="1"/>
    </xf>
    <xf numFmtId="166" fontId="29" fillId="27" borderId="5" applyAlignment="1" pivotButton="0" quotePrefix="0" xfId="1">
      <alignment horizontal="center" vertical="center" wrapText="1"/>
    </xf>
    <xf numFmtId="0" fontId="26" fillId="27" borderId="9" applyAlignment="1" pivotButton="0" quotePrefix="0" xfId="0">
      <alignment horizontal="center" vertical="center" wrapText="1"/>
    </xf>
    <xf numFmtId="0" fontId="52" fillId="27" borderId="5" applyAlignment="1" pivotButton="0" quotePrefix="0" xfId="0">
      <alignment horizontal="center" vertical="center" wrapText="1"/>
    </xf>
    <xf numFmtId="0" fontId="52" fillId="27" borderId="3" applyAlignment="1" pivotButton="0" quotePrefix="0" xfId="0">
      <alignment horizontal="center" vertical="center" wrapText="1"/>
    </xf>
    <xf numFmtId="0" fontId="27" fillId="27" borderId="8" applyAlignment="1" pivotButton="0" quotePrefix="0" xfId="0">
      <alignment horizontal="center" vertical="center" wrapText="1"/>
    </xf>
    <xf numFmtId="0" fontId="27" fillId="27" borderId="12" applyAlignment="1" pivotButton="0" quotePrefix="0" xfId="0">
      <alignment horizontal="center" vertical="center" wrapText="1"/>
    </xf>
    <xf numFmtId="0" fontId="46" fillId="27" borderId="3" applyAlignment="1" pivotButton="0" quotePrefix="0" xfId="0">
      <alignment horizontal="center" vertical="center" wrapText="1"/>
    </xf>
    <xf numFmtId="2" fontId="27" fillId="27" borderId="3" applyAlignment="1" pivotButton="0" quotePrefix="1" xfId="0">
      <alignment horizontal="center" vertical="center" wrapText="1"/>
    </xf>
    <xf numFmtId="2" fontId="27" fillId="27" borderId="3" applyAlignment="1" pivotButton="0" quotePrefix="0" xfId="1">
      <alignment horizontal="center" vertical="center" wrapText="1"/>
    </xf>
    <xf numFmtId="0" fontId="29" fillId="27" borderId="3" applyAlignment="1" pivotButton="0" quotePrefix="0" xfId="0">
      <alignment horizontal="center" vertical="center" wrapText="1"/>
    </xf>
    <xf numFmtId="0" fontId="27" fillId="27" borderId="4" applyAlignment="1" pivotButton="0" quotePrefix="0" xfId="1">
      <alignment horizontal="center" vertical="center" wrapText="1"/>
    </xf>
    <xf numFmtId="164" fontId="45" fillId="27" borderId="4" applyAlignment="1" pivotButton="0" quotePrefix="0" xfId="1">
      <alignment horizontal="center" vertical="center" wrapText="1"/>
    </xf>
    <xf numFmtId="164" fontId="27" fillId="27" borderId="3" applyAlignment="1" pivotButton="0" quotePrefix="0" xfId="1">
      <alignment horizontal="center" vertical="center" wrapText="1"/>
    </xf>
    <xf numFmtId="164" fontId="29" fillId="27" borderId="3" applyAlignment="1" pivotButton="0" quotePrefix="0" xfId="1">
      <alignment horizontal="center" vertical="center" wrapText="1"/>
    </xf>
    <xf numFmtId="166" fontId="27" fillId="27" borderId="3" applyAlignment="1" pivotButton="0" quotePrefix="0" xfId="0">
      <alignment horizontal="center" vertical="center" wrapText="1"/>
    </xf>
    <xf numFmtId="14" fontId="27" fillId="27" borderId="3" applyAlignment="1" pivotButton="0" quotePrefix="0" xfId="0">
      <alignment horizontal="center" vertical="center" wrapText="1"/>
    </xf>
    <xf numFmtId="0" fontId="27" fillId="27" borderId="3" applyAlignment="1" pivotButton="0" quotePrefix="1" xfId="0">
      <alignment horizontal="center" vertical="center" wrapText="1"/>
    </xf>
    <xf numFmtId="49" fontId="27" fillId="27" borderId="3" applyAlignment="1" pivotButton="0" quotePrefix="1" xfId="0">
      <alignment horizontal="center" vertical="center" wrapText="1"/>
    </xf>
    <xf numFmtId="0" fontId="27" fillId="3" borderId="8" applyAlignment="1" pivotButton="0" quotePrefix="0" xfId="0">
      <alignment horizontal="left" vertical="top" wrapText="1"/>
    </xf>
    <xf numFmtId="0" fontId="46" fillId="3" borderId="9" applyAlignment="1" pivotButton="0" quotePrefix="0" xfId="0">
      <alignment horizontal="left" vertical="top" wrapText="1"/>
    </xf>
    <xf numFmtId="0" fontId="27" fillId="3" borderId="9" applyAlignment="1" pivotButton="0" quotePrefix="0" xfId="0">
      <alignment horizontal="left" vertical="top" wrapText="1"/>
    </xf>
    <xf numFmtId="0" fontId="29" fillId="3" borderId="4" applyAlignment="1" pivotButton="0" quotePrefix="0" xfId="0">
      <alignment horizontal="center" vertical="center" wrapText="1"/>
    </xf>
    <xf numFmtId="166" fontId="29" fillId="3" borderId="5" applyAlignment="1" pivotButton="0" quotePrefix="0" xfId="1">
      <alignment horizontal="center" vertical="center" wrapText="1"/>
    </xf>
    <xf numFmtId="0" fontId="36" fillId="3" borderId="16" applyAlignment="1" pivotButton="0" quotePrefix="0" xfId="0">
      <alignment horizontal="center" vertical="center" wrapText="1"/>
    </xf>
    <xf numFmtId="0" fontId="29" fillId="3" borderId="8" applyAlignment="1" pivotButton="0" quotePrefix="0" xfId="0">
      <alignment horizontal="left" vertical="top" wrapText="1"/>
    </xf>
    <xf numFmtId="0" fontId="29" fillId="3" borderId="3" applyAlignment="1" pivotButton="0" quotePrefix="0" xfId="0">
      <alignment horizontal="left" vertical="top" wrapText="1"/>
    </xf>
    <xf numFmtId="0" fontId="29" fillId="3" borderId="8" applyAlignment="1" pivotButton="0" quotePrefix="0" xfId="0">
      <alignment horizontal="center" vertical="center" wrapText="1"/>
    </xf>
    <xf numFmtId="164" fontId="29" fillId="0" borderId="3" applyAlignment="1" pivotButton="0" quotePrefix="0" xfId="1">
      <alignment horizontal="center" vertical="center" wrapText="1"/>
    </xf>
    <xf numFmtId="0" fontId="27" fillId="3" borderId="13" applyAlignment="1" pivotButton="0" quotePrefix="0" xfId="0">
      <alignment horizontal="left" vertical="center" wrapText="1"/>
    </xf>
    <xf numFmtId="0" fontId="64" fillId="3" borderId="4" applyAlignment="1" pivotButton="0" quotePrefix="0" xfId="0">
      <alignment horizontal="left" vertical="center" wrapText="1"/>
    </xf>
    <xf numFmtId="0" fontId="27" fillId="3" borderId="8" applyAlignment="1" pivotButton="0" quotePrefix="0" xfId="0">
      <alignment horizontal="left" vertical="center" wrapText="1"/>
    </xf>
    <xf numFmtId="0" fontId="65" fillId="3" borderId="3" applyAlignment="1" pivotButton="0" quotePrefix="0" xfId="0">
      <alignment horizontal="left" vertical="center" wrapText="1"/>
    </xf>
    <xf numFmtId="0" fontId="52" fillId="3" borderId="0" applyAlignment="1" pivotButton="0" quotePrefix="0" xfId="0">
      <alignment horizontal="center" vertical="center" wrapText="1"/>
    </xf>
    <xf numFmtId="0" fontId="46" fillId="3" borderId="16" applyAlignment="1" pivotButton="0" quotePrefix="0" xfId="0">
      <alignment horizontal="center" vertical="center" wrapText="1"/>
    </xf>
    <xf numFmtId="0" fontId="46" fillId="3" borderId="4" applyAlignment="1" pivotButton="0" quotePrefix="0" xfId="0">
      <alignment horizontal="center" vertical="center" wrapText="1"/>
    </xf>
    <xf numFmtId="0" fontId="46" fillId="3" borderId="3" applyAlignment="1" pivotButton="0" quotePrefix="0" xfId="0">
      <alignment horizontal="left" vertical="top" wrapText="1"/>
    </xf>
    <xf numFmtId="0" fontId="46" fillId="3" borderId="10" applyAlignment="1" pivotButton="0" quotePrefix="0" xfId="0">
      <alignment horizontal="center" vertical="center" wrapText="1"/>
    </xf>
    <xf numFmtId="0" fontId="46" fillId="3" borderId="9" applyAlignment="1" pivotButton="0" quotePrefix="0" xfId="0">
      <alignment horizontal="center" vertical="center" wrapText="1"/>
    </xf>
    <xf numFmtId="0" fontId="27" fillId="3" borderId="12" applyAlignment="1" pivotButton="0" quotePrefix="0" xfId="0">
      <alignment horizontal="center" vertical="center" wrapText="1"/>
    </xf>
    <xf numFmtId="14" fontId="27" fillId="3" borderId="8" applyAlignment="1" pivotButton="0" quotePrefix="0" xfId="0">
      <alignment horizontal="center" vertical="center" wrapText="1"/>
    </xf>
    <xf numFmtId="166" fontId="27" fillId="3" borderId="5" applyAlignment="1" pivotButton="0" quotePrefix="0" xfId="0">
      <alignment horizontal="center" vertical="center" wrapText="1"/>
    </xf>
    <xf numFmtId="2" fontId="27" fillId="3" borderId="3" applyAlignment="1" pivotButton="0" quotePrefix="1" xfId="0">
      <alignment horizontal="center" vertical="center" wrapText="1"/>
    </xf>
    <xf numFmtId="0" fontId="66" fillId="3" borderId="5" applyAlignment="1" pivotButton="0" quotePrefix="0" xfId="0">
      <alignment horizontal="center" vertical="center" wrapText="1"/>
    </xf>
    <xf numFmtId="0" fontId="26" fillId="3" borderId="4" applyAlignment="1" pivotButton="0" quotePrefix="0" xfId="0">
      <alignment horizontal="center" vertical="center" wrapText="1"/>
    </xf>
    <xf numFmtId="14" fontId="26" fillId="3" borderId="3" applyAlignment="1" pivotButton="0" quotePrefix="0" xfId="1">
      <alignment horizontal="center" vertical="center" wrapText="1"/>
    </xf>
    <xf numFmtId="0" fontId="27" fillId="3" borderId="18" applyAlignment="1" pivotButton="0" quotePrefix="0" xfId="0">
      <alignment horizontal="center" vertical="center" wrapText="1"/>
    </xf>
    <xf numFmtId="17" fontId="27" fillId="3" borderId="3" applyAlignment="1" pivotButton="0" quotePrefix="0" xfId="0">
      <alignment horizontal="center" vertical="center" wrapText="1"/>
    </xf>
    <xf numFmtId="168" fontId="27" fillId="3" borderId="11" applyAlignment="1" pivotButton="0" quotePrefix="0" xfId="1">
      <alignment horizontal="center" vertical="center" wrapText="1"/>
    </xf>
    <xf numFmtId="14" fontId="27" fillId="3" borderId="3" applyAlignment="1" pivotButton="0" quotePrefix="0" xfId="0">
      <alignment horizontal="left" vertical="center" wrapText="1"/>
    </xf>
    <xf numFmtId="14" fontId="27" fillId="3" borderId="8" applyAlignment="1" pivotButton="0" quotePrefix="0" xfId="0">
      <alignment horizontal="left" vertical="center" wrapText="1"/>
    </xf>
    <xf numFmtId="164" fontId="46" fillId="3" borderId="9" applyAlignment="1" pivotButton="0" quotePrefix="0" xfId="1">
      <alignment horizontal="center" vertical="center" wrapText="1"/>
    </xf>
    <xf numFmtId="0" fontId="46" fillId="3" borderId="18" applyAlignment="1" pivotButton="0" quotePrefix="0" xfId="0">
      <alignment horizontal="center" vertical="center" wrapText="1"/>
    </xf>
    <xf numFmtId="0" fontId="46" fillId="3" borderId="11" applyAlignment="1" pivotButton="0" quotePrefix="0" xfId="0">
      <alignment horizontal="center" vertical="center" wrapText="1"/>
    </xf>
    <xf numFmtId="164" fontId="64" fillId="3" borderId="3" applyAlignment="1" pivotButton="0" quotePrefix="0" xfId="0">
      <alignment horizontal="center" vertical="center" wrapText="1"/>
    </xf>
    <xf numFmtId="0" fontId="52" fillId="3" borderId="5" applyAlignment="1" pivotButton="0" quotePrefix="0" xfId="0">
      <alignment horizontal="center" vertical="center" wrapText="1"/>
    </xf>
    <xf numFmtId="0" fontId="67" fillId="3" borderId="3" applyAlignment="1" pivotButton="0" quotePrefix="0" xfId="0">
      <alignment horizontal="center" vertical="center" wrapText="1"/>
    </xf>
    <xf numFmtId="0" fontId="27" fillId="3" borderId="5" applyAlignment="1" pivotButton="0" quotePrefix="0" xfId="0">
      <alignment wrapText="1"/>
    </xf>
    <xf numFmtId="14" fontId="27" fillId="3" borderId="3" applyAlignment="1" pivotButton="0" quotePrefix="0" xfId="0">
      <alignment wrapText="1"/>
    </xf>
    <xf numFmtId="0" fontId="36" fillId="3" borderId="9" applyAlignment="1" pivotButton="0" quotePrefix="0" xfId="0">
      <alignment horizontal="center" vertical="center" wrapText="1"/>
    </xf>
    <xf numFmtId="166" fontId="27" fillId="3" borderId="4" applyAlignment="1" pivotButton="0" quotePrefix="0" xfId="0">
      <alignment horizontal="center" vertical="center" wrapText="1"/>
    </xf>
    <xf numFmtId="14" fontId="27" fillId="3" borderId="8" applyAlignment="1" pivotButton="0" quotePrefix="0" xfId="0">
      <alignment horizontal="left" vertical="top" wrapText="1"/>
    </xf>
    <xf numFmtId="14" fontId="29" fillId="3" borderId="3" applyAlignment="1" pivotButton="0" quotePrefix="0" xfId="0">
      <alignment horizontal="center" vertical="center" wrapText="1"/>
    </xf>
    <xf numFmtId="15" fontId="27" fillId="3" borderId="3" applyAlignment="1" pivotButton="0" quotePrefix="0" xfId="0">
      <alignment horizontal="left" vertical="top" wrapText="1"/>
    </xf>
    <xf numFmtId="164" fontId="29" fillId="3" borderId="11" applyAlignment="1" pivotButton="0" quotePrefix="0" xfId="1">
      <alignment horizontal="center" vertical="center" wrapText="1"/>
    </xf>
    <xf numFmtId="0" fontId="68" fillId="3" borderId="9" applyAlignment="1" pivotButton="0" quotePrefix="0" xfId="0">
      <alignment horizontal="left" vertical="center" wrapText="1"/>
    </xf>
    <xf numFmtId="164" fontId="29" fillId="3" borderId="9" applyAlignment="1" pivotButton="0" quotePrefix="0" xfId="1">
      <alignment horizontal="center" vertical="center" wrapText="1"/>
    </xf>
    <xf numFmtId="166" fontId="27" fillId="3" borderId="3" applyAlignment="1" pivotButton="0" quotePrefix="1" xfId="1">
      <alignment horizontal="center" vertical="center" wrapText="1"/>
    </xf>
    <xf numFmtId="0" fontId="27" fillId="3" borderId="3" applyAlignment="1" pivotButton="0" quotePrefix="1" xfId="0">
      <alignment horizontal="center" vertical="center" wrapText="1"/>
    </xf>
    <xf numFmtId="0" fontId="69" fillId="3" borderId="5" applyAlignment="1" pivotButton="0" quotePrefix="0" xfId="0">
      <alignment horizontal="center" vertical="center" wrapText="1"/>
    </xf>
    <xf numFmtId="14" fontId="27" fillId="3" borderId="3" applyAlignment="1" pivotButton="0" quotePrefix="0" xfId="0">
      <alignment horizontal="left" vertical="top" wrapText="1"/>
    </xf>
    <xf numFmtId="0" fontId="27" fillId="3" borderId="3" applyAlignment="1" pivotButton="0" quotePrefix="0" xfId="0">
      <alignment horizontal="left" vertical="top" wrapText="1"/>
    </xf>
    <xf numFmtId="164" fontId="27" fillId="3" borderId="11" applyAlignment="1" pivotButton="0" quotePrefix="0" xfId="1">
      <alignment horizontal="center" vertical="center" wrapText="1"/>
    </xf>
    <xf numFmtId="14" fontId="36" fillId="3" borderId="11" applyAlignment="1" pivotButton="0" quotePrefix="0" xfId="1">
      <alignment horizontal="center" vertical="center" wrapText="1"/>
    </xf>
    <xf numFmtId="0" fontId="0" fillId="3" borderId="5" applyAlignment="1" pivotButton="0" quotePrefix="0" xfId="0">
      <alignment horizontal="center" vertical="center" wrapText="1"/>
    </xf>
    <xf numFmtId="0" fontId="28" fillId="3" borderId="3" applyAlignment="1" pivotButton="0" quotePrefix="0" xfId="0">
      <alignment horizontal="center" vertical="center" wrapText="1"/>
    </xf>
    <xf numFmtId="166" fontId="28" fillId="3" borderId="3" applyAlignment="1" pivotButton="0" quotePrefix="0" xfId="0">
      <alignment horizontal="center" vertical="center" wrapText="1"/>
    </xf>
    <xf numFmtId="0" fontId="70" fillId="3" borderId="9" applyAlignment="1" pivotButton="0" quotePrefix="0" xfId="0">
      <alignment horizontal="center" vertical="center" wrapText="1"/>
    </xf>
    <xf numFmtId="0" fontId="64" fillId="3" borderId="9" applyAlignment="1" pivotButton="0" quotePrefix="0" xfId="0">
      <alignment horizontal="left" vertical="center" wrapText="1"/>
    </xf>
    <xf numFmtId="2" fontId="0" fillId="3" borderId="3" applyAlignment="1" pivotButton="0" quotePrefix="0" xfId="1">
      <alignment horizontal="center" vertical="center" wrapText="1"/>
    </xf>
    <xf numFmtId="164" fontId="0" fillId="0" borderId="3" applyAlignment="1" pivotButton="0" quotePrefix="0" xfId="1">
      <alignment horizontal="center" vertical="center" wrapText="1"/>
    </xf>
    <xf numFmtId="164" fontId="0" fillId="0" borderId="3" applyAlignment="1" pivotButton="0" quotePrefix="0" xfId="0">
      <alignment horizontal="center" vertical="center" wrapText="1"/>
    </xf>
    <xf numFmtId="0" fontId="27" fillId="3" borderId="10" applyAlignment="1" pivotButton="0" quotePrefix="0" xfId="0">
      <alignment horizontal="center" vertical="center" wrapText="1"/>
    </xf>
    <xf numFmtId="0" fontId="27" fillId="3" borderId="8" applyAlignment="1" pivotButton="0" quotePrefix="0" xfId="0">
      <alignment horizontal="center" vertical="center" wrapText="1"/>
    </xf>
    <xf numFmtId="166" fontId="46" fillId="3" borderId="3" applyAlignment="1" pivotButton="0" quotePrefix="0" xfId="0">
      <alignment horizontal="center" vertical="center" wrapText="1"/>
    </xf>
    <xf numFmtId="14" fontId="71" fillId="3" borderId="9" applyAlignment="1" pivotButton="0" quotePrefix="0" xfId="0">
      <alignment horizontal="center" vertical="center" wrapText="1"/>
    </xf>
    <xf numFmtId="2" fontId="46" fillId="3" borderId="3" applyAlignment="1" pivotButton="0" quotePrefix="0" xfId="1">
      <alignment horizontal="center" vertical="center" wrapText="1"/>
    </xf>
    <xf numFmtId="164" fontId="27" fillId="3" borderId="5" applyAlignment="1" pivotButton="0" quotePrefix="0" xfId="1">
      <alignment horizontal="center" vertical="center" wrapText="1"/>
    </xf>
    <xf numFmtId="166" fontId="36" fillId="3" borderId="3" applyAlignment="1" pivotButton="0" quotePrefix="0" xfId="1">
      <alignment horizontal="center" vertical="center" wrapText="1"/>
    </xf>
    <xf numFmtId="0" fontId="27" fillId="3" borderId="5" applyAlignment="1" pivotButton="0" quotePrefix="0" xfId="0">
      <alignment vertical="center" wrapText="1"/>
    </xf>
    <xf numFmtId="0" fontId="27" fillId="3" borderId="16" applyAlignment="1" pivotButton="0" quotePrefix="0" xfId="0">
      <alignment vertical="center" wrapText="1"/>
    </xf>
    <xf numFmtId="0" fontId="27" fillId="3" borderId="16" applyAlignment="1" pivotButton="0" quotePrefix="0" xfId="0">
      <alignment horizontal="center" vertical="center" wrapText="1"/>
    </xf>
    <xf numFmtId="0" fontId="72" fillId="3" borderId="5" applyAlignment="1" pivotButton="0" quotePrefix="0" xfId="0">
      <alignment horizontal="center" vertical="center" wrapText="1"/>
    </xf>
    <xf numFmtId="0" fontId="72" fillId="3" borderId="3" applyAlignment="1" pivotButton="0" quotePrefix="0" xfId="0">
      <alignment horizontal="center" vertical="center" wrapText="1"/>
    </xf>
    <xf numFmtId="0" fontId="36" fillId="3" borderId="0" applyAlignment="1" pivotButton="0" quotePrefix="0" xfId="0">
      <alignment horizontal="center" vertical="center" wrapText="1"/>
    </xf>
    <xf numFmtId="0" fontId="0" fillId="3" borderId="11" applyAlignment="1" pivotButton="0" quotePrefix="0" xfId="0">
      <alignment wrapText="1"/>
    </xf>
    <xf numFmtId="166" fontId="0" fillId="3" borderId="4" applyAlignment="1" pivotButton="0" quotePrefix="0" xfId="0">
      <alignment horizontal="center" vertical="center" wrapText="1"/>
    </xf>
    <xf numFmtId="0" fontId="0" fillId="3" borderId="3" applyAlignment="1" pivotButton="0" quotePrefix="0" xfId="0">
      <alignment horizontal="center" vertical="center" wrapText="1"/>
    </xf>
    <xf numFmtId="166" fontId="29" fillId="3" borderId="3" applyAlignment="1" pivotButton="0" quotePrefix="0" xfId="1">
      <alignment horizontal="center" vertical="center" wrapText="1"/>
    </xf>
    <xf numFmtId="0" fontId="27" fillId="3" borderId="3" applyAlignment="1" pivotButton="0" quotePrefix="0" xfId="0">
      <alignment wrapText="1"/>
    </xf>
    <xf numFmtId="164" fontId="0" fillId="3" borderId="9" applyAlignment="1" pivotButton="0" quotePrefix="0" xfId="1">
      <alignment horizontal="center" vertical="center" wrapText="1"/>
    </xf>
    <xf numFmtId="166" fontId="0" fillId="3" borderId="3" applyAlignment="1" pivotButton="0" quotePrefix="0" xfId="0">
      <alignment horizontal="center" vertical="center" wrapText="1"/>
    </xf>
    <xf numFmtId="0" fontId="0" fillId="3" borderId="3" applyAlignment="1" pivotButton="0" quotePrefix="0" xfId="0">
      <alignment horizontal="left" vertical="center"/>
    </xf>
    <xf numFmtId="14" fontId="29" fillId="3" borderId="3" applyAlignment="1" pivotButton="0" quotePrefix="0" xfId="1">
      <alignment horizontal="center" vertical="center" wrapText="1"/>
    </xf>
    <xf numFmtId="164" fontId="36" fillId="3" borderId="9" applyAlignment="1" pivotButton="0" quotePrefix="0" xfId="1">
      <alignment horizontal="center" vertical="center" wrapText="1"/>
    </xf>
    <xf numFmtId="14" fontId="36" fillId="3" borderId="0" applyAlignment="1" pivotButton="0" quotePrefix="0" xfId="0">
      <alignment horizontal="center" vertical="center" wrapText="1"/>
    </xf>
    <xf numFmtId="0" fontId="27" fillId="3" borderId="5" applyAlignment="1" pivotButton="0" quotePrefix="0" xfId="0">
      <alignment horizontal="center" vertical="center" wrapText="1"/>
    </xf>
    <xf numFmtId="0" fontId="27" fillId="3" borderId="3" applyAlignment="1" pivotButton="0" quotePrefix="0" xfId="0">
      <alignment vertical="top" wrapText="1"/>
    </xf>
    <xf numFmtId="14" fontId="27" fillId="3" borderId="0" applyAlignment="1" pivotButton="0" quotePrefix="0" xfId="0">
      <alignment horizontal="center" vertical="center" wrapText="1"/>
    </xf>
    <xf numFmtId="0" fontId="27" fillId="3" borderId="0" applyAlignment="1" pivotButton="0" quotePrefix="1" xfId="0">
      <alignment horizontal="left" vertical="center" wrapText="1"/>
    </xf>
    <xf numFmtId="0" fontId="26" fillId="3" borderId="8" applyAlignment="1" pivotButton="0" quotePrefix="0" xfId="0">
      <alignment horizontal="center" vertical="center" wrapText="1"/>
    </xf>
    <xf numFmtId="0" fontId="64" fillId="3" borderId="3" applyAlignment="1" pivotButton="0" quotePrefix="0" xfId="0">
      <alignment horizontal="left" vertical="center" wrapText="1"/>
    </xf>
    <xf numFmtId="0" fontId="46" fillId="3" borderId="5" applyAlignment="1" pivotButton="0" quotePrefix="0" xfId="0">
      <alignment horizontal="center" vertical="center" wrapText="1"/>
    </xf>
    <xf numFmtId="0" fontId="46" fillId="3" borderId="3" applyAlignment="1" pivotButton="0" quotePrefix="0" xfId="0">
      <alignment horizontal="center" vertical="center" wrapText="1"/>
    </xf>
    <xf numFmtId="0" fontId="26" fillId="3" borderId="3" applyAlignment="1" pivotButton="0" quotePrefix="0" xfId="0">
      <alignment horizontal="left" vertical="top" wrapText="1"/>
    </xf>
    <xf numFmtId="164" fontId="27" fillId="3" borderId="10" applyAlignment="1" pivotButton="0" quotePrefix="0" xfId="1">
      <alignment horizontal="center" vertical="center" wrapText="1"/>
    </xf>
    <xf numFmtId="0" fontId="27" fillId="3" borderId="3" applyAlignment="1" pivotButton="0" quotePrefix="0" xfId="2">
      <alignment horizontal="center" vertical="center" wrapText="1"/>
    </xf>
    <xf numFmtId="0" fontId="29" fillId="3" borderId="5" applyAlignment="1" pivotButton="0" quotePrefix="0" xfId="0">
      <alignment horizontal="center" vertical="center" wrapText="1"/>
    </xf>
    <xf numFmtId="0" fontId="36" fillId="3" borderId="5" applyAlignment="1" pivotButton="0" quotePrefix="0" xfId="0">
      <alignment horizontal="center" vertical="center" wrapText="1"/>
    </xf>
    <xf numFmtId="0" fontId="36" fillId="3" borderId="3" applyAlignment="1" pivotButton="0" quotePrefix="0" xfId="0">
      <alignment horizontal="center" vertical="center" wrapText="1"/>
    </xf>
    <xf numFmtId="0" fontId="29" fillId="3" borderId="3" applyAlignment="1" pivotButton="0" quotePrefix="0" xfId="0">
      <alignment horizontal="left" vertical="center" wrapText="1"/>
    </xf>
    <xf numFmtId="166" fontId="29" fillId="3" borderId="3" applyAlignment="1" pivotButton="0" quotePrefix="0" xfId="0">
      <alignment horizontal="center" vertical="center" wrapText="1"/>
    </xf>
    <xf numFmtId="2" fontId="26" fillId="3" borderId="3" applyAlignment="1" pivotButton="0" quotePrefix="0" xfId="1">
      <alignment horizontal="center" vertical="center" wrapText="1"/>
    </xf>
    <xf numFmtId="0" fontId="26" fillId="3" borderId="5" applyAlignment="1" pivotButton="0" quotePrefix="0" xfId="0">
      <alignment horizontal="center" vertical="center" wrapText="1"/>
    </xf>
    <xf numFmtId="0" fontId="26" fillId="3" borderId="3" applyAlignment="1" pivotButton="0" quotePrefix="0" xfId="0">
      <alignment horizontal="center" vertical="center" wrapText="1"/>
    </xf>
    <xf numFmtId="0" fontId="26" fillId="3" borderId="3" applyAlignment="1" pivotButton="0" quotePrefix="0" xfId="0">
      <alignment wrapText="1"/>
    </xf>
    <xf numFmtId="166" fontId="26" fillId="3" borderId="3" applyAlignment="1" pivotButton="0" quotePrefix="0" xfId="0">
      <alignment horizontal="center" vertical="center" wrapText="1"/>
    </xf>
    <xf numFmtId="0" fontId="27" fillId="3" borderId="3" applyAlignment="1" pivotButton="0" quotePrefix="0" xfId="1">
      <alignment horizontal="center" vertical="center" wrapText="1"/>
    </xf>
    <xf numFmtId="0" fontId="29" fillId="3" borderId="10" applyAlignment="1" pivotButton="0" quotePrefix="0" xfId="0">
      <alignment horizontal="center" vertical="center" wrapText="1"/>
    </xf>
    <xf numFmtId="0" fontId="29" fillId="3" borderId="9" applyAlignment="1" pivotButton="0" quotePrefix="0" xfId="0">
      <alignment horizontal="center" vertical="center" wrapText="1"/>
    </xf>
    <xf numFmtId="0" fontId="36" fillId="3" borderId="10" applyAlignment="1" pivotButton="0" quotePrefix="0" xfId="0">
      <alignment horizontal="center" vertical="center" wrapText="1"/>
    </xf>
    <xf numFmtId="2" fontId="27" fillId="3" borderId="9" applyAlignment="1" pivotButton="0" quotePrefix="0" xfId="1">
      <alignment horizontal="center" vertical="center" wrapText="1"/>
    </xf>
    <xf numFmtId="166" fontId="27" fillId="0" borderId="9" applyAlignment="1" pivotButton="0" quotePrefix="0" xfId="0">
      <alignment horizontal="center" vertical="center" wrapText="1"/>
    </xf>
    <xf numFmtId="164" fontId="27" fillId="0" borderId="9" applyAlignment="1" pivotButton="0" quotePrefix="0" xfId="0">
      <alignment horizontal="center" vertical="center" wrapText="1"/>
    </xf>
    <xf numFmtId="166" fontId="27" fillId="3" borderId="9" applyAlignment="1" pivotButton="0" quotePrefix="0" xfId="0">
      <alignment horizontal="center" vertical="center" wrapText="1"/>
    </xf>
    <xf numFmtId="0" fontId="27" fillId="3" borderId="9" applyAlignment="1" pivotButton="0" quotePrefix="0" xfId="0">
      <alignment horizontal="center" vertical="center" wrapText="1"/>
    </xf>
    <xf numFmtId="0" fontId="29" fillId="5" borderId="3" applyAlignment="1" pivotButton="0" quotePrefix="0" xfId="0">
      <alignment horizontal="center" vertical="center" wrapText="1"/>
    </xf>
    <xf numFmtId="166" fontId="29" fillId="32" borderId="3" applyAlignment="1" pivotButton="0" quotePrefix="0" xfId="1">
      <alignment horizontal="center" vertical="center" wrapText="1"/>
    </xf>
    <xf numFmtId="0" fontId="29" fillId="32" borderId="3" applyAlignment="1" pivotButton="0" quotePrefix="0" xfId="0">
      <alignment horizontal="center" vertical="center" wrapText="1"/>
    </xf>
    <xf numFmtId="164" fontId="29" fillId="32" borderId="3" applyAlignment="1" pivotButton="0" quotePrefix="0" xfId="1">
      <alignment horizontal="center" vertical="center" wrapText="1"/>
    </xf>
    <xf numFmtId="14" fontId="29" fillId="22" borderId="3" applyAlignment="1" pivotButton="0" quotePrefix="0" xfId="1">
      <alignment horizontal="center" vertical="center" wrapText="1"/>
    </xf>
    <xf numFmtId="0" fontId="29" fillId="22" borderId="3" applyAlignment="1" pivotButton="0" quotePrefix="0" xfId="0">
      <alignment horizontal="center" vertical="center" wrapText="1"/>
    </xf>
    <xf numFmtId="166" fontId="29" fillId="5" borderId="9" applyAlignment="1" pivotButton="0" quotePrefix="0" xfId="1">
      <alignment horizontal="center" vertical="center" wrapText="1"/>
    </xf>
    <xf numFmtId="0" fontId="29" fillId="8" borderId="9" applyAlignment="1" pivotButton="0" quotePrefix="0" xfId="0">
      <alignment horizontal="center" vertical="center" wrapText="1"/>
    </xf>
    <xf numFmtId="0" fontId="29" fillId="18" borderId="9" applyAlignment="1" pivotButton="0" quotePrefix="0" xfId="0">
      <alignment horizontal="center" vertical="center" wrapText="1"/>
    </xf>
    <xf numFmtId="164" fontId="29" fillId="18" borderId="9" applyAlignment="1" pivotButton="0" quotePrefix="0" xfId="1">
      <alignment horizontal="center" vertical="center" wrapText="1"/>
    </xf>
    <xf numFmtId="9" fontId="29" fillId="10" borderId="3" applyAlignment="1" pivotButton="0" quotePrefix="0" xfId="1">
      <alignment horizontal="center" vertical="center" wrapText="1"/>
    </xf>
    <xf numFmtId="0" fontId="29" fillId="10" borderId="3" applyAlignment="1" pivotButton="0" quotePrefix="0" xfId="1">
      <alignment horizontal="center" vertical="center" wrapText="1"/>
    </xf>
    <xf numFmtId="164" fontId="29" fillId="10" borderId="3" applyAlignment="1" pivotButton="0" quotePrefix="0" xfId="1">
      <alignment horizontal="center" vertical="center" wrapText="1"/>
    </xf>
    <xf numFmtId="0" fontId="0" fillId="26" borderId="20" applyAlignment="1" pivotButton="0" quotePrefix="0" xfId="0">
      <alignment horizontal="center" vertical="center"/>
    </xf>
    <xf numFmtId="0" fontId="0" fillId="26" borderId="15" applyAlignment="1" pivotButton="0" quotePrefix="0" xfId="0">
      <alignment horizontal="center" vertical="center"/>
    </xf>
    <xf numFmtId="0" fontId="64" fillId="7" borderId="3" applyAlignment="1" pivotButton="0" quotePrefix="0" xfId="0">
      <alignment horizontal="left" vertical="center" wrapText="1"/>
    </xf>
    <xf numFmtId="49" fontId="29" fillId="3" borderId="3" applyAlignment="1" pivotButton="0" quotePrefix="0" xfId="0">
      <alignment horizontal="center" vertical="center" wrapText="1"/>
    </xf>
    <xf numFmtId="164" fontId="29" fillId="3" borderId="3" applyAlignment="1" pivotButton="0" quotePrefix="0" xfId="1">
      <alignment horizontal="center" vertical="center" wrapText="1"/>
    </xf>
    <xf numFmtId="164" fontId="29" fillId="0" borderId="3" applyAlignment="1" pivotButton="0" quotePrefix="0" xfId="0">
      <alignment horizontal="center" vertical="center" wrapText="1"/>
    </xf>
    <xf numFmtId="1" fontId="29" fillId="3" borderId="3" applyAlignment="1" pivotButton="0" quotePrefix="0" xfId="1">
      <alignment horizontal="center" vertical="center" wrapText="1"/>
    </xf>
    <xf numFmtId="0" fontId="29" fillId="3" borderId="3" applyAlignment="1" pivotButton="0" quotePrefix="0" xfId="1">
      <alignment horizontal="center" vertical="center" wrapText="1"/>
    </xf>
    <xf numFmtId="2" fontId="29" fillId="3" borderId="3" applyAlignment="1" pivotButton="0" quotePrefix="0" xfId="1">
      <alignment horizontal="center" vertical="center" wrapText="1"/>
    </xf>
    <xf numFmtId="164" fontId="29" fillId="3" borderId="3" applyAlignment="1" pivotButton="0" quotePrefix="0" xfId="0">
      <alignment horizontal="center" vertical="center" wrapText="1"/>
    </xf>
    <xf numFmtId="17" fontId="29" fillId="3" borderId="3" applyAlignment="1" pivotButton="0" quotePrefix="0" xfId="0">
      <alignment horizontal="center" vertical="center" wrapText="1"/>
    </xf>
    <xf numFmtId="49" fontId="29" fillId="7" borderId="3" applyAlignment="1" pivotButton="0" quotePrefix="0" xfId="0">
      <alignment horizontal="center" vertical="center" wrapText="1"/>
    </xf>
    <xf numFmtId="164" fontId="29" fillId="7" borderId="9" applyAlignment="1" pivotButton="0" quotePrefix="0" xfId="1">
      <alignment horizontal="center" vertical="center" wrapText="1"/>
    </xf>
    <xf numFmtId="14" fontId="64" fillId="3" borderId="9" applyAlignment="1" pivotButton="0" quotePrefix="0" xfId="0">
      <alignment horizontal="center" vertical="center" wrapText="1"/>
    </xf>
    <xf numFmtId="0" fontId="27" fillId="3" borderId="9" applyAlignment="1" pivotButton="0" quotePrefix="0" xfId="0">
      <alignment wrapText="1"/>
    </xf>
    <xf numFmtId="0" fontId="52" fillId="3" borderId="0" applyAlignment="1" pivotButton="0" quotePrefix="0" xfId="0">
      <alignment horizontal="center" vertical="center"/>
    </xf>
    <xf numFmtId="14" fontId="46" fillId="3" borderId="9" applyAlignment="1" pivotButton="0" quotePrefix="0" xfId="0">
      <alignment wrapText="1"/>
    </xf>
    <xf numFmtId="14" fontId="7" fillId="8" borderId="9" applyAlignment="1" pivotButton="0" quotePrefix="0" xfId="0">
      <alignment horizontal="center" vertical="center" wrapText="1"/>
    </xf>
    <xf numFmtId="14" fontId="26" fillId="3" borderId="9" applyAlignment="1" pivotButton="0" quotePrefix="0" xfId="1">
      <alignment horizontal="center" vertical="center" wrapText="1"/>
    </xf>
    <xf numFmtId="14" fontId="27" fillId="3" borderId="11" applyAlignment="1" pivotButton="0" quotePrefix="0" xfId="1">
      <alignment horizontal="center" vertical="center" wrapText="1"/>
    </xf>
    <xf numFmtId="14" fontId="26" fillId="3" borderId="11" applyAlignment="1" pivotButton="0" quotePrefix="0" xfId="1">
      <alignment horizontal="center" vertical="center" wrapText="1"/>
    </xf>
    <xf numFmtId="14" fontId="29" fillId="7" borderId="9" applyAlignment="1" pivotButton="0" quotePrefix="0" xfId="1">
      <alignment horizontal="center" vertical="center" wrapText="1"/>
    </xf>
    <xf numFmtId="14" fontId="46" fillId="3" borderId="9" applyAlignment="1" pivotButton="0" quotePrefix="0" xfId="0">
      <alignment horizontal="center" vertical="center" wrapText="1"/>
    </xf>
    <xf numFmtId="14" fontId="33" fillId="0" borderId="0" applyAlignment="1" pivotButton="0" quotePrefix="0" xfId="0">
      <alignment horizontal="center" vertical="center" wrapText="1"/>
    </xf>
    <xf numFmtId="166" fontId="9" fillId="3" borderId="3" applyAlignment="1" pivotButton="0" quotePrefix="0" xfId="1">
      <alignment horizontal="center" vertical="center" wrapText="1"/>
    </xf>
    <xf numFmtId="0" fontId="27" fillId="15" borderId="3" applyAlignment="1" pivotButton="0" quotePrefix="0" xfId="0">
      <alignment horizontal="center" vertical="center" wrapText="1"/>
    </xf>
    <xf numFmtId="0" fontId="0" fillId="15" borderId="3" applyAlignment="1" pivotButton="0" quotePrefix="0" xfId="0">
      <alignment horizontal="center" vertical="center"/>
    </xf>
    <xf numFmtId="0" fontId="0" fillId="15" borderId="5" applyAlignment="1" pivotButton="0" quotePrefix="0" xfId="0">
      <alignment horizontal="center" vertical="center" wrapText="1"/>
    </xf>
    <xf numFmtId="0" fontId="62" fillId="15" borderId="3" applyAlignment="1" pivotButton="0" quotePrefix="0" xfId="0">
      <alignment horizontal="center" vertical="center"/>
    </xf>
    <xf numFmtId="49" fontId="27" fillId="15" borderId="3" applyAlignment="1" pivotButton="0" quotePrefix="0" xfId="0">
      <alignment horizontal="center" vertical="center" wrapText="1"/>
    </xf>
    <xf numFmtId="166" fontId="27" fillId="15" borderId="3" applyAlignment="1" pivotButton="0" quotePrefix="0" xfId="0">
      <alignment horizontal="center" vertical="center" wrapText="1"/>
    </xf>
    <xf numFmtId="164" fontId="27" fillId="15" borderId="3" applyAlignment="1" pivotButton="0" quotePrefix="0" xfId="0">
      <alignment horizontal="center" vertical="center" wrapText="1"/>
    </xf>
    <xf numFmtId="9" fontId="27" fillId="15" borderId="3" applyAlignment="1" pivotButton="0" quotePrefix="0" xfId="0">
      <alignment horizontal="center" vertical="center" wrapText="1"/>
    </xf>
    <xf numFmtId="0" fontId="27" fillId="15" borderId="9" applyAlignment="1" pivotButton="0" quotePrefix="0" xfId="0">
      <alignment horizontal="center" vertical="center" wrapText="1"/>
    </xf>
    <xf numFmtId="14" fontId="27" fillId="15" borderId="3" applyAlignment="1" pivotButton="0" quotePrefix="0" xfId="0">
      <alignment horizontal="center" vertical="center" wrapText="1"/>
    </xf>
    <xf numFmtId="0" fontId="27" fillId="15" borderId="0" applyAlignment="1" pivotButton="0" quotePrefix="0" xfId="0">
      <alignment horizontal="center" vertical="center" wrapText="1"/>
    </xf>
    <xf numFmtId="0" fontId="0" fillId="15" borderId="0" applyAlignment="1" pivotButton="0" quotePrefix="0" xfId="0">
      <alignment horizontal="center" vertical="center"/>
    </xf>
    <xf numFmtId="0" fontId="0" fillId="0" borderId="18" pivotButton="0" quotePrefix="0" xfId="0"/>
    <xf numFmtId="49" fontId="0" fillId="0" borderId="18" pivotButton="0" quotePrefix="0" xfId="0"/>
    <xf numFmtId="0" fontId="20" fillId="3" borderId="3" applyAlignment="1" pivotButton="0" quotePrefix="0" xfId="0">
      <alignment horizontal="left" vertical="center" wrapText="1"/>
    </xf>
    <xf numFmtId="0" fontId="26" fillId="3" borderId="9" applyAlignment="1" pivotButton="0" quotePrefix="0" xfId="0">
      <alignment horizontal="center" vertical="center" wrapText="1"/>
    </xf>
    <xf numFmtId="49" fontId="26" fillId="3" borderId="9" applyAlignment="1" pivotButton="0" quotePrefix="0" xfId="0">
      <alignment horizontal="center" vertical="center" wrapText="1"/>
    </xf>
    <xf numFmtId="14" fontId="26" fillId="3" borderId="9" applyAlignment="1" pivotButton="0" quotePrefix="0" xfId="0">
      <alignment horizontal="center" vertical="center" wrapText="1"/>
    </xf>
    <xf numFmtId="166" fontId="26" fillId="3" borderId="9" applyAlignment="1" pivotButton="0" quotePrefix="0" xfId="0">
      <alignment horizontal="center" vertical="center" wrapText="1"/>
    </xf>
    <xf numFmtId="166" fontId="26" fillId="3" borderId="9" applyAlignment="1" pivotButton="0" quotePrefix="0" xfId="1">
      <alignment horizontal="center" vertical="center" wrapText="1"/>
    </xf>
    <xf numFmtId="164" fontId="26" fillId="0" borderId="9" applyAlignment="1" pivotButton="0" quotePrefix="0" xfId="0">
      <alignment horizontal="center" vertical="center" wrapText="1"/>
    </xf>
    <xf numFmtId="164" fontId="26" fillId="3" borderId="9" applyAlignment="1" pivotButton="0" quotePrefix="0" xfId="1">
      <alignment horizontal="center" vertical="center" wrapText="1"/>
    </xf>
    <xf numFmtId="166" fontId="26" fillId="0" borderId="9" applyAlignment="1" pivotButton="0" quotePrefix="0" xfId="0">
      <alignment horizontal="center" vertical="center" wrapText="1"/>
    </xf>
    <xf numFmtId="14" fontId="26" fillId="0" borderId="9" applyAlignment="1" pivotButton="0" quotePrefix="0" xfId="1">
      <alignment horizontal="center" vertical="center" wrapText="1"/>
    </xf>
    <xf numFmtId="1" fontId="26" fillId="3" borderId="9" applyAlignment="1" pivotButton="0" quotePrefix="0" xfId="1">
      <alignment horizontal="center" vertical="center" wrapText="1"/>
    </xf>
    <xf numFmtId="0" fontId="26" fillId="3" borderId="9" applyAlignment="1" pivotButton="0" quotePrefix="0" xfId="1">
      <alignment horizontal="center" vertical="center" wrapText="1"/>
    </xf>
    <xf numFmtId="9" fontId="32" fillId="27" borderId="9" applyAlignment="1" pivotButton="0" quotePrefix="0" xfId="0">
      <alignment horizontal="center" vertical="center" wrapText="1"/>
    </xf>
    <xf numFmtId="2" fontId="26" fillId="3" borderId="9" applyAlignment="1" pivotButton="0" quotePrefix="0" xfId="1">
      <alignment horizontal="center" vertical="center" wrapText="1"/>
    </xf>
    <xf numFmtId="2" fontId="26" fillId="0" borderId="9" applyAlignment="1" pivotButton="0" quotePrefix="0" xfId="1">
      <alignment horizontal="center" vertical="center" wrapText="1"/>
    </xf>
    <xf numFmtId="49" fontId="26" fillId="7" borderId="9" applyAlignment="1" pivotButton="0" quotePrefix="0" xfId="0">
      <alignment horizontal="center" vertical="center" wrapText="1"/>
    </xf>
    <xf numFmtId="0" fontId="26" fillId="3" borderId="9" applyAlignment="1" pivotButton="0" quotePrefix="0" xfId="0">
      <alignment horizontal="left" vertical="center" wrapText="1"/>
    </xf>
    <xf numFmtId="166" fontId="46" fillId="3" borderId="9" applyAlignment="1" pivotButton="0" quotePrefix="0" xfId="0">
      <alignment horizontal="center" vertical="center" wrapText="1"/>
    </xf>
    <xf numFmtId="0" fontId="46" fillId="0" borderId="9" applyAlignment="1" pivotButton="0" quotePrefix="0" xfId="0">
      <alignment vertical="top" wrapText="1"/>
    </xf>
    <xf numFmtId="0" fontId="46" fillId="0" borderId="9" applyAlignment="1" pivotButton="0" quotePrefix="0" xfId="0">
      <alignment horizontal="center" vertical="center" wrapText="1"/>
    </xf>
    <xf numFmtId="0" fontId="46" fillId="0" borderId="0" applyAlignment="1" pivotButton="0" quotePrefix="0" xfId="0">
      <alignment horizontal="center" vertical="center" wrapText="1"/>
    </xf>
    <xf numFmtId="49" fontId="26" fillId="3" borderId="3" applyAlignment="1" pivotButton="0" quotePrefix="0" xfId="0">
      <alignment horizontal="center" vertical="center" wrapText="1"/>
    </xf>
    <xf numFmtId="14" fontId="26" fillId="3" borderId="3" applyAlignment="1" pivotButton="0" quotePrefix="0" xfId="0">
      <alignment horizontal="center" vertical="center" wrapText="1"/>
    </xf>
    <xf numFmtId="166" fontId="26" fillId="3" borderId="3" applyAlignment="1" pivotButton="0" quotePrefix="0" xfId="1">
      <alignment horizontal="center" vertical="center" wrapText="1"/>
    </xf>
    <xf numFmtId="164" fontId="26" fillId="0" borderId="3" applyAlignment="1" pivotButton="0" quotePrefix="0" xfId="0">
      <alignment horizontal="center" vertical="center" wrapText="1"/>
    </xf>
    <xf numFmtId="164" fontId="26" fillId="3" borderId="3" applyAlignment="1" pivotButton="0" quotePrefix="0" xfId="1">
      <alignment horizontal="center" vertical="center" wrapText="1"/>
    </xf>
    <xf numFmtId="164" fontId="26" fillId="0" borderId="3" applyAlignment="1" pivotButton="0" quotePrefix="0" xfId="1">
      <alignment horizontal="center" vertical="center" wrapText="1"/>
    </xf>
    <xf numFmtId="1" fontId="26" fillId="3" borderId="3" applyAlignment="1" pivotButton="0" quotePrefix="0" xfId="1">
      <alignment horizontal="center" vertical="center" wrapText="1"/>
    </xf>
    <xf numFmtId="0" fontId="26" fillId="3" borderId="3" applyAlignment="1" pivotButton="0" quotePrefix="0" xfId="1">
      <alignment horizontal="center" vertical="center" wrapText="1"/>
    </xf>
    <xf numFmtId="9" fontId="32" fillId="27" borderId="3" applyAlignment="1" pivotButton="0" quotePrefix="0" xfId="0">
      <alignment horizontal="center" vertical="center" wrapText="1"/>
    </xf>
    <xf numFmtId="49" fontId="26" fillId="7" borderId="3" applyAlignment="1" pivotButton="0" quotePrefix="0" xfId="0">
      <alignment horizontal="center" vertical="center" wrapText="1"/>
    </xf>
    <xf numFmtId="0" fontId="32" fillId="3" borderId="3" applyAlignment="1" pivotButton="0" quotePrefix="0" xfId="0">
      <alignment horizontal="left" vertical="center" wrapText="1"/>
    </xf>
    <xf numFmtId="166" fontId="26" fillId="3" borderId="4" applyAlignment="1" pivotButton="0" quotePrefix="0" xfId="0">
      <alignment horizontal="center" vertical="center" wrapText="1"/>
    </xf>
    <xf numFmtId="0" fontId="59" fillId="0" borderId="3" applyAlignment="1" pivotButton="0" quotePrefix="0" xfId="0">
      <alignment horizontal="center" vertical="center" wrapText="1"/>
    </xf>
    <xf numFmtId="0" fontId="61" fillId="0" borderId="3" applyAlignment="1" pivotButton="0" quotePrefix="0" xfId="0">
      <alignment horizontal="center" vertical="center" wrapText="1"/>
    </xf>
    <xf numFmtId="0" fontId="1" fillId="0" borderId="0" pivotButton="0" quotePrefix="0" xfId="0"/>
    <xf numFmtId="0" fontId="1" fillId="0" borderId="0" applyAlignment="1" pivotButton="0" quotePrefix="0" xfId="0">
      <alignment horizontal="right"/>
    </xf>
    <xf numFmtId="0" fontId="1" fillId="0" borderId="3" pivotButton="0" quotePrefix="0" xfId="0"/>
    <xf numFmtId="0" fontId="1" fillId="3" borderId="3" applyAlignment="1" pivotButton="0" quotePrefix="0" xfId="0">
      <alignment horizontal="left" vertical="center"/>
    </xf>
    <xf numFmtId="0" fontId="1" fillId="3" borderId="0" applyAlignment="1" pivotButton="0" quotePrefix="0" xfId="0">
      <alignment horizontal="left" vertical="center" wrapText="1"/>
    </xf>
    <xf numFmtId="0" fontId="1" fillId="17" borderId="3" applyAlignment="1" pivotButton="0" quotePrefix="0" xfId="0">
      <alignment horizontal="center" vertical="center"/>
    </xf>
    <xf numFmtId="0" fontId="1" fillId="0" borderId="0" applyAlignment="1" pivotButton="0" quotePrefix="0" xfId="0">
      <alignment horizontal="center" vertical="center"/>
    </xf>
    <xf numFmtId="0" fontId="1" fillId="10" borderId="3" applyAlignment="1" pivotButton="0" quotePrefix="0" xfId="0">
      <alignment horizontal="center" vertical="center"/>
    </xf>
    <xf numFmtId="0" fontId="1" fillId="17" borderId="9" applyAlignment="1" pivotButton="0" quotePrefix="0" xfId="0">
      <alignment horizontal="center" vertical="center"/>
    </xf>
    <xf numFmtId="0" fontId="1" fillId="0" borderId="3" applyAlignment="1" pivotButton="0" quotePrefix="0" xfId="0">
      <alignment horizontal="center" vertical="center"/>
    </xf>
    <xf numFmtId="0" fontId="1" fillId="0" borderId="4" applyAlignment="1" pivotButton="0" quotePrefix="0" xfId="0">
      <alignment horizontal="center" vertical="center"/>
    </xf>
    <xf numFmtId="0" fontId="0" fillId="0" borderId="19" pivotButton="0" quotePrefix="0" xfId="0"/>
    <xf numFmtId="0" fontId="0" fillId="0" borderId="8" pivotButton="0" quotePrefix="0" xfId="0"/>
    <xf numFmtId="167" fontId="9" fillId="2" borderId="3" applyAlignment="1" pivotButton="0" quotePrefix="0" xfId="1">
      <alignment horizontal="center" vertical="center" wrapText="1"/>
    </xf>
    <xf numFmtId="165" fontId="23" fillId="0" borderId="3" applyAlignment="1" pivotButton="0" quotePrefix="0" xfId="0">
      <alignment horizontal="center" vertical="center" wrapText="1"/>
    </xf>
    <xf numFmtId="165" fontId="23" fillId="7" borderId="3" applyAlignment="1" pivotButton="0" quotePrefix="0" xfId="0">
      <alignment horizontal="center" vertical="center" wrapText="1"/>
    </xf>
    <xf numFmtId="165" fontId="21" fillId="0" borderId="3" applyAlignment="1" pivotButton="0" quotePrefix="0" xfId="0">
      <alignment horizontal="center" vertical="center" wrapText="1"/>
    </xf>
    <xf numFmtId="168" fontId="27" fillId="3" borderId="11" applyAlignment="1" pivotButton="0" quotePrefix="0" xfId="1">
      <alignment horizontal="center" vertical="center" wrapText="1"/>
    </xf>
    <xf numFmtId="165" fontId="25" fillId="0" borderId="3" applyAlignment="1" pivotButton="0" quotePrefix="0" xfId="0">
      <alignment horizontal="center" vertical="center" wrapText="1"/>
    </xf>
    <xf numFmtId="165" fontId="32" fillId="0" borderId="3" applyAlignment="1" pivotButton="0" quotePrefix="0" xfId="0">
      <alignment horizontal="center" vertical="center"/>
    </xf>
    <xf numFmtId="165" fontId="32" fillId="0" borderId="3" applyAlignment="1" pivotButton="0" quotePrefix="0" xfId="0">
      <alignment horizontal="center" vertical="center" wrapText="1"/>
    </xf>
  </cellXfs>
  <cellStyles count="4">
    <cellStyle name="Normal" xfId="0" builtinId="0"/>
    <cellStyle name="Moeda" xfId="1" builtinId="4"/>
    <cellStyle name="Normal 7" xfId="2"/>
    <cellStyle name="Hyperlink" xfId="3"/>
  </cellStyles>
  <dxfs count="54">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
      <fill>
        <patternFill patternType="solid">
          <bgColor rgb="FFBE96DC"/>
        </patternFill>
      </fill>
    </dxf>
    <dxf>
      <fill>
        <patternFill patternType="solid">
          <bgColor theme="5" tint="0.5999938962981048"/>
        </patternFill>
      </fill>
    </dxf>
    <dxf>
      <fill>
        <patternFill patternType="solid">
          <bgColor theme="7" tint="0.5999938962981048"/>
        </patternFill>
      </fill>
    </dxf>
    <dxf>
      <fill>
        <patternFill patternType="solid">
          <bgColor theme="5"/>
        </patternFill>
      </fill>
    </dxf>
    <dxf>
      <fill>
        <patternFill patternType="solid">
          <bgColor theme="4" tint="0.3999755851924192"/>
        </patternFill>
      </fill>
    </dxf>
    <dxf>
      <fill>
        <patternFill patternType="solid">
          <bgColor theme="9" tint="0.399975585192419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hyperlink" Target="https://trello.com/c/xzSJYaKU/28-e-1321-1-acelerador-linear-do-munic%C3%ADpio-de-salvador-ba-inaugurado-conv%C3%AAnio-hospital-aristides-maltez" TargetMode="External" Id="rId1" /></Relationships>
</file>

<file path=xl/worksheets/sheet1.xml><?xml version="1.0" encoding="utf-8"?>
<worksheet xmlns="http://schemas.openxmlformats.org/spreadsheetml/2006/main">
  <sheetPr>
    <outlinePr summaryBelow="1" summaryRight="1"/>
    <pageSetUpPr/>
  </sheetPr>
  <dimension ref="A1:Z201"/>
  <sheetViews>
    <sheetView topLeftCell="A111" workbookViewId="0">
      <selection activeCell="A114" sqref="A114:H148"/>
    </sheetView>
  </sheetViews>
  <sheetFormatPr baseColWidth="8" defaultRowHeight="15"/>
  <cols>
    <col width="11.5703125" customWidth="1" style="13" min="1" max="1"/>
    <col width="26" customWidth="1" style="13" min="2" max="2"/>
    <col width="28.7109375" customWidth="1" style="13" min="3" max="3"/>
    <col width="23.85546875" customWidth="1" style="13" min="4" max="4"/>
    <col width="18" bestFit="1" customWidth="1" style="13" min="5" max="6"/>
    <col width="48.5703125" customWidth="1" style="25" min="7" max="7"/>
    <col width="20.28515625" bestFit="1" customWidth="1" style="13" min="8" max="8"/>
    <col width="47.85546875" bestFit="1" customWidth="1" style="13" min="9" max="9"/>
    <col width="23.28515625" bestFit="1" customWidth="1" style="13" min="10" max="10"/>
    <col width="23.85546875" bestFit="1" customWidth="1" style="13" min="11" max="11"/>
    <col width="28.140625" customWidth="1" style="13" min="12" max="12"/>
    <col width="24.140625" customWidth="1" style="13" min="13" max="13"/>
    <col width="10.85546875" customWidth="1" style="13" min="14" max="14"/>
    <col width="9.140625" customWidth="1" style="13" min="15" max="16384"/>
  </cols>
  <sheetData>
    <row r="1" ht="31.5" customHeight="1">
      <c r="A1" s="15" t="inlineStr">
        <is>
          <t>INSTRUCIONAL DE PREENCHIMENTO DAS PLANILHAS AUXILIARES</t>
        </is>
      </c>
      <c r="B1" s="15" t="n"/>
      <c r="C1" s="15" t="n"/>
      <c r="D1" s="15" t="n"/>
      <c r="E1" s="15" t="n"/>
      <c r="F1" s="15" t="n"/>
      <c r="G1" s="16" t="n"/>
      <c r="H1" s="15" t="n"/>
      <c r="I1" s="15" t="n"/>
      <c r="J1" s="15" t="n"/>
      <c r="K1" s="15" t="n"/>
      <c r="L1" s="15" t="n"/>
      <c r="M1" s="15" t="n"/>
      <c r="N1" s="15" t="n"/>
      <c r="O1" s="17" t="n"/>
      <c r="P1" s="17" t="n"/>
      <c r="Q1" s="17" t="n"/>
      <c r="R1" s="17" t="n"/>
      <c r="S1" s="17" t="n"/>
      <c r="T1" s="17" t="n"/>
      <c r="U1" s="17" t="n"/>
      <c r="V1" s="17" t="n"/>
      <c r="W1" s="17" t="n"/>
      <c r="X1" s="17" t="n"/>
      <c r="Y1" s="17" t="n"/>
    </row>
    <row r="2">
      <c r="A2" s="17" t="n"/>
      <c r="B2" s="17" t="n"/>
      <c r="C2" s="17" t="n"/>
      <c r="D2" s="17" t="n"/>
      <c r="E2" s="17" t="n"/>
      <c r="F2" s="17" t="n"/>
      <c r="G2" s="18" t="n"/>
      <c r="H2" s="17" t="n"/>
      <c r="I2" s="17" t="n"/>
      <c r="J2" s="17" t="n"/>
      <c r="K2" s="17" t="n"/>
      <c r="L2" s="17" t="n"/>
      <c r="M2" s="17" t="n"/>
      <c r="N2" s="17" t="n"/>
      <c r="O2" s="17" t="n"/>
      <c r="P2" s="17" t="n"/>
      <c r="Q2" s="17" t="n"/>
      <c r="R2" s="17" t="n"/>
      <c r="S2" s="17" t="n"/>
      <c r="T2" s="17" t="n"/>
      <c r="U2" s="17" t="n"/>
      <c r="V2" s="17" t="n"/>
      <c r="W2" s="17" t="n"/>
      <c r="X2" s="17" t="n"/>
      <c r="Y2" s="17" t="n"/>
    </row>
    <row r="3">
      <c r="A3" s="19" t="inlineStr">
        <is>
          <t>Alimentação da Planilha-Mãe - Casa Civil</t>
        </is>
      </c>
      <c r="B3" s="19" t="n"/>
      <c r="C3" s="19" t="n"/>
      <c r="D3" s="19" t="n"/>
      <c r="E3" s="17" t="n"/>
      <c r="F3" s="17" t="n"/>
      <c r="G3" s="18" t="n"/>
      <c r="H3" s="17" t="n"/>
      <c r="I3" s="17" t="n"/>
      <c r="J3" s="17" t="n"/>
      <c r="K3" s="17" t="n"/>
      <c r="L3" s="17" t="n"/>
      <c r="M3" s="17" t="n"/>
      <c r="N3" s="17" t="n"/>
      <c r="O3" s="17" t="n"/>
      <c r="P3" s="17" t="n"/>
      <c r="Q3" s="17" t="n"/>
      <c r="R3" s="17" t="n"/>
      <c r="S3" s="17" t="n"/>
      <c r="T3" s="17" t="n"/>
      <c r="U3" s="17" t="n"/>
      <c r="V3" s="17" t="n"/>
      <c r="W3" s="17" t="n"/>
      <c r="X3" s="17" t="n"/>
      <c r="Y3" s="17" t="n"/>
    </row>
    <row r="4">
      <c r="A4" s="17" t="n"/>
      <c r="B4" s="17" t="n"/>
      <c r="C4" s="17" t="n"/>
      <c r="D4" s="17" t="n"/>
      <c r="E4" s="17" t="n"/>
      <c r="F4" s="17" t="n"/>
      <c r="G4" s="18" t="n"/>
      <c r="H4" s="17" t="n"/>
      <c r="I4" s="17" t="n"/>
      <c r="J4" s="17" t="n"/>
      <c r="K4" s="17" t="n"/>
      <c r="L4" s="17" t="n"/>
      <c r="M4" s="17" t="n"/>
      <c r="N4" s="17" t="n"/>
      <c r="O4" s="17" t="n"/>
      <c r="P4" s="17" t="n"/>
      <c r="Q4" s="17" t="n"/>
      <c r="R4" s="17" t="n"/>
      <c r="S4" s="17" t="n"/>
      <c r="T4" s="17" t="n"/>
      <c r="U4" s="17" t="n"/>
      <c r="V4" s="17" t="n"/>
      <c r="W4" s="17" t="n"/>
      <c r="X4" s="17" t="n"/>
      <c r="Y4" s="17" t="n"/>
    </row>
    <row r="5" ht="23.25" customHeight="1">
      <c r="A5" s="20" t="inlineStr">
        <is>
          <t>OBJETIVO</t>
        </is>
      </c>
      <c r="B5" s="20" t="n"/>
      <c r="C5" s="17" t="n"/>
      <c r="D5" s="17" t="n"/>
      <c r="E5" s="17" t="n"/>
      <c r="F5" s="17" t="n"/>
      <c r="G5" s="18" t="n"/>
      <c r="H5" s="17" t="n"/>
      <c r="I5" s="17" t="n"/>
      <c r="J5" s="17" t="n"/>
      <c r="K5" s="17" t="n"/>
      <c r="L5" s="17" t="n"/>
      <c r="M5" s="17" t="n"/>
      <c r="N5" s="17" t="n"/>
      <c r="O5" s="17" t="n"/>
      <c r="P5" s="17" t="n"/>
      <c r="Q5" s="17" t="n"/>
      <c r="R5" s="17" t="n"/>
      <c r="S5" s="17" t="n"/>
      <c r="T5" s="17" t="n"/>
      <c r="U5" s="17" t="n"/>
      <c r="V5" s="17" t="n"/>
      <c r="W5" s="17" t="n"/>
      <c r="X5" s="17" t="n"/>
      <c r="Y5" s="17" t="n"/>
    </row>
    <row r="6">
      <c r="A6" s="17" t="n"/>
      <c r="B6" s="17" t="n"/>
      <c r="C6" s="17" t="n"/>
      <c r="D6" s="17" t="n"/>
      <c r="E6" s="17" t="n"/>
      <c r="F6" s="17" t="n"/>
      <c r="G6" s="18" t="n"/>
      <c r="H6" s="17" t="n"/>
      <c r="I6" s="17" t="n"/>
      <c r="J6" s="17" t="n"/>
      <c r="K6" s="17" t="n"/>
      <c r="L6" s="17" t="n"/>
      <c r="M6" s="17" t="n"/>
      <c r="N6" s="17" t="n"/>
      <c r="O6" s="17" t="n"/>
      <c r="P6" s="17" t="n"/>
      <c r="Q6" s="17" t="n"/>
      <c r="R6" s="17" t="n"/>
      <c r="S6" s="17" t="n"/>
      <c r="T6" s="17" t="n"/>
      <c r="U6" s="17" t="n"/>
      <c r="V6" s="17" t="n"/>
      <c r="W6" s="17" t="n"/>
      <c r="X6" s="17" t="n"/>
      <c r="Y6" s="17" t="n"/>
    </row>
    <row r="7">
      <c r="A7" s="17" t="inlineStr">
        <is>
          <t>Este documento tem como objetivo orientar o correto preenchimento das planilhas auxiliares, que serão integradas automaticamente, via macro em VBA, à Planilha-Mãe, a qual segue o modelo exigido pela Casa Civil.</t>
        </is>
      </c>
      <c r="B7" s="17" t="n"/>
      <c r="C7" s="17" t="n"/>
      <c r="D7" s="17" t="n"/>
      <c r="E7" s="17" t="n"/>
      <c r="F7" s="17" t="n"/>
      <c r="G7" s="18" t="n"/>
      <c r="H7" s="17" t="n"/>
      <c r="I7" s="17" t="n"/>
      <c r="J7" s="17" t="n"/>
      <c r="K7" s="17" t="n"/>
      <c r="L7" s="17" t="n"/>
      <c r="M7" s="17" t="n"/>
      <c r="N7" s="17" t="n"/>
      <c r="O7" s="17" t="n"/>
      <c r="P7" s="17" t="n"/>
      <c r="Q7" s="17" t="n"/>
      <c r="R7" s="17" t="n"/>
      <c r="S7" s="17" t="n"/>
      <c r="T7" s="17" t="n"/>
      <c r="U7" s="17" t="n"/>
      <c r="V7" s="17" t="n"/>
      <c r="W7" s="17" t="n"/>
      <c r="X7" s="17" t="n"/>
      <c r="Y7" s="17" t="n"/>
    </row>
    <row r="8">
      <c r="A8" s="17" t="inlineStr">
        <is>
          <t xml:space="preserve"> A padronização e clareza no preenchimento são fundamentais para garantir a integridade dos dados e o funcionamento eficaz da integração e geração de painéis analíticos.</t>
        </is>
      </c>
      <c r="B8" s="17" t="n"/>
      <c r="C8" s="17" t="n"/>
      <c r="D8" s="17" t="n"/>
      <c r="E8" s="17" t="n"/>
      <c r="F8" s="17" t="n"/>
      <c r="G8" s="18" t="n"/>
      <c r="H8" s="17" t="n"/>
      <c r="I8" s="17" t="n"/>
      <c r="J8" s="17" t="n"/>
      <c r="K8" s="17" t="n"/>
      <c r="L8" s="17" t="n"/>
      <c r="M8" s="17" t="n"/>
      <c r="N8" s="17" t="n"/>
      <c r="O8" s="17" t="n"/>
      <c r="P8" s="17" t="n"/>
      <c r="Q8" s="17" t="n"/>
      <c r="R8" s="17" t="n"/>
      <c r="S8" s="17" t="n"/>
      <c r="T8" s="17" t="n"/>
      <c r="U8" s="17" t="n"/>
      <c r="V8" s="17" t="n"/>
      <c r="W8" s="17" t="n"/>
      <c r="X8" s="17" t="n"/>
      <c r="Y8" s="17" t="n"/>
    </row>
    <row r="9">
      <c r="A9" s="17" t="n"/>
      <c r="B9" s="17" t="n"/>
      <c r="C9" s="17" t="n"/>
      <c r="D9" s="17" t="n"/>
      <c r="E9" s="17" t="n"/>
      <c r="F9" s="17" t="n"/>
      <c r="G9" s="18" t="n"/>
      <c r="H9" s="17" t="n"/>
      <c r="I9" s="17" t="n"/>
      <c r="J9" s="17" t="n"/>
      <c r="K9" s="17" t="n"/>
      <c r="L9" s="17" t="n"/>
      <c r="M9" s="17" t="n"/>
      <c r="N9" s="17" t="n"/>
      <c r="O9" s="17" t="n"/>
      <c r="P9" s="17" t="n"/>
      <c r="Q9" s="17" t="n"/>
      <c r="R9" s="17" t="n"/>
      <c r="S9" s="17" t="n"/>
      <c r="T9" s="17" t="n"/>
      <c r="U9" s="17" t="n"/>
      <c r="V9" s="17" t="n"/>
      <c r="W9" s="17" t="n"/>
      <c r="X9" s="17" t="n"/>
      <c r="Y9" s="17" t="n"/>
    </row>
    <row r="10">
      <c r="A10" s="17" t="n"/>
      <c r="B10" s="17" t="n"/>
      <c r="C10" s="17" t="n"/>
      <c r="D10" s="17" t="n"/>
      <c r="E10" s="17" t="n"/>
      <c r="F10" s="17" t="n"/>
      <c r="G10" s="18" t="n"/>
      <c r="H10" s="17" t="n"/>
      <c r="I10" s="17" t="n"/>
      <c r="J10" s="17" t="n"/>
      <c r="K10" s="17" t="n"/>
      <c r="L10" s="17" t="n"/>
      <c r="M10" s="17" t="n"/>
      <c r="N10" s="17" t="n"/>
      <c r="O10" s="17" t="n"/>
      <c r="P10" s="17" t="n"/>
      <c r="Q10" s="17" t="n"/>
      <c r="R10" s="17" t="n"/>
      <c r="S10" s="17" t="n"/>
      <c r="T10" s="17" t="n"/>
      <c r="U10" s="17" t="n"/>
      <c r="V10" s="17" t="n"/>
      <c r="W10" s="17" t="n"/>
      <c r="X10" s="17" t="n"/>
      <c r="Y10" s="17" t="n"/>
    </row>
    <row r="11" ht="23.25" customHeight="1">
      <c r="A11" s="20" t="inlineStr">
        <is>
          <t xml:space="preserve"> ETAPAS INICIAIS</t>
        </is>
      </c>
      <c r="B11" s="20" t="n"/>
      <c r="C11" s="20" t="n"/>
      <c r="D11" s="17" t="n"/>
      <c r="E11" s="17" t="n"/>
      <c r="F11" s="17" t="n"/>
      <c r="G11" s="18" t="n"/>
      <c r="H11" s="17" t="n"/>
      <c r="I11" s="17" t="n"/>
      <c r="J11" s="17" t="n"/>
      <c r="K11" s="17" t="n"/>
      <c r="L11" s="17" t="n"/>
      <c r="M11" s="17" t="n"/>
      <c r="N11" s="17" t="n"/>
      <c r="O11" s="17" t="n"/>
      <c r="P11" s="17" t="n"/>
      <c r="Q11" s="17" t="n"/>
      <c r="R11" s="17" t="n"/>
      <c r="S11" s="17" t="n"/>
      <c r="T11" s="17" t="n"/>
      <c r="U11" s="17" t="n"/>
      <c r="V11" s="17" t="n"/>
      <c r="W11" s="17" t="n"/>
      <c r="X11" s="17" t="n"/>
      <c r="Y11" s="17" t="n"/>
    </row>
    <row r="12">
      <c r="A12" s="17" t="n"/>
      <c r="B12" s="17" t="n"/>
      <c r="C12" s="17" t="n"/>
      <c r="D12" s="17" t="n"/>
      <c r="E12" s="17" t="n"/>
      <c r="F12" s="17" t="n"/>
      <c r="G12" s="18" t="n"/>
      <c r="H12" s="17" t="n"/>
      <c r="I12" s="17" t="n"/>
      <c r="J12" s="17" t="n"/>
      <c r="K12" s="17" t="n"/>
      <c r="L12" s="17" t="n"/>
      <c r="M12" s="17" t="n"/>
      <c r="N12" s="17" t="n"/>
      <c r="O12" s="17" t="n"/>
      <c r="P12" s="17" t="n"/>
      <c r="Q12" s="17" t="n"/>
      <c r="R12" s="17" t="n"/>
      <c r="S12" s="17" t="n"/>
      <c r="T12" s="17" t="n"/>
      <c r="U12" s="17" t="n"/>
      <c r="V12" s="17" t="n"/>
      <c r="W12" s="17" t="n"/>
      <c r="X12" s="17" t="n"/>
      <c r="Y12" s="17" t="n"/>
    </row>
    <row r="13" ht="18" customHeight="1">
      <c r="A13" s="21" t="inlineStr">
        <is>
          <t>1. Análise da Planilha-Mãe</t>
        </is>
      </c>
      <c r="B13" s="21" t="n"/>
      <c r="C13" s="21" t="n"/>
      <c r="D13" s="21" t="n"/>
      <c r="E13" s="17" t="n"/>
      <c r="F13" s="17" t="n"/>
      <c r="G13" s="18" t="n"/>
      <c r="H13" s="17" t="n"/>
      <c r="I13" s="17" t="n"/>
      <c r="J13" s="17" t="n"/>
      <c r="K13" s="17" t="n"/>
      <c r="L13" s="17" t="n"/>
      <c r="M13" s="17" t="n"/>
      <c r="N13" s="17" t="n"/>
      <c r="O13" s="17" t="n"/>
      <c r="P13" s="17" t="n"/>
      <c r="Q13" s="17" t="n"/>
      <c r="R13" s="17" t="n"/>
      <c r="S13" s="17" t="n"/>
      <c r="T13" s="17" t="n"/>
      <c r="U13" s="17" t="n"/>
      <c r="V13" s="17" t="n"/>
      <c r="W13" s="17" t="n"/>
      <c r="X13" s="17" t="n"/>
      <c r="Y13" s="17" t="n"/>
    </row>
    <row r="14">
      <c r="A14" s="17" t="n"/>
      <c r="B14" s="17" t="n"/>
      <c r="C14" s="17" t="n"/>
      <c r="D14" s="17" t="n"/>
      <c r="E14" s="17" t="n"/>
      <c r="F14" s="17" t="n"/>
      <c r="G14" s="18" t="n"/>
      <c r="H14" s="17" t="n"/>
      <c r="I14" s="17" t="n"/>
      <c r="J14" s="17" t="n"/>
      <c r="K14" s="17" t="n"/>
      <c r="L14" s="17" t="n"/>
      <c r="M14" s="17" t="n"/>
      <c r="N14" s="17" t="n"/>
      <c r="O14" s="17" t="n"/>
      <c r="P14" s="17" t="n"/>
      <c r="Q14" s="17" t="n"/>
      <c r="R14" s="17" t="n"/>
      <c r="S14" s="17" t="n"/>
      <c r="T14" s="17" t="n"/>
      <c r="U14" s="17" t="n"/>
      <c r="V14" s="17" t="n"/>
      <c r="W14" s="17" t="n"/>
      <c r="X14" s="17" t="n"/>
      <c r="Y14" s="17" t="n"/>
    </row>
    <row r="15">
      <c r="A15" s="17" t="inlineStr">
        <is>
          <t>Antes de iniciar qualquer preenchimento:</t>
        </is>
      </c>
      <c r="B15" s="17" t="n"/>
      <c r="C15" s="17" t="n"/>
      <c r="D15" s="17" t="n"/>
      <c r="E15" s="17" t="n"/>
      <c r="F15" s="17" t="n"/>
      <c r="G15" s="18" t="n"/>
      <c r="H15" s="17" t="n"/>
      <c r="I15" s="17" t="n"/>
      <c r="J15" s="17" t="n"/>
      <c r="K15" s="17" t="n"/>
      <c r="L15" s="17" t="n"/>
      <c r="M15" s="17" t="n"/>
      <c r="N15" s="17" t="n"/>
      <c r="O15" s="17" t="n"/>
      <c r="P15" s="17" t="n"/>
      <c r="Q15" s="17" t="n"/>
      <c r="R15" s="17" t="n"/>
      <c r="S15" s="17" t="n"/>
      <c r="T15" s="17" t="n"/>
      <c r="U15" s="17" t="n"/>
      <c r="V15" s="17" t="n"/>
      <c r="W15" s="17" t="n"/>
      <c r="X15" s="17" t="n"/>
      <c r="Y15" s="17" t="n"/>
    </row>
    <row r="16">
      <c r="A16" s="17" t="n"/>
      <c r="B16" s="17" t="n"/>
      <c r="C16" s="17" t="n"/>
      <c r="D16" s="17" t="n"/>
      <c r="E16" s="17" t="n"/>
      <c r="F16" s="17" t="n"/>
      <c r="G16" s="18" t="n"/>
      <c r="H16" s="17" t="n"/>
      <c r="I16" s="17" t="n"/>
      <c r="J16" s="17" t="n"/>
      <c r="K16" s="17" t="n"/>
      <c r="L16" s="17" t="n"/>
      <c r="M16" s="17" t="n"/>
      <c r="N16" s="17" t="n"/>
      <c r="O16" s="17" t="n"/>
      <c r="P16" s="17" t="n"/>
      <c r="Q16" s="17" t="n"/>
      <c r="R16" s="17" t="n"/>
      <c r="S16" s="17" t="n"/>
      <c r="T16" s="17" t="n"/>
      <c r="U16" s="17" t="n"/>
      <c r="V16" s="17" t="n"/>
      <c r="W16" s="17" t="n"/>
      <c r="X16" s="17" t="n"/>
      <c r="Y16" s="17" t="n"/>
    </row>
    <row r="17">
      <c r="A17" s="17" t="inlineStr">
        <is>
          <t>Analise a estrutura da Planilha-Mãe (modelo anexo).</t>
        </is>
      </c>
      <c r="B17" s="17" t="n"/>
      <c r="C17" s="17" t="n"/>
      <c r="D17" s="17" t="n"/>
      <c r="E17" s="17" t="n"/>
      <c r="F17" s="17" t="n"/>
      <c r="G17" s="18" t="n"/>
      <c r="H17" s="17" t="n"/>
      <c r="I17" s="17" t="n"/>
      <c r="J17" s="17" t="n"/>
      <c r="K17" s="17" t="n"/>
      <c r="L17" s="17" t="n"/>
      <c r="M17" s="17" t="n"/>
      <c r="N17" s="17" t="n"/>
      <c r="O17" s="17" t="n"/>
      <c r="P17" s="17" t="n"/>
      <c r="Q17" s="17" t="n"/>
      <c r="R17" s="17" t="n"/>
      <c r="S17" s="17" t="n"/>
      <c r="T17" s="17" t="n"/>
      <c r="U17" s="17" t="n"/>
      <c r="V17" s="17" t="n"/>
      <c r="W17" s="17" t="n"/>
      <c r="X17" s="17" t="n"/>
      <c r="Y17" s="17" t="n"/>
    </row>
    <row r="18">
      <c r="A18" s="17" t="n"/>
      <c r="B18" s="17" t="n"/>
      <c r="C18" s="17" t="n"/>
      <c r="D18" s="17" t="n"/>
      <c r="E18" s="17" t="n"/>
      <c r="F18" s="17" t="n"/>
      <c r="G18" s="18" t="n"/>
      <c r="H18" s="17" t="n"/>
      <c r="I18" s="17" t="n"/>
      <c r="J18" s="17" t="n"/>
      <c r="K18" s="17" t="n"/>
      <c r="L18" s="17" t="n"/>
      <c r="M18" s="17" t="n"/>
      <c r="N18" s="17" t="n"/>
      <c r="O18" s="17" t="n"/>
      <c r="P18" s="17" t="n"/>
      <c r="Q18" s="17" t="n"/>
      <c r="R18" s="17" t="n"/>
      <c r="S18" s="17" t="n"/>
      <c r="T18" s="17" t="n"/>
      <c r="U18" s="17" t="n"/>
      <c r="V18" s="17" t="n"/>
      <c r="W18" s="17" t="n"/>
      <c r="X18" s="17" t="n"/>
      <c r="Y18" s="17" t="n"/>
    </row>
    <row r="19">
      <c r="A19" s="17" t="inlineStr">
        <is>
          <t>Verifique se algum campo essencial está ausente nas suas planilhas atuais.</t>
        </is>
      </c>
      <c r="B19" s="17" t="n"/>
      <c r="C19" s="17" t="n"/>
      <c r="D19" s="17" t="n"/>
      <c r="E19" s="17" t="n"/>
      <c r="F19" s="17" t="n"/>
      <c r="G19" s="18" t="n"/>
      <c r="H19" s="17" t="n"/>
      <c r="I19" s="17" t="n"/>
      <c r="J19" s="17" t="n"/>
      <c r="K19" s="17" t="n"/>
      <c r="L19" s="17" t="n"/>
      <c r="M19" s="17" t="n"/>
      <c r="N19" s="17" t="n"/>
      <c r="O19" s="17" t="n"/>
      <c r="P19" s="17" t="n"/>
      <c r="Q19" s="17" t="n"/>
      <c r="R19" s="17" t="n"/>
      <c r="S19" s="17" t="n"/>
      <c r="T19" s="17" t="n"/>
      <c r="U19" s="17" t="n"/>
      <c r="V19" s="17" t="n"/>
      <c r="W19" s="17" t="n"/>
      <c r="X19" s="17" t="n"/>
      <c r="Y19" s="17" t="n"/>
    </row>
    <row r="20">
      <c r="A20" s="17" t="n"/>
      <c r="B20" s="17" t="n"/>
      <c r="C20" s="17" t="n"/>
      <c r="D20" s="17" t="n"/>
      <c r="E20" s="17" t="n"/>
      <c r="F20" s="17" t="n"/>
      <c r="G20" s="18" t="n"/>
      <c r="H20" s="17" t="n"/>
      <c r="I20" s="17" t="n"/>
      <c r="J20" s="17" t="n"/>
      <c r="K20" s="17" t="n"/>
      <c r="L20" s="17" t="n"/>
      <c r="M20" s="17" t="n"/>
      <c r="N20" s="17" t="n"/>
      <c r="O20" s="17" t="n"/>
      <c r="P20" s="17" t="n"/>
      <c r="Q20" s="17" t="n"/>
      <c r="R20" s="17" t="n"/>
      <c r="S20" s="17" t="n"/>
      <c r="T20" s="17" t="n"/>
      <c r="U20" s="17" t="n"/>
      <c r="V20" s="17" t="n"/>
      <c r="W20" s="17" t="n"/>
      <c r="X20" s="17" t="n"/>
      <c r="Y20" s="17" t="n"/>
    </row>
    <row r="21">
      <c r="A21" s="17" t="inlineStr">
        <is>
          <t>Caso haja informações relevantes no seu fluxo que não estão contempladas na Planilha-Mãe, sinalize à coordenação para possível inclusão.</t>
        </is>
      </c>
      <c r="B21" s="17" t="n"/>
      <c r="C21" s="17" t="n"/>
      <c r="D21" s="17" t="n"/>
      <c r="E21" s="17" t="n"/>
      <c r="F21" s="17" t="n"/>
      <c r="G21" s="18" t="n"/>
      <c r="H21" s="17" t="n"/>
      <c r="I21" s="17" t="n"/>
      <c r="J21" s="17" t="n"/>
      <c r="K21" s="17" t="n"/>
      <c r="L21" s="17" t="n"/>
      <c r="M21" s="17" t="n"/>
      <c r="N21" s="17" t="n"/>
      <c r="O21" s="17" t="n"/>
      <c r="P21" s="17" t="n"/>
      <c r="Q21" s="17" t="n"/>
      <c r="R21" s="17" t="n"/>
      <c r="S21" s="17" t="n"/>
      <c r="T21" s="17" t="n"/>
      <c r="U21" s="17" t="n"/>
      <c r="V21" s="17" t="n"/>
      <c r="W21" s="17" t="n"/>
      <c r="X21" s="17" t="n"/>
      <c r="Y21" s="17" t="n"/>
    </row>
    <row r="22">
      <c r="A22" s="17" t="n"/>
      <c r="B22" s="17" t="n"/>
      <c r="C22" s="17" t="n"/>
      <c r="D22" s="17" t="n"/>
      <c r="E22" s="17" t="n"/>
      <c r="F22" s="17" t="n"/>
      <c r="G22" s="18" t="n"/>
      <c r="H22" s="17" t="n"/>
      <c r="I22" s="17" t="n"/>
      <c r="J22" s="17" t="n"/>
      <c r="K22" s="17" t="n"/>
      <c r="L22" s="17" t="n"/>
      <c r="M22" s="17" t="n"/>
      <c r="N22" s="17" t="n"/>
      <c r="O22" s="17" t="n"/>
      <c r="P22" s="17" t="n"/>
      <c r="Q22" s="17" t="n"/>
      <c r="R22" s="17" t="n"/>
      <c r="S22" s="17" t="n"/>
      <c r="T22" s="17" t="n"/>
      <c r="U22" s="17" t="n"/>
      <c r="V22" s="17" t="n"/>
      <c r="W22" s="17" t="n"/>
      <c r="X22" s="17" t="n"/>
      <c r="Y22" s="17" t="n"/>
    </row>
    <row r="23">
      <c r="A23" s="17" t="n"/>
      <c r="B23" s="17" t="n"/>
      <c r="C23" s="17" t="n"/>
      <c r="D23" s="17" t="n"/>
      <c r="E23" s="17" t="n"/>
      <c r="F23" s="17" t="n"/>
      <c r="G23" s="18" t="n"/>
      <c r="H23" s="17" t="n"/>
      <c r="I23" s="17" t="n"/>
      <c r="J23" s="17" t="n"/>
      <c r="K23" s="17" t="n"/>
      <c r="L23" s="17" t="n"/>
      <c r="M23" s="17" t="n"/>
      <c r="N23" s="17" t="n"/>
      <c r="O23" s="17" t="n"/>
      <c r="P23" s="17" t="n"/>
      <c r="Q23" s="17" t="n"/>
      <c r="R23" s="17" t="n"/>
      <c r="S23" s="17" t="n"/>
      <c r="T23" s="17" t="n"/>
      <c r="U23" s="17" t="n"/>
      <c r="V23" s="17" t="n"/>
      <c r="W23" s="17" t="n"/>
      <c r="X23" s="17" t="n"/>
      <c r="Y23" s="17" t="n"/>
    </row>
    <row r="24" ht="23.25" customHeight="1">
      <c r="A24" s="20" t="inlineStr">
        <is>
          <t>ESTRUTURA FLEXÍVEL DAS PLANILHAS AUXILIARES</t>
        </is>
      </c>
      <c r="B24" s="20" t="n"/>
      <c r="C24" s="20" t="n"/>
      <c r="D24" s="20" t="n"/>
      <c r="E24" s="20" t="n"/>
      <c r="F24" s="20" t="n"/>
      <c r="G24" s="22" t="n"/>
      <c r="H24" s="20" t="n"/>
      <c r="I24" s="17" t="n"/>
      <c r="J24" s="17" t="n"/>
      <c r="K24" s="17" t="n"/>
      <c r="L24" s="17" t="n"/>
      <c r="M24" s="17" t="n"/>
      <c r="N24" s="17" t="n"/>
      <c r="O24" s="17" t="n"/>
      <c r="P24" s="17" t="n"/>
      <c r="Q24" s="17" t="n"/>
      <c r="R24" s="17" t="n"/>
      <c r="S24" s="17" t="n"/>
      <c r="T24" s="17" t="n"/>
      <c r="U24" s="17" t="n"/>
      <c r="V24" s="17" t="n"/>
      <c r="W24" s="17" t="n"/>
      <c r="X24" s="17" t="n"/>
      <c r="Y24" s="17" t="n"/>
    </row>
    <row r="25">
      <c r="A25" s="17" t="n"/>
      <c r="B25" s="17" t="n"/>
      <c r="C25" s="17" t="n"/>
      <c r="D25" s="17" t="n"/>
      <c r="E25" s="17" t="n"/>
      <c r="F25" s="17" t="n"/>
      <c r="G25" s="18" t="n"/>
      <c r="H25" s="17" t="n"/>
      <c r="I25" s="17" t="n"/>
      <c r="J25" s="17" t="n"/>
      <c r="K25" s="17" t="n"/>
      <c r="L25" s="17" t="n"/>
      <c r="M25" s="17" t="n"/>
      <c r="N25" s="17" t="n"/>
      <c r="O25" s="17" t="n"/>
      <c r="P25" s="17" t="n"/>
      <c r="Q25" s="17" t="n"/>
      <c r="R25" s="17" t="n"/>
      <c r="S25" s="17" t="n"/>
      <c r="T25" s="17" t="n"/>
      <c r="U25" s="17" t="n"/>
      <c r="V25" s="17" t="n"/>
      <c r="W25" s="17" t="n"/>
      <c r="X25" s="17" t="n"/>
      <c r="Y25" s="17" t="n"/>
    </row>
    <row r="26">
      <c r="A26" s="17" t="inlineStr">
        <is>
          <t>Cada time (convênios, pessoas, contratos, etc.) pode continuar utilizando suas planilhas internas da forma que for mais conveniente, incluindo:</t>
        </is>
      </c>
      <c r="B26" s="17" t="n"/>
      <c r="C26" s="17" t="n"/>
      <c r="D26" s="17" t="n"/>
      <c r="E26" s="17" t="n"/>
      <c r="F26" s="17" t="n"/>
      <c r="G26" s="18" t="n"/>
      <c r="H26" s="17" t="n"/>
      <c r="I26" s="17" t="n"/>
      <c r="J26" s="17" t="n"/>
      <c r="K26" s="17" t="n"/>
      <c r="L26" s="17" t="n"/>
      <c r="M26" s="17" t="n"/>
      <c r="N26" s="17" t="n"/>
      <c r="O26" s="17" t="n"/>
      <c r="P26" s="17" t="n"/>
      <c r="Q26" s="17" t="n"/>
      <c r="R26" s="17" t="n"/>
      <c r="S26" s="17" t="n"/>
      <c r="T26" s="17" t="n"/>
      <c r="U26" s="17" t="n"/>
      <c r="V26" s="17" t="n"/>
      <c r="W26" s="17" t="n"/>
      <c r="X26" s="17" t="n"/>
      <c r="Y26" s="17" t="n"/>
    </row>
    <row r="27">
      <c r="A27" s="17" t="n"/>
      <c r="B27" s="17" t="n"/>
      <c r="C27" s="17" t="n"/>
      <c r="D27" s="17" t="n"/>
      <c r="E27" s="17" t="n"/>
      <c r="F27" s="17" t="n"/>
      <c r="G27" s="18" t="n"/>
      <c r="H27" s="17" t="n"/>
      <c r="I27" s="17" t="n"/>
      <c r="J27" s="17" t="n"/>
      <c r="K27" s="17" t="n"/>
      <c r="L27" s="17" t="n"/>
      <c r="M27" s="17" t="n"/>
      <c r="N27" s="17" t="n"/>
      <c r="O27" s="17" t="n"/>
      <c r="P27" s="17" t="n"/>
      <c r="Q27" s="17" t="n"/>
      <c r="R27" s="17" t="n"/>
      <c r="S27" s="17" t="n"/>
      <c r="T27" s="17" t="n"/>
      <c r="U27" s="17" t="n"/>
      <c r="V27" s="17" t="n"/>
      <c r="W27" s="17" t="n"/>
      <c r="X27" s="17" t="n"/>
      <c r="Y27" s="17" t="n"/>
    </row>
    <row r="28">
      <c r="A28" s="17" t="inlineStr">
        <is>
          <t>Inserção ou remoção de colunas.</t>
        </is>
      </c>
      <c r="B28" s="17" t="n"/>
      <c r="C28" s="17" t="n"/>
      <c r="D28" s="17" t="n"/>
      <c r="E28" s="17" t="n"/>
      <c r="F28" s="17" t="n"/>
      <c r="G28" s="18" t="n"/>
      <c r="H28" s="17" t="n"/>
      <c r="I28" s="17" t="n"/>
      <c r="J28" s="17" t="n"/>
      <c r="K28" s="17" t="n"/>
      <c r="L28" s="17" t="n"/>
      <c r="M28" s="17" t="n"/>
      <c r="N28" s="17" t="n"/>
      <c r="O28" s="17" t="n"/>
      <c r="P28" s="17" t="n"/>
      <c r="Q28" s="17" t="n"/>
      <c r="R28" s="17" t="n"/>
      <c r="S28" s="17" t="n"/>
      <c r="T28" s="17" t="n"/>
      <c r="U28" s="17" t="n"/>
      <c r="V28" s="17" t="n"/>
      <c r="W28" s="17" t="n"/>
      <c r="X28" s="17" t="n"/>
      <c r="Y28" s="17" t="n"/>
    </row>
    <row r="29">
      <c r="A29" s="17" t="n"/>
      <c r="B29" s="17" t="n"/>
      <c r="C29" s="17" t="n"/>
      <c r="D29" s="17" t="n"/>
      <c r="E29" s="17" t="n"/>
      <c r="F29" s="17" t="n"/>
      <c r="G29" s="18" t="n"/>
      <c r="H29" s="17" t="n"/>
      <c r="I29" s="17" t="n"/>
      <c r="J29" s="17" t="n"/>
      <c r="K29" s="17" t="n"/>
      <c r="L29" s="17" t="n"/>
      <c r="M29" s="17" t="n"/>
      <c r="N29" s="17" t="n"/>
      <c r="O29" s="17" t="n"/>
      <c r="P29" s="17" t="n"/>
      <c r="Q29" s="17" t="n"/>
      <c r="R29" s="17" t="n"/>
      <c r="S29" s="17" t="n"/>
      <c r="T29" s="17" t="n"/>
      <c r="U29" s="17" t="n"/>
      <c r="V29" s="17" t="n"/>
      <c r="W29" s="17" t="n"/>
      <c r="X29" s="17" t="n"/>
      <c r="Y29" s="17" t="n"/>
    </row>
    <row r="30">
      <c r="A30" s="17" t="inlineStr">
        <is>
          <t>Adição de campos específicos ao trabalho do time.</t>
        </is>
      </c>
      <c r="B30" s="17" t="n"/>
      <c r="C30" s="17" t="n"/>
      <c r="D30" s="17" t="n"/>
      <c r="E30" s="17" t="n"/>
      <c r="F30" s="17" t="n"/>
      <c r="G30" s="18" t="n"/>
      <c r="H30" s="17" t="n"/>
      <c r="I30" s="17" t="n"/>
      <c r="J30" s="17" t="n"/>
      <c r="K30" s="17" t="n"/>
      <c r="L30" s="17" t="n"/>
      <c r="M30" s="17" t="n"/>
      <c r="N30" s="17" t="n"/>
      <c r="O30" s="17" t="n"/>
      <c r="P30" s="17" t="n"/>
      <c r="Q30" s="17" t="n"/>
      <c r="R30" s="17" t="n"/>
      <c r="S30" s="17" t="n"/>
      <c r="T30" s="17" t="n"/>
      <c r="U30" s="17" t="n"/>
      <c r="V30" s="17" t="n"/>
      <c r="W30" s="17" t="n"/>
      <c r="X30" s="17" t="n"/>
      <c r="Y30" s="17" t="n"/>
    </row>
    <row r="31">
      <c r="A31" s="17" t="n"/>
      <c r="B31" s="17" t="n"/>
      <c r="C31" s="17" t="n"/>
      <c r="D31" s="17" t="n"/>
      <c r="E31" s="17" t="n"/>
      <c r="F31" s="17" t="n"/>
      <c r="G31" s="18" t="n"/>
      <c r="H31" s="17" t="n"/>
      <c r="I31" s="17" t="n"/>
      <c r="J31" s="17" t="n"/>
      <c r="K31" s="17" t="n"/>
      <c r="L31" s="17" t="n"/>
      <c r="M31" s="17" t="n"/>
      <c r="N31" s="17" t="n"/>
      <c r="O31" s="17" t="n"/>
      <c r="P31" s="17" t="n"/>
      <c r="Q31" s="17" t="n"/>
      <c r="R31" s="17" t="n"/>
      <c r="S31" s="17" t="n"/>
      <c r="T31" s="17" t="n"/>
      <c r="U31" s="17" t="n"/>
      <c r="V31" s="17" t="n"/>
      <c r="W31" s="17" t="n"/>
      <c r="X31" s="17" t="n"/>
      <c r="Y31" s="17" t="n"/>
    </row>
    <row r="32">
      <c r="A32" s="19" t="inlineStr">
        <is>
          <t>Porém, para permitir a integração via VBA, será necessário mapear quais colunas da sua planilha correspondem às colunas da Planilha-Mãe.</t>
        </is>
      </c>
      <c r="B32" s="19" t="n"/>
      <c r="C32" s="19" t="n"/>
      <c r="D32" s="19" t="n"/>
      <c r="E32" s="19" t="n"/>
      <c r="F32" s="19" t="n"/>
      <c r="G32" s="23" t="n"/>
      <c r="H32" s="19" t="n"/>
      <c r="I32" s="19" t="n"/>
      <c r="J32" s="19" t="n"/>
      <c r="K32" s="19" t="n"/>
      <c r="L32" s="19" t="n"/>
      <c r="M32" s="19" t="n"/>
      <c r="N32" s="19" t="n"/>
      <c r="O32" s="17" t="n"/>
      <c r="P32" s="17" t="n"/>
      <c r="Q32" s="17" t="n"/>
      <c r="R32" s="17" t="n"/>
      <c r="S32" s="17" t="n"/>
      <c r="T32" s="17" t="n"/>
      <c r="U32" s="17" t="n"/>
      <c r="V32" s="17" t="n"/>
      <c r="W32" s="17" t="n"/>
      <c r="X32" s="17" t="n"/>
      <c r="Y32" s="17" t="n"/>
    </row>
    <row r="33">
      <c r="A33" s="17" t="n"/>
      <c r="B33" s="17" t="n"/>
      <c r="C33" s="17" t="n"/>
      <c r="D33" s="17" t="n"/>
      <c r="E33" s="17" t="n"/>
      <c r="F33" s="17" t="n"/>
      <c r="G33" s="18" t="n"/>
      <c r="H33" s="17" t="n"/>
      <c r="I33" s="17" t="n"/>
      <c r="J33" s="17" t="n"/>
      <c r="K33" s="17" t="n"/>
      <c r="L33" s="17" t="n"/>
      <c r="M33" s="17" t="n"/>
      <c r="N33" s="17" t="n"/>
      <c r="O33" s="17" t="n"/>
      <c r="P33" s="17" t="n"/>
      <c r="Q33" s="17" t="n"/>
      <c r="R33" s="17" t="n"/>
      <c r="S33" s="17" t="n"/>
      <c r="T33" s="17" t="n"/>
      <c r="U33" s="17" t="n"/>
      <c r="V33" s="17" t="n"/>
      <c r="W33" s="17" t="n"/>
      <c r="X33" s="17" t="n"/>
      <c r="Y33" s="17" t="n"/>
    </row>
    <row r="34" ht="18" customHeight="1">
      <c r="A34" s="21" t="inlineStr">
        <is>
          <t>📌 O que você deve fazer:</t>
        </is>
      </c>
      <c r="B34" s="21" t="n"/>
      <c r="C34" s="21" t="n"/>
      <c r="D34" s="21" t="n"/>
      <c r="E34" s="17" t="n"/>
      <c r="F34" s="17" t="n"/>
      <c r="G34" s="18" t="n"/>
      <c r="H34" s="17" t="n"/>
      <c r="I34" s="17" t="n"/>
      <c r="J34" s="17" t="n"/>
      <c r="K34" s="17" t="n"/>
      <c r="L34" s="17" t="n"/>
      <c r="M34" s="17" t="n"/>
      <c r="N34" s="17" t="n"/>
      <c r="O34" s="17" t="n"/>
      <c r="P34" s="17" t="n"/>
      <c r="Q34" s="17" t="n"/>
      <c r="R34" s="17" t="n"/>
      <c r="S34" s="17" t="n"/>
      <c r="T34" s="17" t="n"/>
      <c r="U34" s="17" t="n"/>
      <c r="V34" s="17" t="n"/>
      <c r="W34" s="17" t="n"/>
      <c r="X34" s="17" t="n"/>
      <c r="Y34" s="17" t="n"/>
    </row>
    <row r="35">
      <c r="A35" s="17" t="n"/>
      <c r="B35" s="17" t="n"/>
      <c r="C35" s="17" t="n"/>
      <c r="D35" s="17" t="n"/>
      <c r="E35" s="17" t="n"/>
      <c r="F35" s="17" t="n"/>
      <c r="G35" s="18" t="n"/>
      <c r="H35" s="17" t="n"/>
      <c r="I35" s="17" t="n"/>
      <c r="J35" s="17" t="n"/>
      <c r="K35" s="17" t="n"/>
      <c r="L35" s="17" t="n"/>
      <c r="M35" s="17" t="n"/>
      <c r="N35" s="17" t="n"/>
      <c r="O35" s="17" t="n"/>
      <c r="P35" s="17" t="n"/>
      <c r="Q35" s="17" t="n"/>
      <c r="R35" s="17" t="n"/>
      <c r="S35" s="17" t="n"/>
      <c r="T35" s="17" t="n"/>
      <c r="U35" s="17" t="n"/>
      <c r="V35" s="17" t="n"/>
      <c r="W35" s="17" t="n"/>
      <c r="X35" s="17" t="n"/>
      <c r="Y35" s="17" t="n"/>
    </row>
    <row r="36">
      <c r="A36" s="19" t="inlineStr">
        <is>
          <t>1. Identificar as colunas da sua planilha que correspondem às colunas da Planilha-Mãe.</t>
        </is>
      </c>
      <c r="B36" s="19" t="n"/>
      <c r="C36" s="19" t="n"/>
      <c r="D36" s="19" t="n"/>
      <c r="E36" s="19" t="n"/>
      <c r="F36" s="19" t="n"/>
      <c r="G36" s="23" t="n"/>
      <c r="H36" s="19" t="n"/>
      <c r="I36" s="19" t="n"/>
      <c r="J36" s="17" t="n"/>
      <c r="K36" s="17" t="n"/>
      <c r="L36" s="17" t="n"/>
      <c r="M36" s="17" t="n"/>
      <c r="N36" s="17" t="n"/>
      <c r="O36" s="17" t="n"/>
      <c r="P36" s="17" t="n"/>
      <c r="Q36" s="17" t="n"/>
      <c r="R36" s="17" t="n"/>
      <c r="S36" s="17" t="n"/>
      <c r="T36" s="17" t="n"/>
      <c r="U36" s="17" t="n"/>
      <c r="V36" s="17" t="n"/>
      <c r="W36" s="17" t="n"/>
      <c r="X36" s="17" t="n"/>
      <c r="Y36" s="17" t="n"/>
    </row>
    <row r="37">
      <c r="A37" s="17" t="n"/>
      <c r="B37" s="17" t="n"/>
      <c r="C37" s="17" t="n"/>
      <c r="D37" s="17" t="n"/>
      <c r="E37" s="17" t="n"/>
      <c r="F37" s="17" t="n"/>
      <c r="G37" s="18" t="n"/>
      <c r="H37" s="17" t="n"/>
      <c r="I37" s="17" t="n"/>
      <c r="J37" s="17" t="n"/>
      <c r="K37" s="17" t="n"/>
      <c r="L37" s="17" t="n"/>
      <c r="M37" s="17" t="n"/>
      <c r="N37" s="17" t="n"/>
      <c r="O37" s="17" t="n"/>
      <c r="P37" s="17" t="n"/>
      <c r="Q37" s="17" t="n"/>
      <c r="R37" s="17" t="n"/>
      <c r="S37" s="17" t="n"/>
      <c r="T37" s="17" t="n"/>
      <c r="U37" s="17" t="n"/>
      <c r="V37" s="17" t="n"/>
      <c r="W37" s="17" t="n"/>
      <c r="X37" s="17" t="n"/>
      <c r="Y37" s="17" t="n"/>
    </row>
    <row r="38">
      <c r="A38" s="19" t="inlineStr">
        <is>
          <t>2. Preencher uma aba chamada “Máscara PAC SAÚDE” ou enviar um documento à parte com:</t>
        </is>
      </c>
      <c r="B38" s="19" t="n"/>
      <c r="C38" s="19" t="n"/>
      <c r="D38" s="19" t="n"/>
      <c r="E38" s="19" t="n"/>
      <c r="F38" s="19" t="n"/>
      <c r="G38" s="23" t="n"/>
      <c r="H38" s="19" t="n"/>
      <c r="I38" s="19" t="n"/>
      <c r="J38" s="19" t="n"/>
      <c r="K38" s="17" t="n"/>
      <c r="L38" s="17" t="n"/>
      <c r="M38" s="17" t="n"/>
      <c r="N38" s="17" t="n"/>
      <c r="O38" s="17" t="n"/>
      <c r="P38" s="17" t="n"/>
      <c r="Q38" s="17" t="n"/>
      <c r="R38" s="17" t="n"/>
      <c r="S38" s="17" t="n"/>
      <c r="T38" s="17" t="n"/>
      <c r="U38" s="17" t="n"/>
      <c r="V38" s="17" t="n"/>
      <c r="W38" s="17" t="n"/>
      <c r="X38" s="17" t="n"/>
      <c r="Y38" s="17" t="n"/>
    </row>
    <row r="39">
      <c r="A39" s="17" t="n"/>
      <c r="B39" s="17" t="n"/>
      <c r="C39" s="17" t="n"/>
      <c r="D39" s="17" t="n"/>
      <c r="E39" s="17" t="n"/>
      <c r="F39" s="17" t="n"/>
      <c r="G39" s="18" t="n"/>
      <c r="H39" s="17" t="n"/>
      <c r="I39" s="17" t="n"/>
      <c r="J39" s="17" t="n"/>
      <c r="K39" s="17" t="n"/>
      <c r="L39" s="17" t="n"/>
      <c r="M39" s="17" t="n"/>
      <c r="N39" s="17" t="n"/>
      <c r="O39" s="17" t="n"/>
      <c r="P39" s="17" t="n"/>
      <c r="Q39" s="17" t="n"/>
      <c r="R39" s="17" t="n"/>
      <c r="S39" s="17" t="n"/>
      <c r="T39" s="17" t="n"/>
      <c r="U39" s="17" t="n"/>
      <c r="V39" s="17" t="n"/>
      <c r="W39" s="17" t="n"/>
      <c r="X39" s="17" t="n"/>
      <c r="Y39" s="17" t="n"/>
    </row>
    <row r="40">
      <c r="A40" s="17" t="inlineStr">
        <is>
          <t>Nome da coluna na sua planilha</t>
        </is>
      </c>
      <c r="B40" s="17" t="n"/>
      <c r="C40" s="17" t="n"/>
      <c r="D40" s="17" t="n"/>
      <c r="E40" s="17" t="n"/>
      <c r="F40" s="17" t="n"/>
      <c r="G40" s="18" t="n"/>
      <c r="H40" s="17" t="n"/>
      <c r="I40" s="17" t="n"/>
      <c r="J40" s="17" t="n"/>
      <c r="K40" s="17" t="n"/>
      <c r="L40" s="17" t="n"/>
      <c r="M40" s="17" t="n"/>
      <c r="N40" s="17" t="n"/>
      <c r="O40" s="17" t="n"/>
      <c r="P40" s="17" t="n"/>
      <c r="Q40" s="17" t="n"/>
      <c r="R40" s="17" t="n"/>
      <c r="S40" s="17" t="n"/>
      <c r="T40" s="17" t="n"/>
      <c r="U40" s="17" t="n"/>
      <c r="V40" s="17" t="n"/>
      <c r="W40" s="17" t="n"/>
      <c r="X40" s="17" t="n"/>
      <c r="Y40" s="17" t="n"/>
    </row>
    <row r="41">
      <c r="A41" s="17" t="n"/>
      <c r="B41" s="17" t="n"/>
      <c r="C41" s="17" t="n"/>
      <c r="D41" s="17" t="n"/>
      <c r="E41" s="17" t="n"/>
      <c r="F41" s="17" t="n"/>
      <c r="G41" s="18" t="n"/>
      <c r="H41" s="17" t="n"/>
      <c r="I41" s="17" t="n"/>
      <c r="J41" s="17" t="n"/>
      <c r="K41" s="17" t="n"/>
      <c r="L41" s="17" t="n"/>
      <c r="M41" s="17" t="n"/>
      <c r="N41" s="17" t="n"/>
      <c r="O41" s="17" t="n"/>
      <c r="P41" s="17" t="n"/>
      <c r="Q41" s="17" t="n"/>
      <c r="R41" s="17" t="n"/>
      <c r="S41" s="17" t="n"/>
      <c r="T41" s="17" t="n"/>
      <c r="U41" s="17" t="n"/>
      <c r="V41" s="17" t="n"/>
      <c r="W41" s="17" t="n"/>
      <c r="X41" s="17" t="n"/>
      <c r="Y41" s="17" t="n"/>
    </row>
    <row r="42">
      <c r="A42" s="17" t="inlineStr">
        <is>
          <t>Nome da coluna correspondente na Planilha-Mãe</t>
        </is>
      </c>
      <c r="B42" s="17" t="n"/>
      <c r="C42" s="17" t="n"/>
      <c r="D42" s="17" t="n"/>
      <c r="E42" s="17" t="n"/>
      <c r="F42" s="17" t="n"/>
      <c r="G42" s="18" t="n"/>
      <c r="H42" s="17" t="n"/>
      <c r="I42" s="17" t="n"/>
      <c r="J42" s="17" t="n"/>
      <c r="K42" s="17" t="n"/>
      <c r="L42" s="17" t="n"/>
      <c r="M42" s="17" t="n"/>
      <c r="N42" s="17" t="n"/>
      <c r="O42" s="17" t="n"/>
      <c r="P42" s="17" t="n"/>
      <c r="Q42" s="17" t="n"/>
      <c r="R42" s="17" t="n"/>
      <c r="S42" s="17" t="n"/>
      <c r="T42" s="17" t="n"/>
      <c r="U42" s="17" t="n"/>
      <c r="V42" s="17" t="n"/>
      <c r="W42" s="17" t="n"/>
      <c r="X42" s="17" t="n"/>
      <c r="Y42" s="17" t="n"/>
    </row>
    <row r="43">
      <c r="A43" s="17" t="n"/>
      <c r="B43" s="17" t="n"/>
      <c r="C43" s="17" t="n"/>
      <c r="D43" s="17" t="n"/>
      <c r="E43" s="17" t="n"/>
      <c r="F43" s="17" t="n"/>
      <c r="G43" s="18" t="n"/>
      <c r="H43" s="17" t="n"/>
      <c r="I43" s="17" t="n"/>
      <c r="J43" s="17" t="n"/>
      <c r="K43" s="17" t="n"/>
      <c r="L43" s="17" t="n"/>
      <c r="M43" s="17" t="n"/>
      <c r="N43" s="17" t="n"/>
      <c r="O43" s="17" t="n"/>
      <c r="P43" s="17" t="n"/>
      <c r="Q43" s="17" t="n"/>
      <c r="R43" s="17" t="n"/>
      <c r="S43" s="17" t="n"/>
      <c r="T43" s="17" t="n"/>
      <c r="U43" s="17" t="n"/>
      <c r="V43" s="17" t="n"/>
      <c r="W43" s="17" t="n"/>
      <c r="X43" s="17" t="n"/>
      <c r="Y43" s="17" t="n"/>
    </row>
    <row r="44">
      <c r="A44" s="17" t="n"/>
      <c r="B44" s="17" t="n"/>
      <c r="C44" s="17" t="n"/>
      <c r="D44" s="17" t="n"/>
      <c r="E44" s="17" t="n"/>
      <c r="F44" s="17" t="n"/>
      <c r="G44" s="18" t="n"/>
      <c r="H44" s="17" t="n"/>
      <c r="I44" s="17" t="n"/>
      <c r="J44" s="17" t="n"/>
      <c r="K44" s="17" t="n"/>
      <c r="L44" s="17" t="n"/>
      <c r="M44" s="17" t="n"/>
      <c r="N44" s="17" t="n"/>
      <c r="O44" s="17" t="n"/>
      <c r="P44" s="17" t="n"/>
      <c r="Q44" s="17" t="n"/>
      <c r="R44" s="17" t="n"/>
      <c r="S44" s="17" t="n"/>
      <c r="T44" s="17" t="n"/>
      <c r="U44" s="17" t="n"/>
      <c r="V44" s="17" t="n"/>
      <c r="W44" s="17" t="n"/>
      <c r="X44" s="17" t="n"/>
      <c r="Y44" s="17" t="n"/>
    </row>
    <row r="45" ht="23.25" customHeight="1">
      <c r="A45" s="20" t="inlineStr">
        <is>
          <t>🖊️ INSTRUÇÕES DE PREENCHIMENTO DOS CAMPOS</t>
        </is>
      </c>
      <c r="B45" s="20" t="n"/>
      <c r="C45" s="20" t="n"/>
      <c r="D45" s="20" t="n"/>
      <c r="E45" s="20" t="n"/>
      <c r="F45" s="20" t="n"/>
      <c r="G45" s="22" t="n"/>
      <c r="H45" s="20" t="n"/>
      <c r="I45" s="20" t="n"/>
      <c r="J45" s="17" t="n"/>
      <c r="K45" s="17" t="n"/>
      <c r="L45" s="17" t="n"/>
      <c r="M45" s="17" t="n"/>
      <c r="N45" s="17" t="n"/>
      <c r="O45" s="17" t="n"/>
      <c r="P45" s="17" t="n"/>
      <c r="Q45" s="17" t="n"/>
      <c r="R45" s="17" t="n"/>
      <c r="S45" s="17" t="n"/>
      <c r="T45" s="17" t="n"/>
      <c r="U45" s="17" t="n"/>
      <c r="V45" s="17" t="n"/>
      <c r="W45" s="17" t="n"/>
      <c r="X45" s="17" t="n"/>
      <c r="Y45" s="17" t="n"/>
    </row>
    <row r="46">
      <c r="A46" s="17" t="n"/>
      <c r="B46" s="17" t="n"/>
      <c r="C46" s="17" t="n"/>
      <c r="D46" s="17" t="n"/>
      <c r="E46" s="17" t="n"/>
      <c r="F46" s="17" t="n"/>
      <c r="G46" s="18" t="n"/>
      <c r="H46" s="17" t="n"/>
      <c r="I46" s="17" t="n"/>
      <c r="J46" s="17" t="n"/>
      <c r="K46" s="17" t="n"/>
      <c r="L46" s="17" t="n"/>
      <c r="M46" s="17" t="n"/>
      <c r="N46" s="17" t="n"/>
      <c r="O46" s="17" t="n"/>
      <c r="P46" s="17" t="n"/>
      <c r="Q46" s="17" t="n"/>
      <c r="R46" s="17" t="n"/>
      <c r="S46" s="17" t="n"/>
      <c r="T46" s="17" t="n"/>
      <c r="U46" s="17" t="n"/>
      <c r="V46" s="17" t="n"/>
      <c r="W46" s="17" t="n"/>
      <c r="X46" s="17" t="n"/>
      <c r="Y46" s="17" t="n"/>
    </row>
    <row r="47" ht="18.75" customHeight="1">
      <c r="A47" s="265" t="inlineStr">
        <is>
          <t>1. Preencha todos os campos possíveis</t>
        </is>
      </c>
      <c r="B47" s="21" t="n"/>
      <c r="C47" s="21" t="n"/>
      <c r="D47" s="21" t="n"/>
      <c r="E47" s="21" t="n"/>
      <c r="F47" s="17" t="n"/>
      <c r="G47" s="18" t="n"/>
      <c r="H47" s="17" t="n"/>
      <c r="I47" s="17" t="n"/>
      <c r="J47" s="17" t="n"/>
      <c r="K47" s="17" t="n"/>
      <c r="L47" s="17" t="n"/>
      <c r="M47" s="17" t="n"/>
      <c r="N47" s="17" t="n"/>
      <c r="O47" s="17" t="n"/>
      <c r="P47" s="17" t="n"/>
      <c r="Q47" s="17" t="n"/>
      <c r="R47" s="17" t="n"/>
      <c r="S47" s="17" t="n"/>
      <c r="T47" s="17" t="n"/>
      <c r="U47" s="17" t="n"/>
      <c r="V47" s="17" t="n"/>
      <c r="W47" s="17" t="n"/>
      <c r="X47" s="17" t="n"/>
      <c r="Y47" s="17" t="n"/>
    </row>
    <row r="48">
      <c r="A48" s="17" t="n"/>
      <c r="B48" s="17" t="n"/>
      <c r="C48" s="17" t="n"/>
      <c r="D48" s="17" t="n"/>
      <c r="E48" s="17" t="n"/>
      <c r="F48" s="17" t="n"/>
      <c r="G48" s="18" t="n"/>
      <c r="H48" s="17" t="n"/>
      <c r="I48" s="17" t="n"/>
      <c r="J48" s="17" t="n"/>
      <c r="K48" s="17" t="n"/>
      <c r="L48" s="17" t="n"/>
      <c r="M48" s="17" t="n"/>
      <c r="N48" s="17" t="n"/>
      <c r="O48" s="17" t="n"/>
      <c r="P48" s="17" t="n"/>
      <c r="Q48" s="17" t="n"/>
      <c r="R48" s="17" t="n"/>
      <c r="S48" s="17" t="n"/>
      <c r="T48" s="17" t="n"/>
      <c r="U48" s="17" t="n"/>
      <c r="V48" s="17" t="n"/>
      <c r="W48" s="17" t="n"/>
      <c r="X48" s="17" t="n"/>
      <c r="Y48" s="17" t="n"/>
    </row>
    <row r="49">
      <c r="A49" s="17" t="inlineStr">
        <is>
          <t>Os campos da Planilha-Mãe devem ser preenchidos sempre que houver a informação.</t>
        </is>
      </c>
      <c r="B49" s="17" t="n"/>
      <c r="C49" s="17" t="n"/>
      <c r="D49" s="17" t="n"/>
      <c r="E49" s="17" t="n"/>
      <c r="F49" s="17" t="n"/>
      <c r="G49" s="18" t="n"/>
      <c r="H49" s="17" t="n"/>
      <c r="I49" s="17" t="n"/>
      <c r="J49" s="17" t="n"/>
      <c r="K49" s="17" t="n"/>
      <c r="L49" s="17" t="n"/>
      <c r="M49" s="17" t="n"/>
      <c r="N49" s="17" t="n"/>
      <c r="O49" s="17" t="n"/>
      <c r="P49" s="17" t="n"/>
      <c r="Q49" s="17" t="n"/>
      <c r="R49" s="17" t="n"/>
      <c r="S49" s="17" t="n"/>
      <c r="T49" s="17" t="n"/>
      <c r="U49" s="17" t="n"/>
      <c r="V49" s="17" t="n"/>
      <c r="W49" s="17" t="n"/>
      <c r="X49" s="17" t="n"/>
      <c r="Y49" s="17" t="n"/>
    </row>
    <row r="50">
      <c r="A50" s="17" t="n"/>
      <c r="B50" s="17" t="n"/>
      <c r="C50" s="17" t="n"/>
      <c r="D50" s="17" t="n"/>
      <c r="E50" s="17" t="n"/>
      <c r="F50" s="17" t="n"/>
      <c r="G50" s="18" t="n"/>
      <c r="H50" s="17" t="n"/>
      <c r="I50" s="17" t="n"/>
      <c r="J50" s="17" t="n"/>
      <c r="K50" s="17" t="n"/>
      <c r="L50" s="17" t="n"/>
      <c r="M50" s="17" t="n"/>
      <c r="N50" s="17" t="n"/>
      <c r="O50" s="17" t="n"/>
      <c r="P50" s="17" t="n"/>
      <c r="Q50" s="17" t="n"/>
      <c r="R50" s="17" t="n"/>
      <c r="S50" s="17" t="n"/>
      <c r="T50" s="17" t="n"/>
      <c r="U50" s="17" t="n"/>
      <c r="V50" s="17" t="n"/>
      <c r="W50" s="17" t="n"/>
      <c r="X50" s="17" t="n"/>
      <c r="Y50" s="17" t="n"/>
    </row>
    <row r="51" ht="18.75" customHeight="1">
      <c r="A51" s="265" t="inlineStr">
        <is>
          <t>2. Evite deixar campos em branco</t>
        </is>
      </c>
      <c r="B51" s="21" t="n"/>
      <c r="C51" s="21" t="n"/>
      <c r="D51" s="21" t="n"/>
      <c r="E51" s="21" t="n"/>
      <c r="F51" s="17" t="n"/>
      <c r="G51" s="18" t="n"/>
      <c r="H51" s="17" t="n"/>
      <c r="I51" s="17" t="n"/>
      <c r="J51" s="17" t="n"/>
      <c r="K51" s="17" t="n"/>
      <c r="L51" s="17" t="n"/>
      <c r="M51" s="17" t="n"/>
      <c r="N51" s="17" t="n"/>
      <c r="O51" s="17" t="n"/>
      <c r="P51" s="17" t="n"/>
      <c r="Q51" s="17" t="n"/>
      <c r="R51" s="17" t="n"/>
      <c r="S51" s="17" t="n"/>
      <c r="T51" s="17" t="n"/>
      <c r="U51" s="17" t="n"/>
      <c r="V51" s="17" t="n"/>
      <c r="W51" s="17" t="n"/>
      <c r="X51" s="17" t="n"/>
      <c r="Y51" s="17" t="n"/>
    </row>
    <row r="52">
      <c r="A52" s="17" t="n"/>
      <c r="B52" s="17" t="n"/>
      <c r="C52" s="17" t="n"/>
      <c r="D52" s="17" t="n"/>
      <c r="E52" s="17" t="n"/>
      <c r="F52" s="17" t="n"/>
      <c r="G52" s="18" t="n"/>
      <c r="H52" s="17" t="n"/>
      <c r="I52" s="17" t="n"/>
      <c r="J52" s="17" t="n"/>
      <c r="K52" s="17" t="n"/>
      <c r="L52" s="17" t="n"/>
      <c r="M52" s="17" t="n"/>
      <c r="N52" s="17" t="n"/>
      <c r="O52" s="17" t="n"/>
      <c r="P52" s="17" t="n"/>
      <c r="Q52" s="17" t="n"/>
      <c r="R52" s="17" t="n"/>
      <c r="S52" s="17" t="n"/>
      <c r="T52" s="17" t="n"/>
      <c r="U52" s="17" t="n"/>
      <c r="V52" s="17" t="n"/>
      <c r="W52" s="17" t="n"/>
      <c r="X52" s="17" t="n"/>
      <c r="Y52" s="17" t="n"/>
    </row>
    <row r="53">
      <c r="A53" s="17" t="inlineStr">
        <is>
          <t>Quando um campo não se aplica ao seu instrumento/processo, preencha com:</t>
        </is>
      </c>
      <c r="B53" s="17" t="n"/>
      <c r="C53" s="17" t="n"/>
      <c r="D53" s="17" t="n"/>
      <c r="E53" s="17" t="n"/>
      <c r="F53" s="17" t="n"/>
      <c r="G53" s="18" t="n"/>
      <c r="H53" s="17" t="n"/>
      <c r="I53" s="17" t="n"/>
      <c r="J53" s="17" t="n"/>
      <c r="K53" s="17" t="n"/>
      <c r="L53" s="17" t="n"/>
      <c r="M53" s="17" t="n"/>
      <c r="N53" s="17" t="n"/>
      <c r="O53" s="17" t="n"/>
      <c r="P53" s="17" t="n"/>
      <c r="Q53" s="17" t="n"/>
      <c r="R53" s="17" t="n"/>
      <c r="S53" s="17" t="n"/>
      <c r="T53" s="17" t="n"/>
      <c r="U53" s="17" t="n"/>
      <c r="V53" s="17" t="n"/>
      <c r="W53" s="17" t="n"/>
      <c r="X53" s="17" t="n"/>
      <c r="Y53" s="17" t="n"/>
    </row>
    <row r="54">
      <c r="A54" s="17" t="n"/>
      <c r="B54" s="17" t="n"/>
      <c r="C54" s="17" t="n"/>
      <c r="D54" s="17" t="n"/>
      <c r="E54" s="17" t="n"/>
      <c r="F54" s="17" t="n"/>
      <c r="G54" s="18" t="n"/>
      <c r="H54" s="17" t="n"/>
      <c r="I54" s="17" t="n"/>
      <c r="J54" s="17" t="n"/>
      <c r="K54" s="17" t="n"/>
      <c r="L54" s="17" t="n"/>
      <c r="M54" s="17" t="n"/>
      <c r="N54" s="17" t="n"/>
      <c r="O54" s="17" t="n"/>
      <c r="P54" s="17" t="n"/>
      <c r="Q54" s="17" t="n"/>
      <c r="R54" s="17" t="n"/>
      <c r="S54" s="17" t="n"/>
      <c r="T54" s="17" t="n"/>
      <c r="U54" s="17" t="n"/>
      <c r="V54" s="17" t="n"/>
      <c r="W54" s="17" t="n"/>
      <c r="X54" s="17" t="n"/>
      <c r="Y54" s="17" t="n"/>
    </row>
    <row r="55">
      <c r="A55" s="802" t="inlineStr">
        <is>
          <t>NA</t>
        </is>
      </c>
      <c r="B55" s="14" t="inlineStr">
        <is>
          <t>Não se aplica</t>
        </is>
      </c>
      <c r="C55" s="17" t="n"/>
      <c r="D55" s="17" t="n"/>
      <c r="E55" s="17" t="n"/>
      <c r="F55" s="17" t="n"/>
      <c r="G55" s="18" t="n"/>
      <c r="H55" s="17" t="n"/>
      <c r="I55" s="17" t="n"/>
      <c r="J55" s="17" t="n"/>
      <c r="K55" s="17" t="n"/>
      <c r="L55" s="17" t="n"/>
      <c r="M55" s="17" t="n"/>
      <c r="N55" s="17" t="n"/>
      <c r="O55" s="17" t="n"/>
      <c r="P55" s="17" t="n"/>
      <c r="Q55" s="17" t="n"/>
      <c r="R55" s="17" t="n"/>
      <c r="S55" s="17" t="n"/>
      <c r="T55" s="17" t="n"/>
      <c r="U55" s="17" t="n"/>
      <c r="V55" s="17" t="n"/>
      <c r="W55" s="17" t="n"/>
      <c r="X55" s="17" t="n"/>
      <c r="Y55" s="17" t="n"/>
    </row>
    <row r="56">
      <c r="A56" s="17" t="n"/>
      <c r="B56" s="17" t="n"/>
      <c r="C56" s="17" t="n"/>
      <c r="D56" s="17" t="n"/>
      <c r="E56" s="17" t="n"/>
      <c r="F56" s="17" t="n"/>
      <c r="G56" s="18" t="n"/>
      <c r="H56" s="17" t="n"/>
      <c r="I56" s="17" t="n"/>
      <c r="J56" s="17" t="n"/>
      <c r="K56" s="17" t="n"/>
      <c r="L56" s="17" t="n"/>
      <c r="M56" s="17" t="n"/>
      <c r="N56" s="17" t="n"/>
      <c r="O56" s="17" t="n"/>
      <c r="P56" s="17" t="n"/>
      <c r="Q56" s="17" t="n"/>
      <c r="R56" s="17" t="n"/>
      <c r="S56" s="17" t="n"/>
      <c r="T56" s="17" t="n"/>
      <c r="U56" s="17" t="n"/>
      <c r="V56" s="17" t="n"/>
      <c r="W56" s="17" t="n"/>
      <c r="X56" s="17" t="n"/>
      <c r="Y56" s="17" t="n"/>
    </row>
    <row r="57">
      <c r="A57" s="17" t="inlineStr">
        <is>
          <t>Quando a informação ainda não estiver disponível, preencha com:</t>
        </is>
      </c>
      <c r="B57" s="17" t="n"/>
      <c r="C57" s="17" t="n"/>
      <c r="D57" s="17" t="n"/>
      <c r="E57" s="17" t="n"/>
      <c r="F57" s="17" t="n"/>
      <c r="G57" s="18" t="n"/>
      <c r="H57" s="17" t="n"/>
      <c r="I57" s="17" t="n"/>
      <c r="J57" s="17" t="n"/>
      <c r="K57" s="17" t="n"/>
      <c r="L57" s="17" t="n"/>
      <c r="M57" s="17" t="n"/>
      <c r="N57" s="17" t="n"/>
      <c r="O57" s="17" t="n"/>
      <c r="P57" s="17" t="n"/>
      <c r="Q57" s="17" t="n"/>
      <c r="R57" s="17" t="n"/>
      <c r="S57" s="17" t="n"/>
      <c r="T57" s="17" t="n"/>
      <c r="U57" s="17" t="n"/>
      <c r="V57" s="17" t="n"/>
      <c r="W57" s="17" t="n"/>
      <c r="X57" s="17" t="n"/>
      <c r="Y57" s="17" t="n"/>
    </row>
    <row r="58">
      <c r="A58" s="17" t="n"/>
      <c r="B58" s="17" t="n"/>
      <c r="C58" s="17" t="n"/>
      <c r="D58" s="17" t="n"/>
      <c r="E58" s="17" t="n"/>
      <c r="F58" s="17" t="n"/>
      <c r="G58" s="18" t="n"/>
      <c r="H58" s="17" t="n"/>
      <c r="I58" s="17" t="n"/>
      <c r="J58" s="17" t="n"/>
      <c r="K58" s="17" t="n"/>
      <c r="L58" s="17" t="n"/>
      <c r="M58" s="17" t="n"/>
      <c r="N58" s="17" t="n"/>
      <c r="O58" s="17" t="n"/>
      <c r="P58" s="17" t="n"/>
      <c r="Q58" s="17" t="n"/>
      <c r="R58" s="17" t="n"/>
      <c r="S58" s="17" t="n"/>
      <c r="T58" s="17" t="n"/>
      <c r="U58" s="17" t="n"/>
      <c r="V58" s="17" t="n"/>
      <c r="W58" s="17" t="n"/>
      <c r="X58" s="17" t="n"/>
      <c r="Y58" s="17" t="n"/>
    </row>
    <row r="59">
      <c r="A59" s="802" t="inlineStr">
        <is>
          <t>NI</t>
        </is>
      </c>
      <c r="B59" s="14" t="inlineStr">
        <is>
          <t>Não informado</t>
        </is>
      </c>
      <c r="C59" s="17" t="n"/>
      <c r="D59" s="17" t="n"/>
      <c r="E59" s="17" t="n"/>
      <c r="F59" s="17" t="n"/>
      <c r="G59" s="18" t="n"/>
      <c r="H59" s="17" t="n"/>
      <c r="I59" s="17" t="n"/>
      <c r="J59" s="17" t="n"/>
      <c r="K59" s="17" t="n"/>
      <c r="L59" s="17" t="n"/>
      <c r="M59" s="17" t="n"/>
      <c r="N59" s="17" t="n"/>
      <c r="O59" s="17" t="n"/>
      <c r="P59" s="17" t="n"/>
      <c r="Q59" s="17" t="n"/>
      <c r="R59" s="17" t="n"/>
      <c r="S59" s="17" t="n"/>
      <c r="T59" s="17" t="n"/>
      <c r="U59" s="17" t="n"/>
      <c r="V59" s="17" t="n"/>
      <c r="W59" s="17" t="n"/>
      <c r="X59" s="17" t="n"/>
      <c r="Y59" s="17" t="n"/>
    </row>
    <row r="60">
      <c r="A60" s="17" t="n"/>
      <c r="B60" s="17" t="n"/>
      <c r="C60" s="17" t="n"/>
      <c r="D60" s="17" t="n"/>
      <c r="E60" s="17" t="n"/>
      <c r="F60" s="17" t="n"/>
      <c r="G60" s="18" t="n"/>
      <c r="H60" s="17" t="n"/>
      <c r="I60" s="17" t="n"/>
      <c r="J60" s="17" t="n"/>
      <c r="K60" s="17" t="n"/>
      <c r="L60" s="17" t="n"/>
      <c r="M60" s="17" t="n"/>
      <c r="N60" s="17" t="n"/>
      <c r="O60" s="17" t="n"/>
      <c r="P60" s="17" t="n"/>
      <c r="Q60" s="17" t="n"/>
      <c r="R60" s="17" t="n"/>
      <c r="S60" s="17" t="n"/>
      <c r="T60" s="17" t="n"/>
      <c r="U60" s="17" t="n"/>
      <c r="V60" s="17" t="n"/>
      <c r="W60" s="17" t="n"/>
      <c r="X60" s="17" t="n"/>
      <c r="Y60" s="17" t="n"/>
    </row>
    <row r="61">
      <c r="A61" s="17" t="inlineStr">
        <is>
          <t>Isso evita inconsistências e facilita a filtragem posterior dos dados.</t>
        </is>
      </c>
      <c r="B61" s="17" t="n"/>
      <c r="C61" s="17" t="n"/>
      <c r="D61" s="17" t="n"/>
      <c r="E61" s="17" t="n"/>
      <c r="F61" s="17" t="n"/>
      <c r="G61" s="18" t="n"/>
      <c r="H61" s="17" t="n"/>
      <c r="I61" s="17" t="n"/>
      <c r="J61" s="17" t="n"/>
      <c r="K61" s="17" t="n"/>
      <c r="L61" s="17" t="n"/>
      <c r="M61" s="17" t="n"/>
      <c r="N61" s="17" t="n"/>
      <c r="O61" s="17" t="n"/>
      <c r="P61" s="17" t="n"/>
      <c r="Q61" s="17" t="n"/>
      <c r="R61" s="17" t="n"/>
      <c r="S61" s="17" t="n"/>
      <c r="T61" s="17" t="n"/>
      <c r="U61" s="17" t="n"/>
      <c r="V61" s="17" t="n"/>
      <c r="W61" s="17" t="n"/>
      <c r="X61" s="17" t="n"/>
      <c r="Y61" s="17" t="n"/>
    </row>
    <row r="62">
      <c r="A62" s="17" t="n"/>
      <c r="B62" s="17" t="n"/>
      <c r="C62" s="17" t="n"/>
      <c r="D62" s="17" t="n"/>
      <c r="E62" s="17" t="n"/>
      <c r="F62" s="17" t="n"/>
      <c r="G62" s="18" t="n"/>
      <c r="H62" s="17" t="n"/>
      <c r="I62" s="17" t="n"/>
      <c r="J62" s="17" t="n"/>
      <c r="K62" s="17" t="n"/>
      <c r="L62" s="17" t="n"/>
      <c r="M62" s="17" t="n"/>
      <c r="N62" s="17" t="n"/>
      <c r="O62" s="17" t="n"/>
      <c r="P62" s="17" t="n"/>
      <c r="Q62" s="17" t="n"/>
      <c r="R62" s="17" t="n"/>
      <c r="S62" s="17" t="n"/>
      <c r="T62" s="17" t="n"/>
      <c r="U62" s="17" t="n"/>
      <c r="V62" s="17" t="n"/>
      <c r="W62" s="17" t="n"/>
      <c r="X62" s="17" t="n"/>
      <c r="Y62" s="17" t="n"/>
    </row>
    <row r="63" ht="18.75" customHeight="1">
      <c r="A63" s="265" t="inlineStr">
        <is>
          <t>3. Não mesclar células</t>
        </is>
      </c>
      <c r="B63" s="17" t="n"/>
      <c r="C63" s="17" t="n"/>
      <c r="D63" s="17" t="n"/>
      <c r="E63" s="17" t="n"/>
      <c r="F63" s="17" t="n"/>
      <c r="G63" s="18" t="n"/>
      <c r="H63" s="17" t="n"/>
      <c r="I63" s="17" t="n"/>
      <c r="J63" s="17" t="n"/>
      <c r="K63" s="17" t="n"/>
      <c r="L63" s="17" t="n"/>
      <c r="M63" s="17" t="n"/>
      <c r="N63" s="17" t="n"/>
      <c r="O63" s="17" t="n"/>
      <c r="P63" s="17" t="n"/>
      <c r="Q63" s="17" t="n"/>
      <c r="R63" s="17" t="n"/>
      <c r="S63" s="17" t="n"/>
      <c r="T63" s="17" t="n"/>
      <c r="U63" s="17" t="n"/>
      <c r="V63" s="17" t="n"/>
      <c r="W63" s="17" t="n"/>
      <c r="X63" s="17" t="n"/>
      <c r="Y63" s="17" t="n"/>
    </row>
    <row r="64">
      <c r="A64" s="17" t="n"/>
      <c r="B64" s="17" t="n"/>
      <c r="C64" s="17" t="n"/>
      <c r="D64" s="17" t="n"/>
      <c r="E64" s="17" t="n"/>
      <c r="F64" s="17" t="n"/>
      <c r="G64" s="18" t="n"/>
      <c r="H64" s="17" t="n"/>
      <c r="I64" s="17" t="n"/>
      <c r="J64" s="17" t="n"/>
      <c r="K64" s="17" t="n"/>
      <c r="L64" s="17" t="n"/>
      <c r="M64" s="17" t="n"/>
      <c r="N64" s="17" t="n"/>
      <c r="O64" s="17" t="n"/>
      <c r="P64" s="17" t="n"/>
      <c r="Q64" s="17" t="n"/>
      <c r="R64" s="17" t="n"/>
      <c r="S64" s="17" t="n"/>
      <c r="T64" s="17" t="n"/>
      <c r="U64" s="17" t="n"/>
      <c r="V64" s="17" t="n"/>
      <c r="W64" s="17" t="n"/>
      <c r="X64" s="17" t="n"/>
      <c r="Y64" s="17" t="n"/>
    </row>
    <row r="65">
      <c r="A65" s="17" t="n"/>
      <c r="B65" s="17" t="n"/>
      <c r="C65" s="17" t="n"/>
      <c r="D65" s="17" t="n"/>
      <c r="E65" s="17" t="n"/>
      <c r="F65" s="17" t="n"/>
      <c r="G65" s="18" t="n"/>
      <c r="H65" s="17" t="n"/>
      <c r="I65" s="17" t="n"/>
      <c r="J65" s="17" t="n"/>
      <c r="K65" s="17" t="n"/>
      <c r="L65" s="17" t="n"/>
      <c r="M65" s="17" t="n"/>
      <c r="N65" s="17" t="n"/>
      <c r="O65" s="17" t="n"/>
      <c r="P65" s="17" t="n"/>
      <c r="Q65" s="17" t="n"/>
      <c r="R65" s="17" t="n"/>
      <c r="S65" s="17" t="n"/>
      <c r="T65" s="17" t="n"/>
      <c r="U65" s="17" t="n"/>
      <c r="V65" s="17" t="n"/>
      <c r="W65" s="17" t="n"/>
      <c r="X65" s="17" t="n"/>
      <c r="Y65" s="17" t="n"/>
      <c r="Z65" s="802" t="n"/>
    </row>
    <row r="66" ht="18.75" customHeight="1">
      <c r="A66" s="265" t="inlineStr">
        <is>
          <t>4. As Colunas Situação, Fase e Situação do Site são corelacionadas</t>
        </is>
      </c>
      <c r="B66" s="17" t="n"/>
      <c r="C66" s="17" t="n"/>
      <c r="D66" s="17" t="n"/>
      <c r="E66" s="17" t="n"/>
      <c r="F66" s="17" t="n"/>
      <c r="G66" s="18" t="n"/>
      <c r="H66" s="17" t="n"/>
      <c r="I66" s="17" t="n"/>
      <c r="J66" s="17" t="n"/>
      <c r="K66" s="17" t="n"/>
      <c r="L66" s="17" t="n"/>
      <c r="M66" s="17" t="n"/>
      <c r="N66" s="17" t="n"/>
      <c r="O66" s="17" t="n"/>
      <c r="P66" s="17" t="n"/>
      <c r="Q66" s="17" t="n"/>
      <c r="R66" s="17" t="n"/>
      <c r="S66" s="17" t="n"/>
      <c r="T66" s="17" t="n"/>
      <c r="U66" s="17" t="n"/>
      <c r="V66" s="17" t="n"/>
      <c r="W66" s="17" t="n"/>
      <c r="X66" s="17" t="n"/>
      <c r="Y66" s="17" t="n"/>
      <c r="Z66" s="802" t="n"/>
    </row>
    <row r="67">
      <c r="A67" s="17" t="n"/>
      <c r="B67" s="17" t="n"/>
      <c r="C67" s="17" t="n"/>
      <c r="D67" s="17" t="n"/>
      <c r="E67" s="17" t="n"/>
      <c r="F67" s="17" t="n"/>
      <c r="G67" s="18" t="n"/>
      <c r="H67" s="17" t="n"/>
      <c r="I67" s="17" t="n"/>
      <c r="J67" s="17" t="n"/>
      <c r="K67" s="17" t="n"/>
      <c r="L67" s="17" t="n"/>
      <c r="M67" s="17" t="n"/>
      <c r="N67" s="17" t="n"/>
      <c r="O67" s="17" t="n"/>
      <c r="P67" s="17" t="n"/>
      <c r="Q67" s="17" t="n"/>
      <c r="R67" s="17" t="n"/>
      <c r="S67" s="17" t="n"/>
      <c r="T67" s="17" t="n"/>
      <c r="U67" s="17" t="n"/>
      <c r="V67" s="17" t="n"/>
      <c r="W67" s="17" t="n"/>
      <c r="X67" s="17" t="n"/>
      <c r="Y67" s="17" t="n"/>
      <c r="Z67" s="802" t="n"/>
    </row>
    <row r="68">
      <c r="A68" s="17" t="n"/>
      <c r="B68" s="48" t="inlineStr">
        <is>
          <t>Situação</t>
        </is>
      </c>
      <c r="C68" s="49" t="inlineStr">
        <is>
          <t>Fase</t>
        </is>
      </c>
      <c r="D68" s="49" t="inlineStr">
        <is>
          <t>Situação do Site</t>
        </is>
      </c>
      <c r="E68" s="50" t="inlineStr">
        <is>
          <t>Execução Física (%)</t>
        </is>
      </c>
      <c r="F68" s="17" t="n"/>
      <c r="G68" s="803" t="n"/>
      <c r="H68" s="802" t="n"/>
      <c r="I68" s="802" t="n"/>
      <c r="J68" s="17" t="n"/>
      <c r="K68" s="802" t="n"/>
      <c r="L68" s="802" t="n"/>
      <c r="M68" s="802" t="n"/>
      <c r="N68" s="802" t="n"/>
      <c r="O68" s="802" t="n"/>
      <c r="P68" s="802" t="n"/>
      <c r="Q68" s="802" t="n"/>
      <c r="R68" s="802" t="n"/>
      <c r="S68" s="802" t="n"/>
      <c r="T68" s="802" t="n"/>
      <c r="U68" s="802" t="n"/>
      <c r="V68" s="802" t="n"/>
      <c r="W68" s="802" t="n"/>
      <c r="X68" s="802" t="n"/>
      <c r="Y68" s="802" t="n"/>
      <c r="Z68" s="802" t="n"/>
    </row>
    <row r="69">
      <c r="A69" s="17" t="n"/>
      <c r="B69" s="51" t="inlineStr">
        <is>
          <t>Concluído</t>
        </is>
      </c>
      <c r="C69" s="52" t="inlineStr">
        <is>
          <t>Concluído</t>
        </is>
      </c>
      <c r="D69" s="52" t="inlineStr">
        <is>
          <t>Concluído</t>
        </is>
      </c>
      <c r="E69" s="53" t="n">
        <v>1</v>
      </c>
      <c r="F69" s="17" t="inlineStr">
        <is>
          <t>Inaugurado e com Licença de operação emitida pela CNEN</t>
        </is>
      </c>
      <c r="G69" s="803" t="n"/>
      <c r="H69" s="802" t="n"/>
      <c r="I69" s="802" t="n"/>
      <c r="J69" s="17" t="n"/>
      <c r="K69" s="802" t="n"/>
      <c r="L69" s="802" t="n"/>
      <c r="M69" s="802" t="n"/>
      <c r="N69" s="802" t="n"/>
      <c r="O69" s="802" t="n"/>
      <c r="P69" s="802" t="n"/>
      <c r="Q69" s="802" t="n"/>
      <c r="R69" s="802" t="n"/>
      <c r="S69" s="802" t="n"/>
      <c r="T69" s="802" t="n"/>
      <c r="U69" s="802" t="n"/>
      <c r="V69" s="802" t="n"/>
      <c r="W69" s="802" t="n"/>
      <c r="X69" s="802" t="n"/>
      <c r="Y69" s="802" t="n"/>
      <c r="Z69" s="802" t="n"/>
    </row>
    <row r="70">
      <c r="A70" s="17" t="n"/>
      <c r="B70" s="51" t="inlineStr">
        <is>
          <t>Concluído</t>
        </is>
      </c>
      <c r="C70" s="52" t="inlineStr">
        <is>
          <t>Equipamento entregue</t>
        </is>
      </c>
      <c r="D70" s="52" t="inlineStr">
        <is>
          <t>Concluído</t>
        </is>
      </c>
      <c r="E70" s="53" t="n">
        <v>0.99</v>
      </c>
      <c r="F70" s="17" t="inlineStr">
        <is>
          <t>com licença de operação, aguardando inauguração</t>
        </is>
      </c>
      <c r="G70" s="803" t="n"/>
      <c r="H70" s="802" t="n"/>
      <c r="I70" s="802" t="n"/>
      <c r="J70" s="17" t="n"/>
      <c r="K70" s="802" t="n"/>
      <c r="L70" s="802" t="n"/>
      <c r="M70" s="802" t="n"/>
      <c r="N70" s="802" t="n"/>
      <c r="O70" s="802" t="n"/>
      <c r="P70" s="802" t="n"/>
      <c r="Q70" s="802" t="n"/>
      <c r="R70" s="802" t="n"/>
      <c r="S70" s="802" t="n"/>
      <c r="T70" s="802" t="n"/>
      <c r="U70" s="802" t="n"/>
      <c r="V70" s="802" t="n"/>
      <c r="W70" s="802" t="n"/>
      <c r="X70" s="802" t="n"/>
      <c r="Y70" s="802" t="n"/>
      <c r="Z70" s="802" t="n"/>
    </row>
    <row r="71">
      <c r="A71" s="17" t="n"/>
      <c r="B71" s="51" t="inlineStr">
        <is>
          <t>Concluído</t>
        </is>
      </c>
      <c r="C71" s="52" t="inlineStr">
        <is>
          <t>Comissionamento</t>
        </is>
      </c>
      <c r="D71" s="52" t="inlineStr">
        <is>
          <t>Concluído</t>
        </is>
      </c>
      <c r="E71" s="53" t="n">
        <v>0.95</v>
      </c>
      <c r="F71" s="17" t="inlineStr">
        <is>
          <t xml:space="preserve">equipamento no local, aguardando licença de operação </t>
        </is>
      </c>
      <c r="G71" s="803" t="n"/>
      <c r="H71" s="802" t="n"/>
      <c r="I71" s="802" t="n"/>
      <c r="J71" s="17" t="n"/>
      <c r="K71" s="802" t="n"/>
      <c r="L71" s="802" t="n"/>
      <c r="M71" s="802" t="n"/>
      <c r="N71" s="802" t="n"/>
      <c r="O71" s="802" t="n"/>
      <c r="P71" s="802" t="n"/>
      <c r="Q71" s="802" t="n"/>
      <c r="R71" s="802" t="n"/>
      <c r="S71" s="802" t="n"/>
      <c r="T71" s="802" t="n"/>
      <c r="U71" s="802" t="n"/>
      <c r="V71" s="802" t="n"/>
      <c r="W71" s="802" t="n"/>
      <c r="X71" s="802" t="n"/>
      <c r="Y71" s="802" t="n"/>
      <c r="Z71" s="802" t="n"/>
    </row>
    <row r="72">
      <c r="A72" s="17" t="n"/>
      <c r="B72" s="54" t="inlineStr">
        <is>
          <t>Em execução</t>
        </is>
      </c>
      <c r="C72" s="55" t="inlineStr">
        <is>
          <t>Em andamento</t>
        </is>
      </c>
      <c r="D72" s="55" t="inlineStr">
        <is>
          <t>Em execução</t>
        </is>
      </c>
      <c r="E72" s="53" t="n">
        <v>0.8</v>
      </c>
      <c r="F72" s="17" t="inlineStr">
        <is>
          <t>Invoice Emitido. Reforma iniciada.</t>
        </is>
      </c>
      <c r="G72" s="803" t="n"/>
      <c r="H72" s="802" t="n"/>
      <c r="I72" s="802" t="n"/>
      <c r="J72" s="17" t="n"/>
      <c r="K72" s="802" t="n"/>
      <c r="L72" s="802" t="n"/>
      <c r="M72" s="802" t="n"/>
      <c r="N72" s="802" t="n"/>
      <c r="O72" s="802" t="n"/>
      <c r="P72" s="802" t="n"/>
      <c r="Q72" s="802" t="n"/>
      <c r="R72" s="802" t="n"/>
      <c r="S72" s="802" t="n"/>
      <c r="T72" s="802" t="n"/>
      <c r="U72" s="802" t="n"/>
      <c r="V72" s="802" t="n"/>
      <c r="W72" s="802" t="n"/>
      <c r="X72" s="802" t="n"/>
      <c r="Y72" s="802" t="n"/>
      <c r="Z72" s="802" t="n"/>
    </row>
    <row r="73">
      <c r="A73" s="17" t="n"/>
      <c r="B73" s="62" t="inlineStr">
        <is>
          <t>Em execução</t>
        </is>
      </c>
      <c r="C73" s="61" t="inlineStr">
        <is>
          <t>Contratado</t>
        </is>
      </c>
      <c r="D73" s="61" t="inlineStr">
        <is>
          <t>Em execução</t>
        </is>
      </c>
      <c r="E73" s="53" t="n">
        <v>0.5</v>
      </c>
      <c r="F73" s="17" t="inlineStr">
        <is>
          <t>Invoice Emitido. Reforma não iniciada.</t>
        </is>
      </c>
      <c r="G73" s="803" t="n"/>
      <c r="H73" s="802" t="n"/>
      <c r="I73" s="802" t="n"/>
      <c r="J73" s="17" t="n"/>
      <c r="K73" s="802" t="n"/>
      <c r="L73" s="802" t="n"/>
      <c r="M73" s="802" t="n"/>
      <c r="N73" s="802" t="n"/>
      <c r="O73" s="802" t="n"/>
      <c r="P73" s="802" t="n"/>
      <c r="Q73" s="802" t="n"/>
      <c r="R73" s="802" t="n"/>
      <c r="S73" s="802" t="n"/>
      <c r="T73" s="802" t="n"/>
      <c r="U73" s="802" t="n"/>
      <c r="V73" s="802" t="n"/>
      <c r="W73" s="802" t="n"/>
      <c r="X73" s="802" t="n"/>
      <c r="Y73" s="802" t="n"/>
      <c r="Z73" s="802" t="n"/>
    </row>
    <row r="74">
      <c r="A74" s="17" t="n"/>
      <c r="B74" s="63" t="inlineStr">
        <is>
          <t>Em execução</t>
        </is>
      </c>
      <c r="C74" s="64" t="inlineStr">
        <is>
          <t>Equipamento em aquisição</t>
        </is>
      </c>
      <c r="D74" s="64" t="inlineStr">
        <is>
          <t>Em execução</t>
        </is>
      </c>
      <c r="E74" s="53" t="n">
        <v>0.3</v>
      </c>
      <c r="F74" s="56" t="inlineStr">
        <is>
          <t>Repasse feito para a entidade.</t>
        </is>
      </c>
      <c r="G74" s="803" t="n"/>
      <c r="H74" s="802" t="n"/>
      <c r="I74" s="802" t="n"/>
      <c r="J74" s="17" t="n"/>
      <c r="K74" s="802" t="n"/>
      <c r="L74" s="802" t="n"/>
      <c r="M74" s="802" t="n"/>
      <c r="N74" s="802" t="n"/>
      <c r="O74" s="802" t="n"/>
      <c r="P74" s="802" t="n"/>
      <c r="Q74" s="802" t="n"/>
      <c r="R74" s="802" t="n"/>
      <c r="S74" s="802" t="n"/>
      <c r="T74" s="802" t="n"/>
      <c r="U74" s="802" t="n"/>
      <c r="V74" s="802" t="n"/>
      <c r="W74" s="802" t="n"/>
      <c r="X74" s="802" t="n"/>
      <c r="Y74" s="802" t="n"/>
      <c r="Z74" s="802" t="n"/>
    </row>
    <row r="75">
      <c r="A75" s="17" t="n"/>
      <c r="B75" s="65" t="inlineStr">
        <is>
          <t>Em execução</t>
        </is>
      </c>
      <c r="C75" s="66" t="inlineStr">
        <is>
          <t>Aguardando repasse</t>
        </is>
      </c>
      <c r="D75" s="66" t="inlineStr">
        <is>
          <t>Em execução</t>
        </is>
      </c>
      <c r="E75" s="53" t="n">
        <v>0.2</v>
      </c>
      <c r="F75" s="57" t="inlineStr">
        <is>
          <t>Licitação homologada (Aceite). Ainda não tem repasse do FNS.</t>
        </is>
      </c>
      <c r="G75" s="802" t="n"/>
      <c r="H75" s="802" t="n"/>
      <c r="I75" s="802" t="n"/>
      <c r="J75" s="17" t="n"/>
      <c r="K75" s="802" t="n"/>
      <c r="L75" s="802" t="n"/>
      <c r="M75" s="802" t="n"/>
      <c r="N75" s="802" t="n"/>
      <c r="O75" s="802" t="n"/>
      <c r="P75" s="802" t="n"/>
      <c r="Q75" s="802" t="n"/>
      <c r="R75" s="802" t="n"/>
      <c r="S75" s="802" t="n"/>
      <c r="T75" s="802" t="n"/>
      <c r="U75" s="802" t="n"/>
      <c r="V75" s="802" t="n"/>
      <c r="W75" s="802" t="n"/>
      <c r="X75" s="802" t="n"/>
      <c r="Y75" s="802" t="n"/>
      <c r="Z75" s="802" t="n"/>
    </row>
    <row r="76">
      <c r="A76" s="17" t="n"/>
      <c r="B76" s="67" t="inlineStr">
        <is>
          <t>Em licitação</t>
        </is>
      </c>
      <c r="C76" s="68" t="inlineStr">
        <is>
          <t>Em licitação</t>
        </is>
      </c>
      <c r="D76" s="68" t="inlineStr">
        <is>
          <t>Em licitação / Leilão</t>
        </is>
      </c>
      <c r="E76" s="53" t="n">
        <v>0.1</v>
      </c>
      <c r="F76" s="56" t="inlineStr">
        <is>
          <t>instrumento formalizado, email da CFIN enviado, inicio do monitoramento, 90 dias para a entidade concluir cotação prévia</t>
        </is>
      </c>
      <c r="G76" s="802" t="n"/>
      <c r="H76" s="802" t="n"/>
      <c r="I76" s="802" t="n"/>
      <c r="J76" s="17" t="n"/>
      <c r="K76" s="802" t="n"/>
      <c r="L76" s="802" t="n"/>
      <c r="M76" s="802" t="n"/>
      <c r="N76" s="802" t="n"/>
      <c r="O76" s="802" t="n"/>
      <c r="P76" s="802" t="n"/>
      <c r="Q76" s="802" t="n"/>
      <c r="R76" s="802" t="n"/>
      <c r="S76" s="802" t="n"/>
      <c r="T76" s="802" t="n"/>
      <c r="U76" s="802" t="n"/>
      <c r="V76" s="802" t="n"/>
      <c r="W76" s="802" t="n"/>
      <c r="X76" s="802" t="n"/>
      <c r="Y76" s="802" t="n"/>
      <c r="Z76" s="802" t="n"/>
    </row>
    <row r="77">
      <c r="A77" s="17" t="n"/>
      <c r="B77" s="58" t="inlineStr">
        <is>
          <t>Não iniciado</t>
        </is>
      </c>
      <c r="C77" s="59" t="inlineStr">
        <is>
          <t>Não iniciado</t>
        </is>
      </c>
      <c r="D77" s="59" t="inlineStr">
        <is>
          <t>Em ação preparatória</t>
        </is>
      </c>
      <c r="E77" s="53" t="n">
        <v>0</v>
      </c>
      <c r="F77" s="24" t="inlineStr">
        <is>
          <t>não iniciado</t>
        </is>
      </c>
      <c r="G77" s="802" t="n"/>
      <c r="H77" s="802" t="n"/>
      <c r="I77" s="802" t="n"/>
      <c r="J77" s="17" t="n"/>
      <c r="K77" s="802" t="n"/>
      <c r="L77" s="802" t="n"/>
      <c r="M77" s="802" t="n"/>
      <c r="N77" s="802" t="n"/>
      <c r="O77" s="802" t="n"/>
      <c r="P77" s="802" t="n"/>
      <c r="Q77" s="802" t="n"/>
      <c r="R77" s="802" t="n"/>
      <c r="S77" s="802" t="n"/>
      <c r="T77" s="802" t="n"/>
      <c r="U77" s="802" t="n"/>
      <c r="V77" s="802" t="n"/>
      <c r="W77" s="802" t="n"/>
      <c r="X77" s="802" t="n"/>
      <c r="Y77" s="802" t="n"/>
      <c r="Z77" s="802" t="n"/>
    </row>
    <row r="78">
      <c r="A78" s="17" t="n"/>
      <c r="B78" s="802" t="n"/>
      <c r="C78" s="802" t="n"/>
      <c r="D78" s="802" t="n"/>
      <c r="E78" s="802" t="n"/>
      <c r="F78" s="802" t="n"/>
      <c r="G78" s="802" t="n"/>
      <c r="H78" s="802" t="n"/>
      <c r="I78" s="802" t="n"/>
      <c r="J78" s="17" t="n"/>
      <c r="K78" s="802" t="n"/>
      <c r="L78" s="802" t="n"/>
      <c r="M78" s="802" t="n"/>
      <c r="N78" s="802" t="n"/>
      <c r="O78" s="802" t="n"/>
      <c r="P78" s="802" t="n"/>
      <c r="Q78" s="802" t="n"/>
      <c r="R78" s="802" t="n"/>
      <c r="S78" s="802" t="n"/>
      <c r="T78" s="802" t="n"/>
      <c r="U78" s="802" t="n"/>
      <c r="V78" s="802" t="n"/>
      <c r="W78" s="802" t="n"/>
      <c r="X78" s="802" t="n"/>
      <c r="Y78" s="802" t="n"/>
      <c r="Z78" s="802" t="n"/>
    </row>
    <row r="79" ht="18.75" customHeight="1">
      <c r="A79" s="265" t="n"/>
      <c r="B79" s="802" t="n"/>
      <c r="C79" s="802" t="n"/>
      <c r="D79" s="802" t="n"/>
      <c r="E79" s="802" t="n"/>
      <c r="F79" s="802" t="n"/>
      <c r="G79" s="802" t="n"/>
      <c r="H79" s="802" t="n"/>
      <c r="I79" s="802" t="n"/>
      <c r="J79" s="17" t="n"/>
      <c r="K79" s="802" t="n"/>
      <c r="L79" s="802" t="n"/>
      <c r="M79" s="802" t="n"/>
      <c r="N79" s="802" t="n"/>
      <c r="O79" s="802" t="n"/>
      <c r="P79" s="802" t="n"/>
      <c r="Q79" s="802" t="n"/>
      <c r="R79" s="802" t="n"/>
      <c r="S79" s="802" t="n"/>
      <c r="T79" s="802" t="n"/>
      <c r="U79" s="802" t="n"/>
      <c r="V79" s="802" t="n"/>
      <c r="W79" s="802" t="n"/>
      <c r="X79" s="802" t="n"/>
      <c r="Y79" s="802" t="n"/>
      <c r="Z79" s="802" t="n"/>
    </row>
    <row r="80">
      <c r="A80" s="17" t="n"/>
      <c r="B80" s="17" t="n"/>
      <c r="C80" s="17" t="n"/>
      <c r="D80" s="17" t="n"/>
      <c r="E80" s="17" t="n"/>
      <c r="F80" s="17" t="n"/>
      <c r="G80" s="18" t="n"/>
      <c r="H80" s="17" t="n"/>
      <c r="I80" s="17" t="n"/>
      <c r="J80" s="17" t="n"/>
      <c r="K80" s="17" t="n"/>
      <c r="L80" s="17" t="n"/>
      <c r="M80" s="17" t="n"/>
      <c r="N80" s="17" t="n"/>
      <c r="O80" s="17" t="n"/>
      <c r="P80" s="17" t="n"/>
      <c r="Q80" s="17" t="n"/>
      <c r="R80" s="17" t="n"/>
      <c r="S80" s="17" t="n"/>
      <c r="T80" s="17" t="n"/>
      <c r="U80" s="17" t="n"/>
      <c r="V80" s="17" t="n"/>
      <c r="W80" s="17" t="n"/>
      <c r="X80" s="17" t="n"/>
      <c r="Y80" s="17" t="n"/>
      <c r="Z80" s="802" t="n"/>
    </row>
    <row r="81" ht="23.25" customHeight="1">
      <c r="A81" s="20" t="inlineStr">
        <is>
          <t>🧠 RESPONSABILIDADE E ACOMPANHAMENTO</t>
        </is>
      </c>
      <c r="B81" s="20" t="n"/>
      <c r="C81" s="20" t="n"/>
      <c r="D81" s="20" t="n"/>
      <c r="E81" s="20" t="n"/>
      <c r="F81" s="20" t="n"/>
      <c r="G81" s="22" t="n"/>
      <c r="H81" s="20" t="n"/>
      <c r="I81" s="17" t="n"/>
      <c r="J81" s="17" t="n"/>
      <c r="K81" s="17" t="n"/>
      <c r="L81" s="17" t="n"/>
      <c r="M81" s="17" t="n"/>
      <c r="N81" s="17" t="n"/>
      <c r="O81" s="17" t="n"/>
      <c r="P81" s="17" t="n"/>
      <c r="Q81" s="17" t="n"/>
      <c r="R81" s="17" t="n"/>
      <c r="S81" s="17" t="n"/>
      <c r="T81" s="17" t="n"/>
      <c r="U81" s="17" t="n"/>
      <c r="V81" s="17" t="n"/>
      <c r="W81" s="17" t="n"/>
      <c r="X81" s="17" t="n"/>
      <c r="Y81" s="17" t="n"/>
      <c r="Z81" s="802" t="n"/>
    </row>
    <row r="82">
      <c r="A82" s="17" t="n"/>
      <c r="B82" s="17" t="n"/>
      <c r="C82" s="17" t="n"/>
      <c r="D82" s="17" t="n"/>
      <c r="E82" s="17" t="n"/>
      <c r="F82" s="17" t="n"/>
      <c r="G82" s="18" t="n"/>
      <c r="H82" s="17" t="n"/>
      <c r="I82" s="17" t="n"/>
      <c r="J82" s="17" t="n"/>
      <c r="K82" s="17" t="n"/>
      <c r="L82" s="17" t="n"/>
      <c r="M82" s="17" t="n"/>
      <c r="N82" s="17" t="n"/>
      <c r="O82" s="17" t="n"/>
      <c r="P82" s="17" t="n"/>
      <c r="Q82" s="17" t="n"/>
      <c r="R82" s="17" t="n"/>
      <c r="S82" s="17" t="n"/>
      <c r="T82" s="17" t="n"/>
      <c r="U82" s="17" t="n"/>
      <c r="V82" s="17" t="n"/>
      <c r="W82" s="17" t="n"/>
      <c r="X82" s="17" t="n"/>
      <c r="Y82" s="17" t="n"/>
      <c r="Z82" s="802" t="n"/>
    </row>
    <row r="83">
      <c r="A83" s="19" t="inlineStr">
        <is>
          <t>Sugere-se que cada time designe uma pessoa responsável pela:</t>
        </is>
      </c>
      <c r="B83" s="19" t="n"/>
      <c r="C83" s="19" t="n"/>
      <c r="D83" s="19" t="n"/>
      <c r="E83" s="19" t="n"/>
      <c r="F83" s="19" t="n"/>
      <c r="G83" s="23" t="n"/>
      <c r="H83" s="17" t="n"/>
      <c r="I83" s="17" t="n"/>
      <c r="J83" s="17" t="n"/>
      <c r="K83" s="17" t="n"/>
      <c r="L83" s="17" t="n"/>
      <c r="M83" s="17" t="n"/>
      <c r="N83" s="17" t="n"/>
      <c r="O83" s="17" t="n"/>
      <c r="P83" s="17" t="n"/>
      <c r="Q83" s="17" t="n"/>
      <c r="R83" s="17" t="n"/>
      <c r="S83" s="17" t="n"/>
      <c r="T83" s="17" t="n"/>
      <c r="U83" s="17" t="n"/>
      <c r="V83" s="17" t="n"/>
      <c r="W83" s="17" t="n"/>
      <c r="X83" s="17" t="n"/>
      <c r="Y83" s="17" t="n"/>
      <c r="Z83" s="802" t="n"/>
    </row>
    <row r="84">
      <c r="A84" s="17" t="n"/>
      <c r="B84" s="17" t="n"/>
      <c r="C84" s="17" t="n"/>
      <c r="D84" s="17" t="n"/>
      <c r="E84" s="17" t="n"/>
      <c r="F84" s="17" t="n"/>
      <c r="G84" s="18" t="n"/>
      <c r="H84" s="17" t="n"/>
      <c r="I84" s="17" t="n"/>
      <c r="J84" s="17" t="n"/>
      <c r="K84" s="17" t="n"/>
      <c r="L84" s="17" t="n"/>
      <c r="M84" s="17" t="n"/>
      <c r="N84" s="17" t="n"/>
      <c r="O84" s="17" t="n"/>
      <c r="P84" s="17" t="n"/>
      <c r="Q84" s="17" t="n"/>
      <c r="R84" s="17" t="n"/>
      <c r="S84" s="17" t="n"/>
      <c r="T84" s="17" t="n"/>
      <c r="U84" s="17" t="n"/>
      <c r="V84" s="17" t="n"/>
      <c r="W84" s="17" t="n"/>
      <c r="X84" s="17" t="n"/>
      <c r="Y84" s="17" t="n"/>
      <c r="Z84" s="802" t="n"/>
    </row>
    <row r="85">
      <c r="A85" s="17" t="inlineStr">
        <is>
          <t>Verificação do preenchimento correto e padronizado da sua planilha auxiliar.</t>
        </is>
      </c>
      <c r="B85" s="17" t="n"/>
      <c r="C85" s="17" t="n"/>
      <c r="D85" s="17" t="n"/>
      <c r="E85" s="17" t="n"/>
      <c r="F85" s="17" t="n"/>
      <c r="G85" s="18" t="n"/>
      <c r="H85" s="17" t="n"/>
      <c r="I85" s="17" t="n"/>
      <c r="J85" s="17" t="n"/>
      <c r="K85" s="17" t="n"/>
      <c r="L85" s="17" t="n"/>
      <c r="M85" s="17" t="n"/>
      <c r="N85" s="17" t="n"/>
      <c r="O85" s="17" t="n"/>
      <c r="P85" s="17" t="n"/>
      <c r="Q85" s="17" t="n"/>
      <c r="R85" s="17" t="n"/>
      <c r="S85" s="17" t="n"/>
      <c r="T85" s="17" t="n"/>
      <c r="U85" s="17" t="n"/>
      <c r="V85" s="17" t="n"/>
      <c r="W85" s="17" t="n"/>
      <c r="X85" s="17" t="n"/>
      <c r="Y85" s="17" t="n"/>
      <c r="Z85" s="802" t="n"/>
    </row>
    <row r="86">
      <c r="A86" s="17" t="n"/>
      <c r="B86" s="17" t="n"/>
      <c r="C86" s="17" t="n"/>
      <c r="D86" s="17" t="n"/>
      <c r="E86" s="17" t="n"/>
      <c r="F86" s="17" t="n"/>
      <c r="G86" s="18" t="n"/>
      <c r="H86" s="17" t="n"/>
      <c r="I86" s="17" t="n"/>
      <c r="J86" s="17" t="n"/>
      <c r="K86" s="17" t="n"/>
      <c r="L86" s="17" t="n"/>
      <c r="M86" s="17" t="n"/>
      <c r="N86" s="17" t="n"/>
      <c r="O86" s="17" t="n"/>
      <c r="P86" s="17" t="n"/>
      <c r="Q86" s="17" t="n"/>
      <c r="R86" s="17" t="n"/>
      <c r="S86" s="17" t="n"/>
      <c r="T86" s="17" t="n"/>
      <c r="U86" s="17" t="n"/>
      <c r="V86" s="17" t="n"/>
      <c r="W86" s="17" t="n"/>
      <c r="X86" s="17" t="n"/>
      <c r="Y86" s="17" t="n"/>
      <c r="Z86" s="802" t="n"/>
    </row>
    <row r="87">
      <c r="A87" s="17" t="inlineStr">
        <is>
          <t>Atualização quinzenal das informações.</t>
        </is>
      </c>
      <c r="B87" s="17" t="n"/>
      <c r="C87" s="17" t="n"/>
      <c r="D87" s="17" t="n"/>
      <c r="E87" s="17" t="n"/>
      <c r="F87" s="17" t="n"/>
      <c r="G87" s="18" t="n"/>
      <c r="H87" s="17" t="n"/>
      <c r="I87" s="17" t="n"/>
      <c r="K87" s="17" t="n"/>
      <c r="L87" s="17" t="n"/>
      <c r="M87" s="17" t="n"/>
      <c r="N87" s="17" t="n"/>
      <c r="O87" s="17" t="n"/>
      <c r="P87" s="17" t="n"/>
      <c r="Q87" s="17" t="n"/>
      <c r="R87" s="17" t="n"/>
      <c r="S87" s="17" t="n"/>
      <c r="T87" s="17" t="n"/>
      <c r="U87" s="17" t="n"/>
      <c r="V87" s="17" t="n"/>
      <c r="W87" s="17" t="n"/>
      <c r="X87" s="17" t="n"/>
      <c r="Y87" s="17" t="n"/>
      <c r="Z87" s="802" t="n"/>
    </row>
    <row r="88">
      <c r="A88" s="17" t="n"/>
      <c r="B88" s="17" t="n"/>
      <c r="C88" s="17" t="n"/>
      <c r="D88" s="17" t="n"/>
      <c r="E88" s="17" t="n"/>
      <c r="F88" s="17" t="n"/>
      <c r="G88" s="18" t="n"/>
      <c r="H88" s="17" t="n"/>
      <c r="I88" s="17" t="n"/>
      <c r="J88" s="17" t="n"/>
      <c r="K88" s="17" t="n"/>
      <c r="L88" s="17" t="n"/>
      <c r="M88" s="17" t="n"/>
      <c r="N88" s="17" t="n"/>
      <c r="O88" s="17" t="n"/>
      <c r="P88" s="17" t="n"/>
      <c r="Q88" s="17" t="n"/>
      <c r="R88" s="17" t="n"/>
      <c r="S88" s="17" t="n"/>
      <c r="T88" s="17" t="n"/>
      <c r="U88" s="17" t="n"/>
      <c r="V88" s="17" t="n"/>
      <c r="W88" s="17" t="n"/>
      <c r="X88" s="17" t="n"/>
      <c r="Y88" s="17" t="n"/>
      <c r="Z88" s="802" t="n"/>
    </row>
    <row r="89">
      <c r="A89" s="17" t="inlineStr">
        <is>
          <t>A atualização dos dados será feita a cada 15 dias, por meio de novas versões das planilhas.</t>
        </is>
      </c>
      <c r="B89" s="17" t="n"/>
      <c r="C89" s="17" t="n"/>
      <c r="D89" s="17" t="n"/>
      <c r="E89" s="17" t="n"/>
      <c r="F89" s="17" t="n"/>
      <c r="G89" s="18" t="n"/>
      <c r="H89" s="17" t="n"/>
      <c r="I89" s="17" t="n"/>
      <c r="J89" s="17" t="n"/>
      <c r="K89" s="17" t="n"/>
      <c r="L89" s="17" t="n"/>
      <c r="M89" s="17" t="n"/>
      <c r="N89" s="17" t="n"/>
      <c r="O89" s="17" t="n"/>
      <c r="P89" s="17" t="n"/>
      <c r="Q89" s="17" t="n"/>
      <c r="R89" s="17" t="n"/>
      <c r="S89" s="17" t="n"/>
      <c r="T89" s="17" t="n"/>
      <c r="U89" s="17" t="n"/>
      <c r="V89" s="17" t="n"/>
      <c r="W89" s="17" t="n"/>
      <c r="X89" s="17" t="n"/>
      <c r="Y89" s="17" t="n"/>
      <c r="Z89" s="802" t="n"/>
    </row>
    <row r="90">
      <c r="A90" s="17" t="n"/>
      <c r="B90" s="17" t="n"/>
      <c r="C90" s="17" t="n"/>
      <c r="D90" s="17" t="n"/>
      <c r="E90" s="17" t="n"/>
      <c r="F90" s="17" t="n"/>
      <c r="G90" s="18" t="n"/>
      <c r="H90" s="17" t="n"/>
      <c r="I90" s="17" t="n"/>
      <c r="J90" s="17" t="n"/>
      <c r="K90" s="17" t="n"/>
      <c r="L90" s="17" t="n"/>
      <c r="M90" s="17" t="n"/>
      <c r="N90" s="17" t="n"/>
      <c r="O90" s="17" t="n"/>
      <c r="P90" s="17" t="n"/>
      <c r="Q90" s="17" t="n"/>
      <c r="R90" s="17" t="n"/>
      <c r="S90" s="17" t="n"/>
      <c r="T90" s="17" t="n"/>
      <c r="U90" s="17" t="n"/>
      <c r="V90" s="17" t="n"/>
      <c r="W90" s="17" t="n"/>
      <c r="X90" s="17" t="n"/>
      <c r="Y90" s="17" t="n"/>
      <c r="Z90" s="802" t="n"/>
    </row>
    <row r="91" ht="18" customHeight="1">
      <c r="A91" s="21" t="inlineStr">
        <is>
          <t>👥 Divisão de tarefas</t>
        </is>
      </c>
      <c r="B91" s="21" t="n"/>
      <c r="C91" s="21" t="n"/>
      <c r="D91" s="17" t="n"/>
      <c r="E91" s="17" t="n"/>
      <c r="F91" s="17" t="n"/>
      <c r="G91" s="18" t="n"/>
      <c r="H91" s="17" t="n"/>
      <c r="I91" s="17" t="n"/>
      <c r="J91" s="17" t="n"/>
      <c r="K91" s="17" t="n"/>
      <c r="L91" s="17" t="n"/>
      <c r="M91" s="17" t="n"/>
      <c r="N91" s="17" t="n"/>
      <c r="O91" s="17" t="n"/>
      <c r="P91" s="17" t="n"/>
      <c r="Q91" s="17" t="n"/>
      <c r="R91" s="17" t="n"/>
      <c r="S91" s="17" t="n"/>
      <c r="T91" s="17" t="n"/>
      <c r="U91" s="17" t="n"/>
      <c r="V91" s="17" t="n"/>
      <c r="W91" s="17" t="n"/>
      <c r="X91" s="17" t="n"/>
      <c r="Y91" s="17" t="n"/>
      <c r="Z91" s="802" t="n"/>
    </row>
    <row r="92">
      <c r="A92" s="17" t="n"/>
      <c r="B92" s="17" t="n"/>
      <c r="C92" s="17" t="n"/>
      <c r="D92" s="17" t="n"/>
      <c r="E92" s="17" t="n"/>
      <c r="F92" s="17" t="n"/>
      <c r="G92" s="18" t="n"/>
      <c r="H92" s="17" t="n"/>
      <c r="I92" s="17" t="n"/>
      <c r="J92" s="17" t="n"/>
      <c r="K92" s="17" t="n"/>
      <c r="L92" s="17" t="n"/>
      <c r="M92" s="17" t="n"/>
      <c r="N92" s="17" t="n"/>
      <c r="O92" s="17" t="n"/>
      <c r="P92" s="17" t="n"/>
      <c r="Q92" s="17" t="n"/>
      <c r="R92" s="17" t="n"/>
      <c r="S92" s="17" t="n"/>
      <c r="T92" s="17" t="n"/>
      <c r="U92" s="17" t="n"/>
      <c r="V92" s="17" t="n"/>
      <c r="W92" s="17" t="n"/>
      <c r="X92" s="17" t="n"/>
      <c r="Y92" s="17" t="n"/>
      <c r="Z92" s="802" t="n"/>
    </row>
    <row r="93">
      <c r="A93" s="17" t="inlineStr">
        <is>
          <t>Quando o volume de instrumentos for elevado, recomenda-se dividir os cadastros entre membros da equipe, para garantir agilidade e minimizar sobrecarga.</t>
        </is>
      </c>
      <c r="B93" s="17" t="n"/>
      <c r="C93" s="17" t="n"/>
      <c r="D93" s="17" t="n"/>
      <c r="E93" s="17" t="n"/>
      <c r="F93" s="17" t="n"/>
      <c r="G93" s="18" t="n"/>
      <c r="H93" s="17" t="n"/>
      <c r="I93" s="17" t="n"/>
      <c r="J93" s="17" t="n"/>
      <c r="K93" s="17" t="n"/>
      <c r="L93" s="17" t="n"/>
      <c r="M93" s="17" t="n"/>
      <c r="N93" s="17" t="n"/>
      <c r="O93" s="17" t="n"/>
      <c r="P93" s="17" t="n"/>
      <c r="Q93" s="17" t="n"/>
      <c r="R93" s="17" t="n"/>
      <c r="S93" s="17" t="n"/>
      <c r="T93" s="17" t="n"/>
      <c r="U93" s="17" t="n"/>
      <c r="V93" s="17" t="n"/>
      <c r="W93" s="17" t="n"/>
      <c r="X93" s="17" t="n"/>
      <c r="Y93" s="17" t="n"/>
      <c r="Z93" s="802" t="n"/>
    </row>
    <row r="94">
      <c r="A94" s="17" t="n"/>
      <c r="B94" s="17" t="n"/>
      <c r="C94" s="17" t="n"/>
      <c r="D94" s="17" t="n"/>
      <c r="E94" s="17" t="n"/>
      <c r="F94" s="17" t="n"/>
      <c r="G94" s="18" t="n"/>
      <c r="H94" s="17" t="n"/>
      <c r="I94" s="17" t="n"/>
      <c r="J94" s="17" t="n"/>
      <c r="K94" s="17" t="n"/>
      <c r="L94" s="17" t="n"/>
      <c r="M94" s="17" t="n"/>
      <c r="N94" s="17" t="n"/>
      <c r="O94" s="17" t="n"/>
      <c r="P94" s="17" t="n"/>
      <c r="Q94" s="17" t="n"/>
      <c r="R94" s="17" t="n"/>
      <c r="S94" s="17" t="n"/>
      <c r="T94" s="17" t="n"/>
      <c r="U94" s="17" t="n"/>
      <c r="V94" s="17" t="n"/>
      <c r="W94" s="17" t="n"/>
      <c r="X94" s="17" t="n"/>
      <c r="Y94" s="17" t="n"/>
      <c r="Z94" s="802" t="n"/>
    </row>
    <row r="95" ht="23.25" customHeight="1">
      <c r="A95" s="20" t="inlineStr">
        <is>
          <t>SUBMISSÃO E ATUALIZAÇÕES</t>
        </is>
      </c>
      <c r="B95" s="20" t="n"/>
      <c r="C95" s="20" t="n"/>
      <c r="D95" s="20" t="n"/>
      <c r="E95" s="20" t="n"/>
      <c r="F95" s="17" t="n"/>
      <c r="G95" s="18" t="n"/>
      <c r="H95" s="17" t="n"/>
      <c r="I95" s="17" t="n"/>
      <c r="J95" s="17" t="n"/>
      <c r="K95" s="17" t="n"/>
      <c r="L95" s="17" t="n"/>
      <c r="M95" s="17" t="n"/>
      <c r="N95" s="17" t="n"/>
      <c r="O95" s="17" t="n"/>
      <c r="P95" s="17" t="n"/>
      <c r="Q95" s="17" t="n"/>
      <c r="R95" s="17" t="n"/>
      <c r="S95" s="17" t="n"/>
      <c r="T95" s="17" t="n"/>
      <c r="U95" s="17" t="n"/>
      <c r="V95" s="17" t="n"/>
      <c r="W95" s="17" t="n"/>
      <c r="X95" s="17" t="n"/>
      <c r="Y95" s="17" t="n"/>
      <c r="Z95" s="802" t="n"/>
    </row>
    <row r="96">
      <c r="A96" s="17" t="n"/>
      <c r="B96" s="17" t="n"/>
      <c r="C96" s="17" t="n"/>
      <c r="D96" s="17" t="n"/>
      <c r="E96" s="17" t="n"/>
      <c r="F96" s="17" t="n"/>
      <c r="G96" s="18" t="n"/>
      <c r="H96" s="17" t="n"/>
      <c r="I96" s="17" t="n"/>
      <c r="J96" s="17" t="n"/>
      <c r="K96" s="17" t="n"/>
      <c r="L96" s="17" t="n"/>
      <c r="M96" s="17" t="n"/>
      <c r="N96" s="17" t="n"/>
      <c r="O96" s="17" t="n"/>
      <c r="P96" s="17" t="n"/>
      <c r="Q96" s="17" t="n"/>
      <c r="R96" s="17" t="n"/>
      <c r="S96" s="17" t="n"/>
      <c r="T96" s="17" t="n"/>
      <c r="U96" s="17" t="n"/>
      <c r="V96" s="17" t="n"/>
      <c r="W96" s="17" t="n"/>
      <c r="X96" s="17" t="n"/>
      <c r="Y96" s="17" t="n"/>
      <c r="Z96" s="802" t="n"/>
    </row>
    <row r="97">
      <c r="A97" s="17" t="inlineStr">
        <is>
          <t>A cada ciclo de 15 dias, uma nova versão das planilhas poderá ser gerada automaticamente com base nas auxiliares.</t>
        </is>
      </c>
      <c r="B97" s="17" t="n"/>
      <c r="C97" s="17" t="n"/>
      <c r="D97" s="17" t="n"/>
      <c r="E97" s="17" t="n"/>
      <c r="F97" s="17" t="n"/>
      <c r="G97" s="18" t="n"/>
      <c r="H97" s="17" t="n"/>
      <c r="I97" s="17" t="n"/>
      <c r="J97" s="17" t="n"/>
      <c r="K97" s="17" t="n"/>
      <c r="L97" s="17" t="n"/>
      <c r="M97" s="17" t="n"/>
      <c r="N97" s="17" t="n"/>
      <c r="O97" s="17" t="n"/>
      <c r="P97" s="17" t="n"/>
      <c r="Q97" s="17" t="n"/>
      <c r="R97" s="17" t="n"/>
      <c r="S97" s="17" t="n"/>
      <c r="T97" s="17" t="n"/>
      <c r="U97" s="17" t="n"/>
      <c r="V97" s="17" t="n"/>
      <c r="W97" s="17" t="n"/>
      <c r="X97" s="17" t="n"/>
      <c r="Y97" s="17" t="n"/>
      <c r="Z97" s="802" t="n"/>
    </row>
    <row r="98">
      <c r="A98" s="17" t="n"/>
      <c r="B98" s="17" t="n"/>
      <c r="C98" s="17" t="n"/>
      <c r="D98" s="17" t="n"/>
      <c r="E98" s="17" t="n"/>
      <c r="F98" s="17" t="n"/>
      <c r="G98" s="18" t="n"/>
      <c r="H98" s="17" t="n"/>
      <c r="I98" s="17" t="n"/>
      <c r="J98" s="17" t="n"/>
      <c r="K98" s="17" t="n"/>
      <c r="L98" s="17" t="n"/>
      <c r="M98" s="17" t="n"/>
      <c r="N98" s="17" t="n"/>
      <c r="O98" s="17" t="n"/>
      <c r="P98" s="17" t="n"/>
      <c r="Q98" s="17" t="n"/>
      <c r="R98" s="17" t="n"/>
      <c r="S98" s="17" t="n"/>
      <c r="T98" s="17" t="n"/>
      <c r="U98" s="17" t="n"/>
      <c r="V98" s="17" t="n"/>
      <c r="W98" s="17" t="n"/>
      <c r="X98" s="17" t="n"/>
      <c r="Y98" s="17" t="n"/>
      <c r="Z98" s="802" t="n"/>
    </row>
    <row r="99">
      <c r="A99" s="17" t="inlineStr">
        <is>
          <t>O sistema manterá memória histórica dos dados, portanto:</t>
        </is>
      </c>
      <c r="B99" s="17" t="n"/>
      <c r="C99" s="17" t="n"/>
      <c r="D99" s="17" t="n"/>
      <c r="E99" s="17" t="n"/>
      <c r="F99" s="17" t="n"/>
      <c r="G99" s="18" t="n"/>
      <c r="H99" s="17" t="n"/>
      <c r="I99" s="17" t="n"/>
      <c r="J99" s="17" t="n"/>
      <c r="K99" s="17" t="n"/>
      <c r="L99" s="17" t="n"/>
      <c r="M99" s="17" t="n"/>
      <c r="N99" s="17" t="n"/>
      <c r="O99" s="17" t="n"/>
      <c r="P99" s="17" t="n"/>
      <c r="Q99" s="17" t="n"/>
      <c r="R99" s="17" t="n"/>
      <c r="S99" s="17" t="n"/>
      <c r="T99" s="17" t="n"/>
      <c r="U99" s="17" t="n"/>
      <c r="V99" s="17" t="n"/>
      <c r="W99" s="17" t="n"/>
      <c r="X99" s="17" t="n"/>
      <c r="Y99" s="17" t="n"/>
      <c r="Z99" s="802" t="n"/>
    </row>
    <row r="100">
      <c r="A100" s="19" t="inlineStr">
        <is>
          <t>Evite excluir informações anteriores.</t>
        </is>
      </c>
      <c r="B100" s="19" t="n"/>
      <c r="C100" s="19" t="n"/>
      <c r="D100" s="19" t="n"/>
      <c r="E100" s="17" t="n"/>
      <c r="F100" s="17" t="n"/>
      <c r="G100" s="18" t="n"/>
      <c r="H100" s="17" t="n"/>
      <c r="I100" s="17" t="n"/>
      <c r="J100" s="17" t="n"/>
      <c r="K100" s="17" t="n"/>
      <c r="L100" s="17" t="n"/>
      <c r="M100" s="17" t="n"/>
      <c r="N100" s="17" t="n"/>
      <c r="O100" s="17" t="n"/>
      <c r="P100" s="17" t="n"/>
      <c r="Q100" s="17" t="n"/>
      <c r="R100" s="17" t="n"/>
      <c r="S100" s="17" t="n"/>
      <c r="T100" s="17" t="n"/>
      <c r="U100" s="17" t="n"/>
      <c r="V100" s="17" t="n"/>
      <c r="W100" s="17" t="n"/>
      <c r="X100" s="17" t="n"/>
      <c r="Y100" s="17" t="n"/>
      <c r="Z100" s="802" t="n"/>
    </row>
    <row r="101">
      <c r="A101" s="17" t="n"/>
      <c r="B101" s="17" t="n"/>
      <c r="C101" s="17" t="n"/>
      <c r="D101" s="17" t="n"/>
      <c r="E101" s="17" t="n"/>
      <c r="F101" s="17" t="n"/>
      <c r="G101" s="18" t="n"/>
      <c r="H101" s="17" t="n"/>
      <c r="I101" s="17" t="n"/>
      <c r="J101" s="17" t="n"/>
      <c r="K101" s="17" t="n"/>
      <c r="L101" s="17" t="n"/>
      <c r="M101" s="17" t="n"/>
      <c r="N101" s="17" t="n"/>
      <c r="O101" s="17" t="n"/>
      <c r="P101" s="17" t="n"/>
      <c r="Q101" s="17" t="n"/>
      <c r="R101" s="17" t="n"/>
      <c r="S101" s="17" t="n"/>
      <c r="T101" s="17" t="n"/>
      <c r="U101" s="17" t="n"/>
      <c r="V101" s="17" t="n"/>
      <c r="W101" s="17" t="n"/>
      <c r="X101" s="17" t="n"/>
      <c r="Y101" s="17" t="n"/>
      <c r="Z101" s="802" t="n"/>
    </row>
    <row r="102">
      <c r="A102" s="17" t="inlineStr">
        <is>
          <t>Se precisar editar um registro existente, utilize os identificadores corretos para manter a rastreabilidade.</t>
        </is>
      </c>
      <c r="B102" s="17" t="n"/>
      <c r="C102" s="17" t="n"/>
      <c r="D102" s="17" t="n"/>
      <c r="E102" s="17" t="n"/>
      <c r="F102" s="17" t="n"/>
      <c r="G102" s="18" t="n"/>
      <c r="H102" s="17" t="n"/>
      <c r="I102" s="17" t="n"/>
      <c r="J102" s="17" t="n"/>
      <c r="K102" s="17" t="n"/>
      <c r="L102" s="17" t="n"/>
      <c r="M102" s="17" t="n"/>
      <c r="N102" s="17" t="n"/>
      <c r="O102" s="17" t="n"/>
      <c r="P102" s="17" t="n"/>
      <c r="Q102" s="17" t="n"/>
      <c r="R102" s="17" t="n"/>
      <c r="S102" s="17" t="n"/>
      <c r="T102" s="17" t="n"/>
      <c r="U102" s="17" t="n"/>
      <c r="V102" s="17" t="n"/>
      <c r="W102" s="17" t="n"/>
      <c r="X102" s="17" t="n"/>
      <c r="Y102" s="17" t="n"/>
      <c r="Z102" s="802" t="n"/>
    </row>
    <row r="103">
      <c r="A103" s="17" t="n"/>
      <c r="B103" s="17" t="n"/>
      <c r="C103" s="17" t="n"/>
      <c r="D103" s="17" t="n"/>
      <c r="E103" s="17" t="n"/>
      <c r="F103" s="17" t="n"/>
      <c r="G103" s="18" t="n"/>
      <c r="H103" s="17" t="n"/>
      <c r="I103" s="17" t="n"/>
      <c r="J103" s="17" t="n"/>
      <c r="K103" s="17" t="n"/>
      <c r="L103" s="17" t="n"/>
      <c r="M103" s="17" t="n"/>
      <c r="N103" s="17" t="n"/>
      <c r="O103" s="17" t="n"/>
      <c r="P103" s="17" t="n"/>
      <c r="Q103" s="17" t="n"/>
      <c r="R103" s="17" t="n"/>
      <c r="S103" s="17" t="n"/>
      <c r="T103" s="17" t="n"/>
      <c r="U103" s="17" t="n"/>
      <c r="V103" s="17" t="n"/>
      <c r="W103" s="17" t="n"/>
      <c r="X103" s="17" t="n"/>
      <c r="Y103" s="17" t="n"/>
      <c r="Z103" s="802" t="n"/>
    </row>
    <row r="104">
      <c r="A104" s="17" t="n"/>
      <c r="B104" s="17" t="n"/>
      <c r="C104" s="17" t="n"/>
      <c r="D104" s="17" t="n"/>
      <c r="E104" s="17" t="n"/>
      <c r="F104" s="17" t="n"/>
      <c r="G104" s="18" t="n"/>
      <c r="H104" s="17" t="n"/>
      <c r="I104" s="17" t="n"/>
      <c r="J104" s="17" t="n"/>
      <c r="K104" s="17" t="n"/>
      <c r="L104" s="17" t="n"/>
      <c r="M104" s="17" t="n"/>
      <c r="N104" s="17" t="n"/>
      <c r="O104" s="17" t="n"/>
      <c r="P104" s="17" t="n"/>
      <c r="Q104" s="17" t="n"/>
      <c r="R104" s="17" t="n"/>
      <c r="S104" s="17" t="n"/>
      <c r="T104" s="17" t="n"/>
      <c r="U104" s="17" t="n"/>
      <c r="V104" s="17" t="n"/>
      <c r="W104" s="17" t="n"/>
      <c r="X104" s="17" t="n"/>
      <c r="Y104" s="17" t="n"/>
      <c r="Z104" s="802" t="n"/>
    </row>
    <row r="105" ht="24.75" customHeight="1">
      <c r="A105" s="20" t="inlineStr">
        <is>
          <t>📊 USO EM PAINÉIS</t>
        </is>
      </c>
      <c r="B105" s="20" t="n"/>
      <c r="C105" s="20" t="n"/>
      <c r="D105" s="20" t="n"/>
      <c r="E105" s="17" t="n"/>
      <c r="F105" s="17" t="n"/>
      <c r="G105" s="18" t="n"/>
      <c r="H105" s="17" t="n"/>
      <c r="I105" s="17" t="n"/>
      <c r="J105" s="17" t="n"/>
      <c r="K105" s="17" t="n"/>
      <c r="L105" s="17" t="n"/>
      <c r="M105" s="17" t="n"/>
      <c r="N105" s="17" t="n"/>
      <c r="O105" s="17" t="n"/>
      <c r="P105" s="17" t="n"/>
      <c r="Q105" s="17" t="n"/>
      <c r="R105" s="17" t="n"/>
      <c r="S105" s="17" t="n"/>
      <c r="T105" s="17" t="n"/>
      <c r="U105" s="17" t="n"/>
      <c r="V105" s="17" t="n"/>
      <c r="W105" s="17" t="n"/>
      <c r="X105" s="17" t="n"/>
      <c r="Y105" s="17" t="n"/>
      <c r="Z105" s="802" t="n"/>
    </row>
    <row r="106">
      <c r="A106" s="17" t="n"/>
      <c r="B106" s="17" t="n"/>
      <c r="C106" s="17" t="n"/>
      <c r="D106" s="17" t="n"/>
      <c r="E106" s="17" t="n"/>
      <c r="F106" s="17" t="n"/>
      <c r="G106" s="18" t="n"/>
      <c r="H106" s="17" t="n"/>
      <c r="I106" s="17" t="n"/>
      <c r="J106" s="17" t="n"/>
      <c r="K106" s="17" t="n"/>
      <c r="L106" s="17" t="n"/>
      <c r="M106" s="17" t="n"/>
      <c r="N106" s="17" t="n"/>
      <c r="O106" s="17" t="n"/>
      <c r="P106" s="17" t="n"/>
      <c r="Q106" s="17" t="n"/>
      <c r="R106" s="17" t="n"/>
      <c r="S106" s="17" t="n"/>
      <c r="T106" s="17" t="n"/>
      <c r="U106" s="17" t="n"/>
      <c r="V106" s="17" t="n"/>
      <c r="W106" s="17" t="n"/>
      <c r="X106" s="17" t="n"/>
      <c r="Y106" s="17" t="n"/>
      <c r="Z106" s="802" t="n"/>
    </row>
    <row r="107">
      <c r="A107" s="17" t="inlineStr">
        <is>
          <t>Os dados da Planilha-Mãe também alimentarão painéis gerenciais e indicadores. Por isso:</t>
        </is>
      </c>
      <c r="B107" s="17" t="n"/>
      <c r="C107" s="17" t="n"/>
      <c r="D107" s="17" t="n"/>
      <c r="E107" s="17" t="n"/>
      <c r="F107" s="17" t="n"/>
      <c r="G107" s="18" t="n"/>
      <c r="H107" s="17" t="n"/>
      <c r="I107" s="17" t="n"/>
      <c r="J107" s="17" t="n"/>
      <c r="K107" s="17" t="n"/>
      <c r="L107" s="17" t="n"/>
      <c r="M107" s="17" t="n"/>
      <c r="N107" s="17" t="n"/>
      <c r="O107" s="17" t="n"/>
      <c r="P107" s="17" t="n"/>
      <c r="Q107" s="17" t="n"/>
      <c r="R107" s="17" t="n"/>
      <c r="S107" s="17" t="n"/>
      <c r="T107" s="17" t="n"/>
      <c r="U107" s="17" t="n"/>
      <c r="V107" s="17" t="n"/>
      <c r="W107" s="17" t="n"/>
      <c r="X107" s="17" t="n"/>
      <c r="Y107" s="17" t="n"/>
      <c r="Z107" s="802" t="n"/>
    </row>
    <row r="108">
      <c r="A108" s="17" t="n"/>
      <c r="B108" s="17" t="n"/>
      <c r="C108" s="17" t="n"/>
      <c r="D108" s="17" t="n"/>
      <c r="E108" s="17" t="n"/>
      <c r="F108" s="17" t="n"/>
      <c r="G108" s="18" t="n"/>
      <c r="H108" s="17" t="n"/>
      <c r="I108" s="17" t="n"/>
      <c r="J108" s="17" t="n"/>
      <c r="K108" s="17" t="n"/>
      <c r="L108" s="17" t="n"/>
      <c r="M108" s="17" t="n"/>
      <c r="N108" s="17" t="n"/>
      <c r="O108" s="17" t="n"/>
      <c r="P108" s="17" t="n"/>
      <c r="Q108" s="17" t="n"/>
      <c r="R108" s="17" t="n"/>
      <c r="S108" s="17" t="n"/>
      <c r="T108" s="17" t="n"/>
      <c r="U108" s="17" t="n"/>
      <c r="V108" s="17" t="n"/>
      <c r="W108" s="17" t="n"/>
      <c r="X108" s="17" t="n"/>
      <c r="Y108" s="17" t="n"/>
      <c r="Z108" s="802" t="n"/>
    </row>
    <row r="109">
      <c r="A109" s="17" t="inlineStr">
        <is>
          <t>A uniformidade na escrita e categorização dos dados é essencial.</t>
        </is>
      </c>
      <c r="B109" s="17" t="n"/>
      <c r="C109" s="17" t="n"/>
      <c r="D109" s="17" t="n"/>
      <c r="E109" s="17" t="n"/>
      <c r="F109" s="17" t="n"/>
      <c r="G109" s="18" t="n"/>
      <c r="H109" s="17" t="n"/>
      <c r="I109" s="17" t="n"/>
      <c r="J109" s="17" t="n"/>
      <c r="K109" s="17" t="n"/>
      <c r="L109" s="17" t="n"/>
      <c r="M109" s="17" t="n"/>
      <c r="N109" s="17" t="n"/>
      <c r="O109" s="17" t="n"/>
      <c r="P109" s="17" t="n"/>
      <c r="Q109" s="17" t="n"/>
      <c r="R109" s="17" t="n"/>
      <c r="S109" s="17" t="n"/>
      <c r="T109" s="17" t="n"/>
      <c r="U109" s="17" t="n"/>
      <c r="V109" s="17" t="n"/>
      <c r="W109" s="17" t="n"/>
      <c r="X109" s="17" t="n"/>
      <c r="Y109" s="17" t="n"/>
      <c r="Z109" s="802" t="n"/>
    </row>
    <row r="110">
      <c r="A110" s="17" t="n"/>
      <c r="B110" s="17" t="n"/>
      <c r="C110" s="17" t="n"/>
      <c r="D110" s="17" t="n"/>
      <c r="E110" s="17" t="n"/>
      <c r="F110" s="17" t="n"/>
      <c r="G110" s="18" t="n"/>
      <c r="H110" s="17" t="n"/>
      <c r="I110" s="17" t="n"/>
      <c r="J110" s="17" t="n"/>
      <c r="K110" s="17" t="n"/>
      <c r="L110" s="17" t="n"/>
      <c r="M110" s="17" t="n"/>
      <c r="N110" s="17" t="n"/>
      <c r="O110" s="17" t="n"/>
      <c r="P110" s="17" t="n"/>
      <c r="Q110" s="17" t="n"/>
      <c r="R110" s="17" t="n"/>
      <c r="S110" s="17" t="n"/>
      <c r="T110" s="17" t="n"/>
      <c r="U110" s="17" t="n"/>
      <c r="V110" s="17" t="n"/>
      <c r="W110" s="17" t="n"/>
      <c r="X110" s="17" t="n"/>
      <c r="Y110" s="17" t="n"/>
      <c r="Z110" s="802" t="n"/>
    </row>
    <row r="111">
      <c r="A111" s="17" t="inlineStr">
        <is>
          <t>Exemplo: se um tipo de instrumento for “Termo de Cooperação”, evite variações como “Termo cooperação”, “T. Cooperação” ou “Termo Coop”.</t>
        </is>
      </c>
      <c r="B111" s="17" t="n"/>
      <c r="C111" s="17" t="n"/>
      <c r="D111" s="17" t="n"/>
      <c r="E111" s="17" t="n"/>
      <c r="F111" s="17" t="n"/>
      <c r="G111" s="18" t="n"/>
      <c r="H111" s="17" t="n"/>
      <c r="I111" s="17" t="n"/>
      <c r="J111" s="17" t="n"/>
      <c r="K111" s="17" t="n"/>
      <c r="L111" s="17" t="n"/>
      <c r="M111" s="17" t="n"/>
      <c r="N111" s="17" t="n"/>
      <c r="O111" s="17" t="n"/>
      <c r="P111" s="17" t="n"/>
      <c r="Q111" s="17" t="n"/>
      <c r="R111" s="17" t="n"/>
      <c r="S111" s="17" t="n"/>
      <c r="T111" s="17" t="n"/>
      <c r="U111" s="17" t="n"/>
      <c r="V111" s="17" t="n"/>
      <c r="W111" s="17" t="n"/>
      <c r="X111" s="17" t="n"/>
      <c r="Y111" s="17" t="n"/>
      <c r="Z111" s="802" t="n"/>
    </row>
    <row r="112">
      <c r="A112" s="802" t="n"/>
      <c r="B112" s="802" t="n"/>
      <c r="C112" s="802" t="n"/>
      <c r="D112" s="802" t="n"/>
      <c r="E112" s="802" t="n"/>
      <c r="F112" s="802" t="n"/>
      <c r="G112" s="803" t="n"/>
      <c r="H112" s="802" t="n"/>
      <c r="I112" s="802" t="n"/>
      <c r="J112" s="802" t="n"/>
      <c r="K112" s="802" t="n"/>
      <c r="L112" s="802" t="n"/>
      <c r="M112" s="802" t="n"/>
      <c r="N112" s="802" t="n"/>
      <c r="O112" s="802" t="n"/>
      <c r="P112" s="802" t="n"/>
      <c r="Q112" s="802" t="n"/>
      <c r="R112" s="802" t="n"/>
      <c r="S112" s="802" t="n"/>
      <c r="T112" s="802" t="n"/>
      <c r="U112" s="802" t="n"/>
      <c r="V112" s="802" t="n"/>
      <c r="W112" s="802" t="n"/>
      <c r="X112" s="802" t="n"/>
      <c r="Y112" s="802" t="n"/>
      <c r="Z112" s="802" t="n"/>
    </row>
    <row r="113">
      <c r="A113" s="802" t="n"/>
      <c r="B113" s="802" t="n"/>
      <c r="C113" s="802" t="n"/>
      <c r="D113" s="802" t="n"/>
      <c r="E113" s="802" t="n"/>
      <c r="F113" s="802" t="n"/>
      <c r="G113" s="803" t="n"/>
      <c r="H113" s="802" t="n"/>
      <c r="I113" s="802" t="n"/>
      <c r="J113" s="802" t="n"/>
      <c r="K113" s="802" t="n"/>
      <c r="L113" s="802" t="n"/>
      <c r="M113" s="802" t="n"/>
      <c r="N113" s="802" t="n"/>
      <c r="O113" s="802" t="n"/>
      <c r="P113" s="802" t="n"/>
      <c r="Q113" s="802" t="n"/>
      <c r="R113" s="802" t="n"/>
      <c r="S113" s="802" t="n"/>
      <c r="T113" s="802" t="n"/>
      <c r="U113" s="802" t="n"/>
      <c r="V113" s="802" t="n"/>
      <c r="W113" s="802" t="n"/>
      <c r="X113" s="802" t="n"/>
      <c r="Y113" s="802" t="n"/>
      <c r="Z113" s="802" t="n"/>
    </row>
    <row r="114" ht="24.75" customHeight="1">
      <c r="A114" s="20" t="inlineStr">
        <is>
          <t>ROL DE EQUIPAMENTOS PRIORIÁRIOS DECAN - MONITORAMENTO</t>
        </is>
      </c>
      <c r="B114" s="17" t="n"/>
      <c r="C114" s="17" t="n"/>
      <c r="D114" s="17" t="n"/>
      <c r="E114" s="17" t="n"/>
      <c r="F114" s="17" t="n"/>
      <c r="G114" s="435" t="inlineStr">
        <is>
          <t>ROL DE EQUIPAMENTOS PRIORIÁRIOS DECAN - GERAL</t>
        </is>
      </c>
      <c r="H114" s="802" t="n"/>
      <c r="I114" s="802" t="n"/>
      <c r="J114" s="802" t="n"/>
      <c r="K114" s="802" t="n"/>
      <c r="L114" s="802" t="n"/>
      <c r="M114" s="802" t="n"/>
      <c r="N114" s="802" t="n"/>
      <c r="O114" s="802" t="n"/>
      <c r="P114" s="802" t="n"/>
      <c r="Q114" s="802" t="n"/>
      <c r="R114" s="802" t="n"/>
      <c r="S114" s="802" t="n"/>
      <c r="T114" s="802" t="n"/>
      <c r="U114" s="802" t="n"/>
      <c r="V114" s="802" t="n"/>
      <c r="W114" s="802" t="n"/>
      <c r="X114" s="802" t="n"/>
      <c r="Y114" s="802" t="n"/>
      <c r="Z114" s="802" t="n"/>
    </row>
    <row r="115">
      <c r="A115" s="802" t="n"/>
      <c r="B115" s="56" t="n"/>
      <c r="C115" s="56" t="n"/>
      <c r="D115" s="56" t="n"/>
      <c r="F115" s="57" t="n"/>
      <c r="G115" s="57" t="n"/>
      <c r="H115" s="802" t="n"/>
      <c r="I115" s="802" t="n"/>
      <c r="J115" s="802" t="n"/>
      <c r="K115" s="802" t="n"/>
      <c r="L115" s="802" t="n"/>
      <c r="M115" s="802" t="n"/>
      <c r="N115" s="802" t="n"/>
      <c r="O115" s="802" t="n"/>
      <c r="P115" s="802" t="n"/>
      <c r="Q115" s="802" t="n"/>
      <c r="R115" s="802" t="n"/>
      <c r="S115" s="802" t="n"/>
      <c r="T115" s="802" t="n"/>
      <c r="U115" s="802" t="n"/>
      <c r="V115" s="802" t="n"/>
      <c r="W115" s="802" t="n"/>
      <c r="X115" s="802" t="n"/>
      <c r="Y115" s="802" t="n"/>
      <c r="Z115" s="802" t="n"/>
    </row>
    <row r="116" ht="15" customHeight="1">
      <c r="A116" s="433" t="inlineStr">
        <is>
          <t xml:space="preserve">1. Rastreamento </t>
        </is>
      </c>
      <c r="B116" s="804" t="n"/>
      <c r="C116" s="56" t="n"/>
      <c r="D116" s="56" t="n"/>
      <c r="F116" s="60" t="n"/>
      <c r="G116" s="433" t="inlineStr">
        <is>
          <t xml:space="preserve">1. Rastreamento </t>
        </is>
      </c>
      <c r="H116" s="802" t="n"/>
      <c r="I116" s="802" t="n"/>
      <c r="J116" s="802" t="n"/>
      <c r="K116" s="802" t="n"/>
      <c r="L116" s="802" t="n"/>
      <c r="M116" s="802" t="n"/>
      <c r="N116" s="802" t="n"/>
      <c r="O116" s="802" t="n"/>
      <c r="P116" s="802" t="n"/>
      <c r="Q116" s="802" t="n"/>
      <c r="R116" s="802" t="n"/>
      <c r="S116" s="802" t="n"/>
      <c r="T116" s="802" t="n"/>
      <c r="U116" s="802" t="n"/>
      <c r="V116" s="802" t="n"/>
      <c r="W116" s="802" t="n"/>
      <c r="X116" s="802" t="n"/>
      <c r="Y116" s="802" t="n"/>
      <c r="Z116" s="802" t="n"/>
    </row>
    <row r="117" ht="15" customHeight="1">
      <c r="A117" s="434" t="inlineStr">
        <is>
          <t xml:space="preserve">Mamógrafo (Convencional e Digital) </t>
        </is>
      </c>
      <c r="B117" s="804" t="n"/>
      <c r="C117" s="56" t="n"/>
      <c r="D117" s="56" t="n"/>
      <c r="F117" s="60" t="n"/>
      <c r="G117" s="434" t="inlineStr">
        <is>
          <t xml:space="preserve">Mamógrafo (Convencional e Digital) </t>
        </is>
      </c>
      <c r="H117" s="802" t="n"/>
      <c r="I117" s="802" t="n"/>
      <c r="J117" s="802" t="n"/>
      <c r="K117" s="802" t="n"/>
      <c r="L117" s="802" t="n"/>
      <c r="M117" s="802" t="n"/>
      <c r="N117" s="802" t="n"/>
      <c r="O117" s="802" t="n"/>
      <c r="P117" s="802" t="n"/>
      <c r="Q117" s="802" t="n"/>
      <c r="R117" s="802" t="n"/>
      <c r="S117" s="802" t="n"/>
      <c r="T117" s="802" t="n"/>
      <c r="U117" s="802" t="n"/>
      <c r="V117" s="802" t="n"/>
      <c r="W117" s="802" t="n"/>
      <c r="X117" s="802" t="n"/>
      <c r="Y117" s="802" t="n"/>
      <c r="Z117" s="802" t="n"/>
    </row>
    <row r="118" ht="15" customHeight="1">
      <c r="A118" s="433" t="inlineStr">
        <is>
          <t xml:space="preserve">2. Diagnóstico </t>
        </is>
      </c>
      <c r="B118" s="804" t="n"/>
      <c r="C118" s="56" t="n"/>
      <c r="D118" s="56" t="n"/>
      <c r="F118" s="60" t="n"/>
      <c r="G118" s="434" t="inlineStr">
        <is>
          <t xml:space="preserve">Microscópio Cirúrgico </t>
        </is>
      </c>
      <c r="H118" s="802" t="n"/>
      <c r="I118" s="802" t="n"/>
      <c r="J118" s="802" t="n"/>
      <c r="K118" s="802" t="n"/>
      <c r="L118" s="802" t="n"/>
      <c r="M118" s="802" t="n"/>
      <c r="N118" s="802" t="n"/>
      <c r="O118" s="802" t="n"/>
      <c r="P118" s="802" t="n"/>
      <c r="Q118" s="802" t="n"/>
      <c r="R118" s="802" t="n"/>
      <c r="S118" s="802" t="n"/>
      <c r="T118" s="802" t="n"/>
      <c r="U118" s="802" t="n"/>
      <c r="V118" s="802" t="n"/>
      <c r="W118" s="802" t="n"/>
      <c r="X118" s="802" t="n"/>
      <c r="Y118" s="802" t="n"/>
      <c r="Z118" s="802" t="n"/>
    </row>
    <row r="119" ht="15" customHeight="1">
      <c r="A119" s="434" t="inlineStr">
        <is>
          <t xml:space="preserve">Ultrassom Diagnóstico sem Aplicação Transesofágica </t>
        </is>
      </c>
      <c r="B119" s="804" t="n"/>
      <c r="C119" s="56" t="n"/>
      <c r="D119" s="56" t="n"/>
      <c r="F119" s="60" t="n"/>
      <c r="G119" s="434" t="inlineStr">
        <is>
          <t xml:space="preserve">Mesa Ginecológica </t>
        </is>
      </c>
      <c r="H119" s="802" t="n"/>
      <c r="I119" s="802" t="n"/>
      <c r="J119" s="802" t="n"/>
      <c r="K119" s="802" t="n"/>
      <c r="L119" s="802" t="n"/>
      <c r="M119" s="802" t="n"/>
      <c r="N119" s="802" t="n"/>
      <c r="O119" s="802" t="n"/>
      <c r="P119" s="802" t="n"/>
      <c r="Q119" s="802" t="n"/>
      <c r="R119" s="802" t="n"/>
      <c r="S119" s="802" t="n"/>
      <c r="T119" s="802" t="n"/>
      <c r="U119" s="802" t="n"/>
      <c r="V119" s="802" t="n"/>
      <c r="W119" s="802" t="n"/>
      <c r="X119" s="802" t="n"/>
      <c r="Y119" s="802" t="n"/>
      <c r="Z119" s="802" t="n"/>
    </row>
    <row r="120" ht="15" customHeight="1">
      <c r="A120" s="434" t="inlineStr">
        <is>
          <t xml:space="preserve">Simulador/Tomógrafo para Radioterapia </t>
        </is>
      </c>
      <c r="B120" s="804" t="n"/>
      <c r="C120" s="56" t="n"/>
      <c r="D120" s="56" t="n"/>
      <c r="F120" s="60" t="n"/>
      <c r="G120" s="434" t="inlineStr">
        <is>
          <t xml:space="preserve">Colposcópio </t>
        </is>
      </c>
      <c r="H120" s="802" t="n"/>
      <c r="I120" s="802" t="n"/>
      <c r="J120" s="802" t="n"/>
      <c r="K120" s="802" t="n"/>
      <c r="L120" s="802" t="n"/>
      <c r="M120" s="802" t="n"/>
      <c r="N120" s="802" t="n"/>
      <c r="O120" s="802" t="n"/>
      <c r="P120" s="802" t="n"/>
      <c r="Q120" s="802" t="n"/>
      <c r="R120" s="802" t="n"/>
      <c r="S120" s="802" t="n"/>
      <c r="T120" s="802" t="n"/>
      <c r="U120" s="802" t="n"/>
      <c r="V120" s="802" t="n"/>
      <c r="W120" s="802" t="n"/>
      <c r="X120" s="802" t="n"/>
      <c r="Y120" s="802" t="n"/>
      <c r="Z120" s="802" t="n"/>
    </row>
    <row r="121" ht="15" customHeight="1">
      <c r="A121" s="434" t="inlineStr">
        <is>
          <t xml:space="preserve">Tomógrafo Computadorizado (até 16 canais) </t>
        </is>
      </c>
      <c r="B121" s="804" t="n"/>
      <c r="C121" s="56" t="n"/>
      <c r="D121" s="56" t="n"/>
      <c r="F121" s="60" t="n"/>
      <c r="G121" s="434" t="inlineStr">
        <is>
          <t xml:space="preserve">Sistema de Vídeo Endoscópio Flexível </t>
        </is>
      </c>
      <c r="H121" s="802" t="n"/>
      <c r="I121" s="802" t="n"/>
      <c r="J121" s="802" t="n"/>
      <c r="K121" s="802" t="n"/>
      <c r="L121" s="802" t="n"/>
      <c r="M121" s="802" t="n"/>
      <c r="N121" s="802" t="n"/>
      <c r="O121" s="802" t="n"/>
      <c r="P121" s="802" t="n"/>
      <c r="Q121" s="802" t="n"/>
      <c r="R121" s="802" t="n"/>
      <c r="S121" s="802" t="n"/>
      <c r="T121" s="802" t="n"/>
      <c r="U121" s="802" t="n"/>
      <c r="V121" s="802" t="n"/>
      <c r="W121" s="802" t="n"/>
      <c r="X121" s="802" t="n"/>
      <c r="Y121" s="802" t="n"/>
      <c r="Z121" s="802" t="n"/>
    </row>
    <row r="122" ht="15" customHeight="1">
      <c r="A122" s="434" t="inlineStr">
        <is>
          <t xml:space="preserve">Ressonância Magnética (RM) </t>
        </is>
      </c>
      <c r="B122" s="804" t="n"/>
      <c r="C122" s="802" t="n"/>
      <c r="D122" s="802" t="n"/>
      <c r="E122" s="802" t="n"/>
      <c r="F122" s="803" t="n"/>
      <c r="G122" s="434" t="inlineStr">
        <is>
          <t xml:space="preserve">Sistema de Vídeo Endoscopia Rígida </t>
        </is>
      </c>
      <c r="H122" s="802" t="n"/>
      <c r="I122" s="802" t="n"/>
      <c r="J122" s="802" t="n"/>
      <c r="K122" s="802" t="n"/>
      <c r="L122" s="802" t="n"/>
      <c r="M122" s="802" t="n"/>
      <c r="N122" s="802" t="n"/>
      <c r="O122" s="802" t="n"/>
      <c r="P122" s="802" t="n"/>
      <c r="Q122" s="802" t="n"/>
      <c r="R122" s="802" t="n"/>
      <c r="S122" s="802" t="n"/>
      <c r="T122" s="802" t="n"/>
      <c r="U122" s="802" t="n"/>
      <c r="V122" s="802" t="n"/>
      <c r="W122" s="802" t="n"/>
      <c r="X122" s="802" t="n"/>
      <c r="Y122" s="802" t="n"/>
      <c r="Z122" s="802" t="n"/>
    </row>
    <row r="123" ht="15" customHeight="1">
      <c r="A123" s="434" t="inlineStr">
        <is>
          <t xml:space="preserve">Ressonância Nuclear Magnética até 0,5 T </t>
        </is>
      </c>
      <c r="B123" s="804" t="n"/>
      <c r="C123" s="802" t="n"/>
      <c r="D123" s="802" t="n"/>
      <c r="E123" s="802" t="n"/>
      <c r="F123" s="803" t="n"/>
      <c r="G123" s="434" t="inlineStr">
        <is>
          <t xml:space="preserve">Endoscópio Rígido </t>
        </is>
      </c>
      <c r="H123" s="802" t="n"/>
      <c r="I123" s="802" t="n"/>
      <c r="J123" s="802" t="n"/>
      <c r="K123" s="802" t="n"/>
      <c r="L123" s="802" t="n"/>
      <c r="M123" s="802" t="n"/>
      <c r="N123" s="802" t="n"/>
      <c r="O123" s="802" t="n"/>
      <c r="P123" s="802" t="n"/>
      <c r="Q123" s="802" t="n"/>
      <c r="R123" s="802" t="n"/>
      <c r="S123" s="802" t="n"/>
      <c r="T123" s="802" t="n"/>
      <c r="U123" s="802" t="n"/>
      <c r="V123" s="802" t="n"/>
      <c r="W123" s="802" t="n"/>
      <c r="X123" s="802" t="n"/>
      <c r="Y123" s="802" t="n"/>
      <c r="Z123" s="802" t="n"/>
    </row>
    <row r="124" ht="15" customHeight="1">
      <c r="A124" s="434" t="inlineStr">
        <is>
          <t xml:space="preserve">Ressonância Nuclear Magnética 1,5 T </t>
        </is>
      </c>
      <c r="B124" s="804" t="n"/>
      <c r="C124" s="802" t="n"/>
      <c r="D124" s="802" t="n"/>
      <c r="E124" s="802" t="n"/>
      <c r="F124" s="802" t="n"/>
      <c r="G124" s="434" t="inlineStr">
        <is>
          <t xml:space="preserve">Endoscópio Flexível (Fibroendoscopia) </t>
        </is>
      </c>
      <c r="H124" s="802" t="n"/>
      <c r="I124" s="802" t="n"/>
      <c r="J124" s="802" t="n"/>
      <c r="K124" s="802" t="n"/>
      <c r="L124" s="802" t="n"/>
      <c r="M124" s="802" t="n"/>
      <c r="N124" s="802" t="n"/>
      <c r="O124" s="802" t="n"/>
      <c r="P124" s="802" t="n"/>
      <c r="Q124" s="802" t="n"/>
      <c r="R124" s="802" t="n"/>
      <c r="S124" s="802" t="n"/>
      <c r="T124" s="802" t="n"/>
      <c r="U124" s="802" t="n"/>
      <c r="V124" s="802" t="n"/>
      <c r="W124" s="802" t="n"/>
      <c r="X124" s="802" t="n"/>
      <c r="Y124" s="802" t="n"/>
      <c r="Z124" s="802" t="n"/>
    </row>
    <row r="125" ht="15" customHeight="1">
      <c r="A125" s="434" t="inlineStr">
        <is>
          <t xml:space="preserve">Ressonância Nuclear Magnética 3,0 T </t>
        </is>
      </c>
      <c r="B125" s="804" t="n"/>
      <c r="C125" s="802" t="n"/>
      <c r="D125" s="802" t="n"/>
      <c r="E125" s="802" t="n"/>
      <c r="F125" s="802" t="n"/>
      <c r="G125" s="433" t="inlineStr">
        <is>
          <t xml:space="preserve">2. Diagnóstico </t>
        </is>
      </c>
      <c r="H125" s="802" t="n"/>
      <c r="I125" s="802" t="n"/>
      <c r="J125" s="802" t="n"/>
      <c r="K125" s="802" t="n"/>
      <c r="L125" s="802" t="n"/>
      <c r="M125" s="802" t="n"/>
      <c r="N125" s="802" t="n"/>
      <c r="O125" s="802" t="n"/>
      <c r="P125" s="802" t="n"/>
      <c r="Q125" s="802" t="n"/>
      <c r="R125" s="802" t="n"/>
      <c r="S125" s="802" t="n"/>
      <c r="T125" s="802" t="n"/>
      <c r="U125" s="802" t="n"/>
      <c r="V125" s="802" t="n"/>
      <c r="W125" s="802" t="n"/>
      <c r="X125" s="802" t="n"/>
      <c r="Y125" s="802" t="n"/>
      <c r="Z125" s="802" t="n"/>
    </row>
    <row r="126" ht="15" customHeight="1">
      <c r="A126" s="434" t="inlineStr">
        <is>
          <t xml:space="preserve">PET-CT </t>
        </is>
      </c>
      <c r="B126" s="804" t="n"/>
      <c r="C126" s="802" t="n"/>
      <c r="D126" s="802" t="n"/>
      <c r="E126" s="802" t="n"/>
      <c r="F126" s="802" t="n"/>
      <c r="G126" s="434" t="inlineStr">
        <is>
          <t xml:space="preserve">Ultrassom Diagnóstico sem Aplicação Transesofágica </t>
        </is>
      </c>
      <c r="H126" s="802" t="n"/>
      <c r="I126" s="802" t="n"/>
      <c r="J126" s="802" t="n"/>
      <c r="K126" s="802" t="n"/>
      <c r="L126" s="802" t="n"/>
      <c r="M126" s="802" t="n"/>
      <c r="N126" s="802" t="n"/>
      <c r="O126" s="802" t="n"/>
      <c r="P126" s="802" t="n"/>
      <c r="Q126" s="802" t="n"/>
      <c r="R126" s="802" t="n"/>
      <c r="S126" s="802" t="n"/>
      <c r="T126" s="802" t="n"/>
      <c r="U126" s="802" t="n"/>
      <c r="V126" s="802" t="n"/>
      <c r="W126" s="802" t="n"/>
      <c r="X126" s="802" t="n"/>
      <c r="Y126" s="802" t="n"/>
      <c r="Z126" s="802" t="n"/>
    </row>
    <row r="127" ht="15" customHeight="1">
      <c r="A127" s="434" t="inlineStr">
        <is>
          <t xml:space="preserve">Câmara Cintilográfica (Gama Câmara) </t>
        </is>
      </c>
      <c r="B127" s="804" t="n"/>
      <c r="C127" s="802" t="n"/>
      <c r="D127" s="802" t="n"/>
      <c r="E127" s="802" t="n"/>
      <c r="F127" s="802" t="n"/>
      <c r="G127" s="434" t="inlineStr">
        <is>
          <t xml:space="preserve">Simulador/Tomógrafo para Radioterapia </t>
        </is>
      </c>
      <c r="H127" s="802" t="n"/>
      <c r="I127" s="802" t="n"/>
      <c r="J127" s="802" t="n"/>
      <c r="K127" s="802" t="n"/>
      <c r="L127" s="802" t="n"/>
      <c r="M127" s="802" t="n"/>
      <c r="N127" s="802" t="n"/>
      <c r="O127" s="802" t="n"/>
      <c r="P127" s="802" t="n"/>
      <c r="Q127" s="802" t="n"/>
      <c r="R127" s="802" t="n"/>
      <c r="S127" s="802" t="n"/>
      <c r="T127" s="802" t="n"/>
      <c r="U127" s="802" t="n"/>
      <c r="V127" s="802" t="n"/>
      <c r="W127" s="802" t="n"/>
      <c r="X127" s="802" t="n"/>
      <c r="Y127" s="802" t="n"/>
      <c r="Z127" s="802" t="n"/>
    </row>
    <row r="128" ht="15" customHeight="1">
      <c r="A128" s="433" t="inlineStr">
        <is>
          <t xml:space="preserve">3. Tratamento </t>
        </is>
      </c>
      <c r="B128" s="804" t="n"/>
      <c r="C128" s="802" t="n"/>
      <c r="D128" s="802" t="n"/>
      <c r="E128" s="802" t="n"/>
      <c r="F128" s="802" t="n"/>
      <c r="G128" s="438" t="inlineStr">
        <is>
          <t xml:space="preserve">Tomógrafo Computadorizado (acima de 16 até 80 canais) </t>
        </is>
      </c>
      <c r="H128" s="802" t="n"/>
      <c r="I128" s="802" t="n"/>
      <c r="J128" s="802" t="n"/>
      <c r="K128" s="802" t="n"/>
      <c r="L128" s="802" t="n"/>
      <c r="M128" s="802" t="n"/>
      <c r="N128" s="802" t="n"/>
      <c r="O128" s="802" t="n"/>
      <c r="P128" s="802" t="n"/>
      <c r="Q128" s="802" t="n"/>
      <c r="R128" s="802" t="n"/>
      <c r="S128" s="802" t="n"/>
      <c r="T128" s="802" t="n"/>
      <c r="U128" s="802" t="n"/>
      <c r="V128" s="802" t="n"/>
      <c r="W128" s="802" t="n"/>
      <c r="X128" s="802" t="n"/>
      <c r="Y128" s="802" t="n"/>
      <c r="Z128" s="802" t="n"/>
    </row>
    <row r="129" ht="15" customHeight="1">
      <c r="A129" s="434" t="inlineStr">
        <is>
          <t xml:space="preserve">Acelerador Linear (Básico – Intermediário) </t>
        </is>
      </c>
      <c r="B129" s="804" t="n"/>
      <c r="C129" s="802" t="n"/>
      <c r="D129" s="802" t="n"/>
      <c r="E129" s="802" t="n"/>
      <c r="F129" s="802" t="n"/>
      <c r="G129" s="438" t="inlineStr">
        <is>
          <t xml:space="preserve">Tomógrafo Computadorizado (até 16 canais) </t>
        </is>
      </c>
      <c r="H129" s="802" t="n"/>
      <c r="I129" s="802" t="n"/>
      <c r="J129" s="802" t="n"/>
      <c r="K129" s="802" t="n"/>
      <c r="L129" s="802" t="n"/>
      <c r="M129" s="802" t="n"/>
      <c r="N129" s="802" t="n"/>
      <c r="O129" s="802" t="n"/>
      <c r="P129" s="802" t="n"/>
      <c r="Q129" s="802" t="n"/>
      <c r="R129" s="802" t="n"/>
      <c r="S129" s="802" t="n"/>
      <c r="T129" s="802" t="n"/>
      <c r="U129" s="802" t="n"/>
      <c r="V129" s="802" t="n"/>
      <c r="W129" s="802" t="n"/>
      <c r="X129" s="802" t="n"/>
      <c r="Y129" s="802" t="n"/>
      <c r="Z129" s="802" t="n"/>
    </row>
    <row r="130" ht="15" customHeight="1">
      <c r="A130" s="434" t="inlineStr">
        <is>
          <t xml:space="preserve">Acelerador Linear (Recursos avançados com IGRT 3D) </t>
        </is>
      </c>
      <c r="B130" s="804" t="n"/>
      <c r="C130" s="802" t="n"/>
      <c r="D130" s="802" t="n"/>
      <c r="E130" s="802" t="n"/>
      <c r="F130" s="802" t="n"/>
      <c r="G130" s="434" t="inlineStr">
        <is>
          <t xml:space="preserve">Ressonância Magnética (RM) </t>
        </is>
      </c>
      <c r="H130" s="802" t="n"/>
      <c r="I130" s="802" t="n"/>
      <c r="J130" s="802" t="n"/>
      <c r="K130" s="802" t="n"/>
      <c r="L130" s="802" t="n"/>
      <c r="M130" s="802" t="n"/>
      <c r="N130" s="802" t="n"/>
      <c r="O130" s="802" t="n"/>
      <c r="P130" s="802" t="n"/>
      <c r="Q130" s="802" t="n"/>
      <c r="R130" s="802" t="n"/>
      <c r="S130" s="802" t="n"/>
      <c r="T130" s="802" t="n"/>
      <c r="U130" s="802" t="n"/>
      <c r="V130" s="802" t="n"/>
      <c r="W130" s="802" t="n"/>
      <c r="X130" s="802" t="n"/>
      <c r="Y130" s="802" t="n"/>
      <c r="Z130" s="802" t="n"/>
    </row>
    <row r="131" ht="15" customHeight="1">
      <c r="A131" s="434" t="inlineStr">
        <is>
          <t xml:space="preserve">Braquiterapia com Sistema de Controle Remoto </t>
        </is>
      </c>
      <c r="B131" s="804" t="n"/>
      <c r="C131" s="802" t="n"/>
      <c r="D131" s="802" t="n"/>
      <c r="E131" s="802" t="n"/>
      <c r="F131" s="802" t="n"/>
      <c r="G131" s="434" t="inlineStr">
        <is>
          <t xml:space="preserve">Aparelho de Anestesia para Ressonância Magnética </t>
        </is>
      </c>
      <c r="H131" s="802" t="n"/>
      <c r="I131" s="802" t="n"/>
      <c r="J131" s="802" t="n"/>
      <c r="K131" s="802" t="n"/>
      <c r="L131" s="802" t="n"/>
      <c r="M131" s="802" t="n"/>
      <c r="N131" s="802" t="n"/>
      <c r="O131" s="802" t="n"/>
      <c r="P131" s="802" t="n"/>
      <c r="Q131" s="802" t="n"/>
      <c r="R131" s="802" t="n"/>
      <c r="S131" s="802" t="n"/>
      <c r="T131" s="802" t="n"/>
      <c r="U131" s="802" t="n"/>
      <c r="V131" s="802" t="n"/>
      <c r="W131" s="802" t="n"/>
      <c r="X131" s="802" t="n"/>
      <c r="Y131" s="802" t="n"/>
      <c r="Z131" s="802" t="n"/>
    </row>
    <row r="132" ht="15" customHeight="1">
      <c r="A132" s="434" t="inlineStr">
        <is>
          <t xml:space="preserve">Arco cirúrgico </t>
        </is>
      </c>
      <c r="B132" s="804" t="n"/>
      <c r="C132" s="802" t="n"/>
      <c r="D132" s="802" t="n"/>
      <c r="E132" s="802" t="n"/>
      <c r="F132" s="802" t="n"/>
      <c r="G132" s="434" t="inlineStr">
        <is>
          <t xml:space="preserve">Carro Maca para Ressonância Magnética </t>
        </is>
      </c>
      <c r="H132" s="802" t="n"/>
      <c r="I132" s="802" t="n"/>
      <c r="J132" s="802" t="n"/>
      <c r="K132" s="802" t="n"/>
      <c r="L132" s="802" t="n"/>
      <c r="M132" s="802" t="n"/>
      <c r="N132" s="802" t="n"/>
      <c r="O132" s="802" t="n"/>
      <c r="P132" s="802" t="n"/>
      <c r="Q132" s="802" t="n"/>
      <c r="R132" s="802" t="n"/>
      <c r="S132" s="802" t="n"/>
      <c r="T132" s="802" t="n"/>
      <c r="U132" s="802" t="n"/>
      <c r="V132" s="802" t="n"/>
      <c r="W132" s="802" t="n"/>
      <c r="X132" s="802" t="n"/>
      <c r="Y132" s="802" t="n"/>
      <c r="Z132" s="802" t="n"/>
    </row>
    <row r="133" ht="15" customHeight="1">
      <c r="A133" s="802" t="n"/>
      <c r="B133" s="802" t="n"/>
      <c r="C133" s="802" t="n"/>
      <c r="D133" s="802" t="n"/>
      <c r="E133" s="802" t="n"/>
      <c r="F133" s="802" t="n"/>
      <c r="G133" s="434" t="inlineStr">
        <is>
          <t xml:space="preserve">Monitor Multiparâmetros para Ressonância Magnética </t>
        </is>
      </c>
      <c r="H133" s="802" t="n"/>
      <c r="I133" s="802" t="n"/>
      <c r="J133" s="802" t="n"/>
      <c r="K133" s="802" t="n"/>
      <c r="L133" s="802" t="n"/>
      <c r="M133" s="802" t="n"/>
      <c r="N133" s="802" t="n"/>
      <c r="O133" s="802" t="n"/>
      <c r="P133" s="802" t="n"/>
      <c r="Q133" s="802" t="n"/>
      <c r="R133" s="802" t="n"/>
      <c r="S133" s="802" t="n"/>
      <c r="T133" s="802" t="n"/>
      <c r="U133" s="802" t="n"/>
      <c r="V133" s="802" t="n"/>
      <c r="W133" s="802" t="n"/>
      <c r="X133" s="802" t="n"/>
      <c r="Y133" s="802" t="n"/>
      <c r="Z133" s="802" t="n"/>
    </row>
    <row r="134" ht="15" customHeight="1">
      <c r="A134" s="802" t="n"/>
      <c r="B134" s="802" t="n"/>
      <c r="C134" s="24" t="n"/>
      <c r="D134" s="24" t="n"/>
      <c r="E134" s="802" t="n"/>
      <c r="F134" s="40" t="n"/>
      <c r="G134" s="434" t="inlineStr">
        <is>
          <t xml:space="preserve">Oxímetro de Pulso para Ressonância Magnética </t>
        </is>
      </c>
      <c r="H134" s="802" t="n"/>
      <c r="I134" s="802" t="n"/>
      <c r="J134" s="802" t="n"/>
      <c r="K134" s="802" t="n"/>
      <c r="L134" s="802" t="n"/>
      <c r="M134" s="802" t="n"/>
      <c r="N134" s="802" t="n"/>
      <c r="O134" s="802" t="n"/>
      <c r="P134" s="802" t="n"/>
      <c r="Q134" s="802" t="n"/>
      <c r="R134" s="802" t="n"/>
      <c r="S134" s="802" t="n"/>
      <c r="T134" s="802" t="n"/>
      <c r="U134" s="802" t="n"/>
      <c r="V134" s="802" t="n"/>
      <c r="W134" s="802" t="n"/>
      <c r="X134" s="802" t="n"/>
      <c r="Y134" s="802" t="n"/>
      <c r="Z134" s="802" t="n"/>
    </row>
    <row r="135" ht="15" customHeight="1">
      <c r="A135" s="802" t="n"/>
      <c r="B135" s="802" t="n"/>
      <c r="C135" s="802" t="n"/>
      <c r="D135" s="802" t="n"/>
      <c r="E135" s="802" t="n"/>
      <c r="F135" s="803" t="n"/>
      <c r="G135" s="438" t="inlineStr">
        <is>
          <t xml:space="preserve">Ressonância Nuclear Magnética até 0,5 T </t>
        </is>
      </c>
      <c r="H135" s="802" t="n"/>
      <c r="I135" s="802" t="n"/>
      <c r="J135" s="802" t="n"/>
      <c r="K135" s="802" t="n"/>
      <c r="L135" s="802" t="n"/>
      <c r="M135" s="802" t="n"/>
      <c r="N135" s="802" t="n"/>
      <c r="O135" s="802" t="n"/>
      <c r="P135" s="802" t="n"/>
      <c r="Q135" s="802" t="n"/>
      <c r="R135" s="802" t="n"/>
      <c r="S135" s="802" t="n"/>
      <c r="T135" s="802" t="n"/>
      <c r="U135" s="802" t="n"/>
      <c r="V135" s="802" t="n"/>
      <c r="W135" s="802" t="n"/>
      <c r="X135" s="802" t="n"/>
      <c r="Y135" s="802" t="n"/>
      <c r="Z135" s="802" t="n"/>
    </row>
    <row r="136" ht="15" customHeight="1">
      <c r="A136" s="802" t="n"/>
      <c r="B136" s="802" t="n"/>
      <c r="C136" s="802" t="n"/>
      <c r="D136" s="802" t="n"/>
      <c r="E136" s="802" t="n"/>
      <c r="F136" s="803" t="n"/>
      <c r="G136" s="438" t="inlineStr">
        <is>
          <t xml:space="preserve">Ressonância Nuclear Magnética 1,5 T </t>
        </is>
      </c>
      <c r="H136" s="802" t="n"/>
      <c r="I136" s="802" t="n"/>
      <c r="J136" s="802" t="n"/>
      <c r="K136" s="802" t="n"/>
      <c r="L136" s="802" t="n"/>
      <c r="M136" s="802" t="n"/>
      <c r="N136" s="802" t="n"/>
      <c r="O136" s="802" t="n"/>
      <c r="P136" s="802" t="n"/>
      <c r="Q136" s="802" t="n"/>
      <c r="R136" s="802" t="n"/>
      <c r="S136" s="802" t="n"/>
      <c r="T136" s="802" t="n"/>
      <c r="U136" s="802" t="n"/>
      <c r="V136" s="802" t="n"/>
      <c r="W136" s="802" t="n"/>
      <c r="X136" s="802" t="n"/>
      <c r="Y136" s="802" t="n"/>
      <c r="Z136" s="802" t="n"/>
    </row>
    <row r="137" ht="15" customHeight="1">
      <c r="A137" s="802" t="n"/>
      <c r="B137" s="802" t="n"/>
      <c r="C137" s="24" t="n"/>
      <c r="D137" s="24" t="n"/>
      <c r="E137" s="802" t="n"/>
      <c r="F137" s="17" t="n"/>
      <c r="G137" s="438" t="inlineStr">
        <is>
          <t xml:space="preserve">Ressonância Nuclear Magnética 3,0 T </t>
        </is>
      </c>
      <c r="H137" s="802" t="n"/>
      <c r="I137" s="802" t="n"/>
      <c r="J137" s="802" t="n"/>
      <c r="K137" s="802" t="n"/>
      <c r="L137" s="802" t="n"/>
      <c r="M137" s="802" t="n"/>
      <c r="N137" s="802" t="n"/>
      <c r="O137" s="802" t="n"/>
      <c r="P137" s="802" t="n"/>
      <c r="Q137" s="802" t="n"/>
      <c r="R137" s="802" t="n"/>
      <c r="S137" s="802" t="n"/>
      <c r="T137" s="802" t="n"/>
      <c r="U137" s="802" t="n"/>
      <c r="V137" s="802" t="n"/>
      <c r="W137" s="802" t="n"/>
      <c r="X137" s="802" t="n"/>
      <c r="Y137" s="802" t="n"/>
      <c r="Z137" s="802" t="n"/>
    </row>
    <row r="138" ht="15" customHeight="1">
      <c r="A138" s="802" t="n"/>
      <c r="B138" s="802" t="n"/>
      <c r="C138" s="24" t="n"/>
      <c r="D138" s="24" t="n"/>
      <c r="E138" s="802" t="n"/>
      <c r="F138" s="40" t="n"/>
      <c r="G138" s="434" t="inlineStr">
        <is>
          <t xml:space="preserve">Suporte de Soro para Ressonância Magnética </t>
        </is>
      </c>
      <c r="H138" s="802" t="n"/>
      <c r="I138" s="802" t="n"/>
      <c r="J138" s="802" t="n"/>
      <c r="K138" s="802" t="n"/>
      <c r="L138" s="802" t="n"/>
      <c r="M138" s="802" t="n"/>
      <c r="N138" s="802" t="n"/>
      <c r="O138" s="802" t="n"/>
      <c r="P138" s="802" t="n"/>
      <c r="Q138" s="802" t="n"/>
      <c r="R138" s="802" t="n"/>
      <c r="S138" s="802" t="n"/>
      <c r="T138" s="802" t="n"/>
      <c r="U138" s="802" t="n"/>
      <c r="V138" s="802" t="n"/>
      <c r="W138" s="802" t="n"/>
      <c r="X138" s="802" t="n"/>
      <c r="Y138" s="802" t="n"/>
      <c r="Z138" s="802" t="n"/>
    </row>
    <row r="139" ht="15" customHeight="1">
      <c r="A139" s="802" t="n"/>
      <c r="B139" s="802" t="n"/>
      <c r="C139" s="24" t="n"/>
      <c r="D139" s="24" t="n"/>
      <c r="E139" s="802" t="n"/>
      <c r="F139" s="40" t="n"/>
      <c r="G139" s="434" t="inlineStr">
        <is>
          <t xml:space="preserve">Ventilador Pulmonar para Ressonância Magnética </t>
        </is>
      </c>
      <c r="H139" s="802" t="n"/>
      <c r="I139" s="802" t="n"/>
      <c r="J139" s="802" t="n"/>
      <c r="K139" s="802" t="n"/>
      <c r="L139" s="802" t="n"/>
      <c r="M139" s="802" t="n"/>
      <c r="N139" s="802" t="n"/>
      <c r="O139" s="802" t="n"/>
      <c r="P139" s="802" t="n"/>
      <c r="Q139" s="802" t="n"/>
      <c r="R139" s="802" t="n"/>
      <c r="S139" s="802" t="n"/>
      <c r="T139" s="802" t="n"/>
      <c r="U139" s="802" t="n"/>
      <c r="V139" s="802" t="n"/>
      <c r="W139" s="802" t="n"/>
      <c r="X139" s="802" t="n"/>
      <c r="Y139" s="802" t="n"/>
      <c r="Z139" s="802" t="n"/>
    </row>
    <row r="140" ht="15" customHeight="1">
      <c r="A140" s="802" t="n"/>
      <c r="B140" s="802" t="n"/>
      <c r="C140" s="24" t="n"/>
      <c r="D140" s="24" t="n"/>
      <c r="E140" s="802" t="n"/>
      <c r="F140" s="40" t="n"/>
      <c r="G140" s="434" t="inlineStr">
        <is>
          <t xml:space="preserve">PET-CT </t>
        </is>
      </c>
      <c r="H140" s="802" t="n"/>
      <c r="I140" s="802" t="n"/>
      <c r="J140" s="802" t="n"/>
      <c r="K140" s="802" t="n"/>
      <c r="L140" s="802" t="n"/>
      <c r="M140" s="802" t="n"/>
      <c r="N140" s="802" t="n"/>
      <c r="O140" s="802" t="n"/>
      <c r="P140" s="802" t="n"/>
      <c r="Q140" s="802" t="n"/>
      <c r="R140" s="802" t="n"/>
      <c r="S140" s="802" t="n"/>
      <c r="T140" s="802" t="n"/>
      <c r="U140" s="802" t="n"/>
      <c r="V140" s="802" t="n"/>
      <c r="W140" s="802" t="n"/>
      <c r="X140" s="802" t="n"/>
      <c r="Y140" s="802" t="n"/>
      <c r="Z140" s="802" t="n"/>
    </row>
    <row r="141" ht="15" customHeight="1">
      <c r="A141" s="802" t="n"/>
      <c r="B141" s="802" t="n"/>
      <c r="C141" s="24" t="n"/>
      <c r="D141" s="24" t="n"/>
      <c r="E141" s="802" t="n"/>
      <c r="F141" s="40" t="n"/>
      <c r="G141" s="434" t="inlineStr">
        <is>
          <t xml:space="preserve">Câmara Cintilográfica (Gama Câmara) </t>
        </is>
      </c>
      <c r="H141" s="802" t="n"/>
      <c r="I141" s="802" t="n"/>
      <c r="J141" s="802" t="n"/>
      <c r="K141" s="802" t="n"/>
      <c r="L141" s="802" t="n"/>
      <c r="M141" s="802" t="n"/>
      <c r="N141" s="802" t="n"/>
      <c r="O141" s="802" t="n"/>
      <c r="P141" s="802" t="n"/>
      <c r="Q141" s="802" t="n"/>
      <c r="R141" s="802" t="n"/>
      <c r="S141" s="802" t="n"/>
      <c r="T141" s="802" t="n"/>
      <c r="U141" s="802" t="n"/>
      <c r="V141" s="802" t="n"/>
      <c r="W141" s="802" t="n"/>
      <c r="X141" s="802" t="n"/>
      <c r="Y141" s="802" t="n"/>
      <c r="Z141" s="802" t="n"/>
    </row>
    <row r="142" ht="15" customHeight="1">
      <c r="A142" s="802" t="n"/>
      <c r="B142" s="802" t="n"/>
      <c r="C142" s="24" t="n"/>
      <c r="D142" s="24" t="n"/>
      <c r="E142" s="802" t="n"/>
      <c r="F142" s="40" t="n"/>
      <c r="G142" s="433" t="inlineStr">
        <is>
          <t xml:space="preserve">3. Tratamento </t>
        </is>
      </c>
      <c r="H142" s="802" t="n"/>
      <c r="I142" s="802" t="n"/>
      <c r="J142" s="802" t="n"/>
      <c r="K142" s="802" t="n"/>
      <c r="L142" s="802" t="n"/>
      <c r="M142" s="802" t="n"/>
      <c r="N142" s="802" t="n"/>
      <c r="O142" s="802" t="n"/>
      <c r="P142" s="802" t="n"/>
      <c r="Q142" s="802" t="n"/>
      <c r="R142" s="802" t="n"/>
      <c r="S142" s="802" t="n"/>
      <c r="T142" s="802" t="n"/>
      <c r="U142" s="802" t="n"/>
      <c r="V142" s="802" t="n"/>
      <c r="W142" s="802" t="n"/>
      <c r="X142" s="802" t="n"/>
      <c r="Y142" s="802" t="n"/>
      <c r="Z142" s="802" t="n"/>
    </row>
    <row r="143" ht="15" customHeight="1">
      <c r="A143" s="802" t="n"/>
      <c r="B143" s="24" t="n"/>
      <c r="C143" s="24" t="n"/>
      <c r="D143" s="24" t="n"/>
      <c r="E143" s="802" t="n"/>
      <c r="F143" s="40" t="n"/>
      <c r="G143" s="434" t="inlineStr">
        <is>
          <t xml:space="preserve">Acelerador Linear (Básico – Intermediário) </t>
        </is>
      </c>
      <c r="H143" s="802" t="n"/>
      <c r="I143" s="802" t="n"/>
      <c r="J143" s="802" t="n"/>
      <c r="K143" s="802" t="n"/>
      <c r="L143" s="802" t="n"/>
      <c r="M143" s="802" t="n"/>
      <c r="N143" s="802" t="n"/>
      <c r="O143" s="802" t="n"/>
      <c r="P143" s="802" t="n"/>
      <c r="Q143" s="802" t="n"/>
      <c r="R143" s="802" t="n"/>
      <c r="S143" s="802" t="n"/>
      <c r="T143" s="802" t="n"/>
      <c r="U143" s="802" t="n"/>
      <c r="V143" s="802" t="n"/>
      <c r="W143" s="802" t="n"/>
      <c r="X143" s="802" t="n"/>
      <c r="Y143" s="802" t="n"/>
      <c r="Z143" s="802" t="n"/>
    </row>
    <row r="144" ht="15" customHeight="1">
      <c r="A144" s="802" t="n"/>
      <c r="B144" s="802" t="n"/>
      <c r="C144" s="802" t="n"/>
      <c r="D144" s="802" t="n"/>
      <c r="E144" s="802" t="n"/>
      <c r="F144" s="802" t="n"/>
      <c r="G144" s="434" t="inlineStr">
        <is>
          <t xml:space="preserve">Acelerador Linear (Recursos avançados com IGRT 3D) </t>
        </is>
      </c>
      <c r="H144" s="802" t="n"/>
      <c r="I144" s="802" t="n"/>
      <c r="J144" s="802" t="n"/>
      <c r="K144" s="802" t="n"/>
      <c r="L144" s="802" t="n"/>
      <c r="M144" s="802" t="n"/>
      <c r="N144" s="802" t="n"/>
      <c r="O144" s="802" t="n"/>
      <c r="P144" s="802" t="n"/>
      <c r="Q144" s="802" t="n"/>
      <c r="R144" s="802" t="n"/>
      <c r="S144" s="802" t="n"/>
      <c r="T144" s="802" t="n"/>
      <c r="U144" s="802" t="n"/>
      <c r="V144" s="802" t="n"/>
      <c r="W144" s="802" t="n"/>
      <c r="X144" s="802" t="n"/>
      <c r="Y144" s="802" t="n"/>
      <c r="Z144" s="802" t="n"/>
    </row>
    <row r="145" ht="15" customHeight="1">
      <c r="A145" s="802" t="n"/>
      <c r="B145" s="802" t="n"/>
      <c r="C145" s="802" t="n"/>
      <c r="D145" s="802" t="n"/>
      <c r="E145" s="802" t="n"/>
      <c r="F145" s="802" t="n"/>
      <c r="G145" s="434" t="inlineStr">
        <is>
          <t xml:space="preserve">Conjunto de Controle de Qualidade e Dosimetria para Radioterapia </t>
        </is>
      </c>
      <c r="H145" s="802" t="n"/>
      <c r="I145" s="802" t="n"/>
      <c r="J145" s="802" t="n"/>
      <c r="K145" s="802" t="n"/>
      <c r="L145" s="802" t="n"/>
      <c r="M145" s="802" t="n"/>
      <c r="N145" s="802" t="n"/>
      <c r="O145" s="802" t="n"/>
      <c r="P145" s="802" t="n"/>
      <c r="Q145" s="802" t="n"/>
      <c r="R145" s="802" t="n"/>
      <c r="S145" s="802" t="n"/>
      <c r="T145" s="802" t="n"/>
      <c r="U145" s="802" t="n"/>
      <c r="V145" s="802" t="n"/>
      <c r="W145" s="802" t="n"/>
      <c r="X145" s="802" t="n"/>
      <c r="Y145" s="802" t="n"/>
      <c r="Z145" s="802" t="n"/>
    </row>
    <row r="146" ht="15" customHeight="1">
      <c r="A146" s="802" t="n"/>
      <c r="B146" s="802" t="n"/>
      <c r="C146" s="802" t="n"/>
      <c r="D146" s="802" t="n"/>
      <c r="E146" s="802" t="n"/>
      <c r="F146" s="802" t="n"/>
      <c r="G146" s="434" t="inlineStr">
        <is>
          <t xml:space="preserve">Braquiterapia com Sistema de Controle Remoto </t>
        </is>
      </c>
      <c r="H146" s="802" t="n"/>
      <c r="I146" s="802" t="n"/>
      <c r="J146" s="802" t="n"/>
      <c r="K146" s="802" t="n"/>
      <c r="L146" s="802" t="n"/>
      <c r="M146" s="802" t="n"/>
      <c r="N146" s="802" t="n"/>
      <c r="O146" s="802" t="n"/>
      <c r="P146" s="802" t="n"/>
      <c r="Q146" s="802" t="n"/>
      <c r="R146" s="802" t="n"/>
      <c r="S146" s="802" t="n"/>
      <c r="T146" s="802" t="n"/>
      <c r="U146" s="802" t="n"/>
      <c r="V146" s="802" t="n"/>
      <c r="W146" s="802" t="n"/>
      <c r="X146" s="802" t="n"/>
      <c r="Y146" s="802" t="n"/>
      <c r="Z146" s="802" t="n"/>
    </row>
    <row r="147" ht="15" customHeight="1">
      <c r="A147" s="802" t="n"/>
      <c r="B147" s="802" t="n"/>
      <c r="C147" s="802" t="n"/>
      <c r="D147" s="802" t="n"/>
      <c r="E147" s="802" t="n"/>
      <c r="F147" s="802" t="n"/>
      <c r="G147" s="434" t="inlineStr">
        <is>
          <t xml:space="preserve">Conjunto de Fixação de Pacientes em Radioterapia </t>
        </is>
      </c>
      <c r="H147" s="802" t="n"/>
      <c r="I147" s="802" t="n"/>
      <c r="J147" s="802" t="n"/>
      <c r="K147" s="802" t="n"/>
      <c r="L147" s="802" t="n"/>
      <c r="M147" s="802" t="n"/>
      <c r="N147" s="802" t="n"/>
      <c r="O147" s="802" t="n"/>
      <c r="P147" s="802" t="n"/>
      <c r="Q147" s="802" t="n"/>
      <c r="R147" s="802" t="n"/>
      <c r="S147" s="802" t="n"/>
      <c r="T147" s="802" t="n"/>
      <c r="U147" s="802" t="n"/>
      <c r="V147" s="802" t="n"/>
      <c r="W147" s="802" t="n"/>
      <c r="X147" s="802" t="n"/>
      <c r="Y147" s="802" t="n"/>
      <c r="Z147" s="802" t="n"/>
    </row>
    <row r="148">
      <c r="A148" s="802" t="n"/>
      <c r="B148" s="802" t="n"/>
      <c r="C148" s="802" t="n"/>
      <c r="D148" s="802" t="n"/>
      <c r="E148" s="802" t="n"/>
      <c r="F148" s="802" t="n"/>
      <c r="G148" s="434" t="inlineStr">
        <is>
          <t xml:space="preserve">Arco cirúrgico </t>
        </is>
      </c>
      <c r="H148" s="802" t="n"/>
      <c r="I148" s="802" t="n"/>
      <c r="J148" s="802" t="n"/>
      <c r="K148" s="802" t="n"/>
      <c r="L148" s="802" t="n"/>
      <c r="M148" s="802" t="n"/>
      <c r="N148" s="802" t="n"/>
      <c r="O148" s="802" t="n"/>
      <c r="P148" s="802" t="n"/>
      <c r="Q148" s="802" t="n"/>
      <c r="R148" s="802" t="n"/>
      <c r="S148" s="802" t="n"/>
      <c r="T148" s="802" t="n"/>
      <c r="U148" s="802" t="n"/>
      <c r="V148" s="802" t="n"/>
      <c r="W148" s="802" t="n"/>
      <c r="X148" s="802" t="n"/>
      <c r="Y148" s="802" t="n"/>
      <c r="Z148" s="802" t="n"/>
    </row>
    <row r="149">
      <c r="A149" s="802" t="n"/>
      <c r="B149" s="802" t="n"/>
      <c r="C149" s="802" t="n"/>
      <c r="D149" s="802" t="n"/>
      <c r="E149" s="802" t="n"/>
      <c r="F149" s="802" t="n"/>
      <c r="G149" s="802" t="n"/>
      <c r="H149" s="802" t="n"/>
      <c r="I149" s="802" t="n"/>
      <c r="J149" s="802" t="n"/>
      <c r="K149" s="802" t="n"/>
      <c r="L149" s="802" t="n"/>
      <c r="M149" s="802" t="n"/>
      <c r="N149" s="802" t="n"/>
      <c r="O149" s="802" t="n"/>
      <c r="P149" s="802" t="n"/>
      <c r="Q149" s="802" t="n"/>
      <c r="R149" s="802" t="n"/>
      <c r="S149" s="802" t="n"/>
      <c r="T149" s="802" t="n"/>
      <c r="U149" s="802" t="n"/>
      <c r="V149" s="802" t="n"/>
      <c r="W149" s="802" t="n"/>
      <c r="X149" s="802" t="n"/>
      <c r="Y149" s="802" t="n"/>
      <c r="Z149" s="802" t="n"/>
    </row>
    <row r="150">
      <c r="A150" s="802" t="n"/>
      <c r="B150" s="802" t="n"/>
      <c r="C150" s="802" t="n"/>
      <c r="D150" s="802" t="n"/>
      <c r="E150" s="802" t="n"/>
      <c r="F150" s="802" t="n"/>
      <c r="G150" s="802" t="n"/>
      <c r="H150" s="802" t="n"/>
      <c r="I150" s="802" t="n"/>
      <c r="J150" s="802" t="n"/>
      <c r="K150" s="802" t="n"/>
      <c r="L150" s="802" t="n"/>
      <c r="M150" s="802" t="n"/>
      <c r="N150" s="802" t="n"/>
      <c r="O150" s="802" t="n"/>
      <c r="P150" s="802" t="n"/>
      <c r="Q150" s="802" t="n"/>
      <c r="R150" s="802" t="n"/>
      <c r="S150" s="802" t="n"/>
      <c r="T150" s="802" t="n"/>
      <c r="U150" s="802" t="n"/>
      <c r="V150" s="802" t="n"/>
      <c r="W150" s="802" t="n"/>
      <c r="X150" s="802" t="n"/>
      <c r="Y150" s="802" t="n"/>
      <c r="Z150" s="802" t="n"/>
    </row>
    <row r="151" ht="409.6" customHeight="1">
      <c r="A151" s="800" t="inlineStr">
        <is>
          <t>Organização da planilha de monitoramento – lógica pactuada
Para os instrumentos de Convênio, Fundo a Fundo (FAF) ou Termo de Execução Descentralizada (TED) que contemplam diversos equipamentos, incluindo itens considerados prioritários para o monitoramento, foram criadas linhas adicionais destinadas ao acompanhamento individualizado desses equipamentos. Essa organização permite aplicar estratégias diferenciadas de monitoramento, conforme a complexidade e as características de cada item.
A primeira linha de cada instrumento reúne as informações gerais, como a quantidade total de equipamentos e o valor global do investimento. As linhas adicionais, identificadas pelo mesmo número do instrumento, apresentam o detalhamento dos equipamentos prioritários.
Nessas linhas adicionais, os campos relativos às informações gerais do instrumento são preenchidos com “NA” (não se aplica), evitando a duplicidade dos dados. As colunas específicas — como tipo de equipamento, quantidade, marca, modelo, finalidade, situação da aquisição, instalação e demais características relevantes — são preenchidas com as informações individualizadas de cada equipamento monitorado.</t>
        </is>
      </c>
      <c r="B151" s="813" t="n"/>
      <c r="C151" s="813" t="n"/>
      <c r="D151" s="813" t="n"/>
      <c r="E151" s="814" t="n"/>
      <c r="F151" s="802" t="n"/>
      <c r="G151" s="802" t="n"/>
      <c r="H151" s="802" t="n"/>
      <c r="I151" s="802" t="n"/>
      <c r="J151" s="802" t="n"/>
      <c r="K151" s="802" t="n"/>
      <c r="L151" s="802" t="n"/>
      <c r="M151" s="802" t="n"/>
      <c r="N151" s="802" t="n"/>
      <c r="O151" s="802" t="n"/>
      <c r="P151" s="802" t="n"/>
      <c r="Q151" s="802" t="n"/>
      <c r="R151" s="802" t="n"/>
      <c r="S151" s="802" t="n"/>
      <c r="T151" s="802" t="n"/>
      <c r="U151" s="802" t="n"/>
      <c r="V151" s="802" t="n"/>
      <c r="W151" s="802" t="n"/>
      <c r="X151" s="802" t="n"/>
      <c r="Y151" s="802" t="n"/>
      <c r="Z151" s="802" t="n"/>
    </row>
    <row r="152">
      <c r="B152" s="802" t="n"/>
      <c r="C152" s="802" t="n"/>
      <c r="D152" s="802" t="n"/>
      <c r="E152" s="802" t="n"/>
      <c r="F152" s="802" t="n"/>
      <c r="G152" s="802" t="n"/>
      <c r="H152" s="802" t="n"/>
      <c r="I152" s="802" t="n"/>
      <c r="J152" s="802" t="n"/>
      <c r="K152" s="802" t="n"/>
      <c r="L152" s="802" t="n"/>
      <c r="M152" s="802" t="n"/>
      <c r="N152" s="802" t="n"/>
      <c r="O152" s="802" t="n"/>
      <c r="P152" s="802" t="n"/>
      <c r="Q152" s="802" t="n"/>
      <c r="R152" s="802" t="n"/>
      <c r="S152" s="802" t="n"/>
      <c r="T152" s="802" t="n"/>
      <c r="U152" s="802" t="n"/>
      <c r="V152" s="802" t="n"/>
      <c r="W152" s="802" t="n"/>
      <c r="X152" s="802" t="n"/>
      <c r="Y152" s="802" t="n"/>
      <c r="Z152" s="802" t="n"/>
    </row>
    <row r="153">
      <c r="B153" s="802" t="n"/>
      <c r="C153" s="802" t="n"/>
      <c r="D153" s="802" t="n"/>
      <c r="E153" s="802" t="n"/>
      <c r="F153" s="802" t="n"/>
      <c r="G153" s="803" t="n"/>
      <c r="H153" s="802" t="n"/>
      <c r="I153" s="802" t="n"/>
      <c r="J153" s="802" t="n"/>
      <c r="K153" s="802" t="n"/>
      <c r="L153" s="802" t="n"/>
      <c r="M153" s="802" t="n"/>
      <c r="N153" s="802" t="n"/>
      <c r="O153" s="802" t="n"/>
      <c r="P153" s="802" t="n"/>
      <c r="Q153" s="802" t="n"/>
      <c r="R153" s="802" t="n"/>
      <c r="S153" s="802" t="n"/>
      <c r="T153" s="802" t="n"/>
      <c r="U153" s="802" t="n"/>
      <c r="V153" s="802" t="n"/>
      <c r="W153" s="802" t="n"/>
      <c r="X153" s="802" t="n"/>
      <c r="Y153" s="802" t="n"/>
      <c r="Z153" s="802" t="n"/>
    </row>
    <row r="154">
      <c r="A154" s="802" t="n"/>
      <c r="B154" s="802" t="n"/>
      <c r="C154" s="802" t="n"/>
      <c r="D154" s="802" t="n"/>
      <c r="E154" s="802" t="n"/>
      <c r="F154" s="802" t="n"/>
      <c r="G154" s="803" t="n"/>
      <c r="H154" s="802" t="n"/>
      <c r="I154" s="802" t="n"/>
      <c r="J154" s="802" t="n"/>
      <c r="K154" s="802" t="n"/>
      <c r="L154" s="802" t="n"/>
      <c r="M154" s="802" t="n"/>
      <c r="N154" s="802" t="n"/>
      <c r="O154" s="802" t="n"/>
      <c r="P154" s="802" t="n"/>
      <c r="Q154" s="802" t="n"/>
      <c r="R154" s="802" t="n"/>
      <c r="S154" s="802" t="n"/>
      <c r="T154" s="802" t="n"/>
      <c r="U154" s="802" t="n"/>
      <c r="V154" s="802" t="n"/>
      <c r="W154" s="802" t="n"/>
      <c r="X154" s="802" t="n"/>
      <c r="Y154" s="802" t="n"/>
      <c r="Z154" s="802" t="n"/>
    </row>
    <row r="155">
      <c r="A155" s="802" t="n"/>
      <c r="B155" s="802" t="n"/>
      <c r="C155" s="802" t="n"/>
      <c r="D155" s="802" t="n"/>
      <c r="E155" s="802" t="n"/>
      <c r="F155" s="802" t="n"/>
      <c r="G155" s="803" t="n"/>
      <c r="H155" s="802" t="n"/>
      <c r="I155" s="802" t="n"/>
      <c r="J155" s="802" t="n"/>
      <c r="K155" s="802" t="n"/>
      <c r="L155" s="802" t="n"/>
      <c r="M155" s="802" t="n"/>
      <c r="N155" s="802" t="n"/>
      <c r="O155" s="802" t="n"/>
      <c r="P155" s="802" t="n"/>
      <c r="Q155" s="802" t="n"/>
      <c r="R155" s="802" t="n"/>
      <c r="S155" s="802" t="n"/>
      <c r="T155" s="802" t="n"/>
      <c r="U155" s="802" t="n"/>
      <c r="V155" s="802" t="n"/>
      <c r="W155" s="802" t="n"/>
      <c r="X155" s="802" t="n"/>
      <c r="Y155" s="802" t="n"/>
      <c r="Z155" s="802" t="n"/>
    </row>
    <row r="156">
      <c r="A156" s="802" t="n"/>
      <c r="B156" s="802" t="n"/>
      <c r="C156" s="802" t="n"/>
      <c r="D156" s="802" t="n"/>
      <c r="E156" s="802" t="n"/>
      <c r="F156" s="802" t="n"/>
      <c r="G156" s="803" t="n"/>
      <c r="H156" s="802" t="n"/>
      <c r="I156" s="802" t="n"/>
      <c r="J156" s="802" t="n"/>
      <c r="K156" s="802" t="n"/>
      <c r="L156" s="802" t="n"/>
      <c r="M156" s="802" t="n"/>
      <c r="N156" s="802" t="n"/>
      <c r="O156" s="802" t="n"/>
      <c r="P156" s="802" t="n"/>
      <c r="Q156" s="802" t="n"/>
      <c r="R156" s="802" t="n"/>
      <c r="S156" s="802" t="n"/>
      <c r="T156" s="802" t="n"/>
      <c r="U156" s="802" t="n"/>
      <c r="V156" s="802" t="n"/>
      <c r="W156" s="802" t="n"/>
      <c r="X156" s="802" t="n"/>
      <c r="Y156" s="802" t="n"/>
      <c r="Z156" s="802" t="n"/>
    </row>
    <row r="157">
      <c r="A157" s="802" t="n"/>
      <c r="B157" s="802" t="n"/>
      <c r="C157" s="802" t="n"/>
      <c r="D157" s="802" t="n"/>
      <c r="E157" s="802" t="n"/>
      <c r="F157" s="802" t="n"/>
      <c r="G157" s="803" t="n"/>
      <c r="H157" s="802" t="n"/>
      <c r="I157" s="802" t="n"/>
      <c r="J157" s="802" t="n"/>
      <c r="K157" s="802" t="n"/>
      <c r="L157" s="802" t="n"/>
      <c r="M157" s="802" t="n"/>
      <c r="N157" s="802" t="n"/>
      <c r="O157" s="802" t="n"/>
      <c r="P157" s="802" t="n"/>
      <c r="Q157" s="802" t="n"/>
      <c r="R157" s="802" t="n"/>
      <c r="S157" s="802" t="n"/>
      <c r="T157" s="802" t="n"/>
      <c r="U157" s="802" t="n"/>
      <c r="V157" s="802" t="n"/>
      <c r="W157" s="802" t="n"/>
      <c r="X157" s="802" t="n"/>
      <c r="Y157" s="802" t="n"/>
      <c r="Z157" s="802" t="n"/>
    </row>
    <row r="158">
      <c r="A158" s="802" t="n"/>
      <c r="B158" s="802" t="n"/>
      <c r="C158" s="802" t="n"/>
      <c r="D158" s="802" t="n"/>
      <c r="E158" s="802" t="n"/>
      <c r="F158" s="802" t="n"/>
      <c r="G158" s="803" t="n"/>
      <c r="H158" s="802" t="n"/>
      <c r="I158" s="802" t="n"/>
      <c r="J158" s="802" t="n"/>
      <c r="K158" s="802" t="n"/>
      <c r="L158" s="802" t="n"/>
      <c r="M158" s="802" t="n"/>
      <c r="N158" s="802" t="n"/>
      <c r="O158" s="802" t="n"/>
      <c r="P158" s="802" t="n"/>
      <c r="Q158" s="802" t="n"/>
      <c r="R158" s="802" t="n"/>
      <c r="S158" s="802" t="n"/>
      <c r="T158" s="802" t="n"/>
      <c r="U158" s="802" t="n"/>
      <c r="V158" s="802" t="n"/>
      <c r="W158" s="802" t="n"/>
      <c r="X158" s="802" t="n"/>
      <c r="Y158" s="802" t="n"/>
      <c r="Z158" s="802" t="n"/>
    </row>
    <row r="159">
      <c r="A159" s="802" t="n"/>
      <c r="B159" s="802" t="n"/>
      <c r="C159" s="802" t="n"/>
      <c r="D159" s="802" t="n"/>
      <c r="E159" s="802" t="n"/>
      <c r="F159" s="802" t="n"/>
      <c r="G159" s="803" t="n"/>
      <c r="H159" s="802" t="n"/>
      <c r="I159" s="802" t="n"/>
      <c r="J159" s="802" t="n"/>
      <c r="K159" s="802" t="n"/>
      <c r="L159" s="802" t="n"/>
      <c r="M159" s="802" t="n"/>
      <c r="N159" s="802" t="n"/>
      <c r="O159" s="802" t="n"/>
      <c r="P159" s="802" t="n"/>
      <c r="Q159" s="802" t="n"/>
      <c r="R159" s="802" t="n"/>
      <c r="S159" s="802" t="n"/>
      <c r="T159" s="802" t="n"/>
      <c r="U159" s="802" t="n"/>
      <c r="V159" s="802" t="n"/>
      <c r="W159" s="802" t="n"/>
      <c r="X159" s="802" t="n"/>
      <c r="Y159" s="802" t="n"/>
      <c r="Z159" s="802" t="n"/>
    </row>
    <row r="160">
      <c r="A160" s="802" t="n"/>
      <c r="B160" s="802" t="n"/>
      <c r="C160" s="802" t="n"/>
      <c r="D160" s="802" t="n"/>
      <c r="E160" s="802" t="n"/>
      <c r="F160" s="802" t="n"/>
      <c r="G160" s="803" t="n"/>
      <c r="H160" s="802" t="n"/>
      <c r="I160" s="802" t="n"/>
      <c r="J160" s="802" t="n"/>
      <c r="K160" s="802" t="n"/>
      <c r="L160" s="802" t="n"/>
      <c r="M160" s="802" t="n"/>
      <c r="N160" s="802" t="n"/>
      <c r="O160" s="802" t="n"/>
      <c r="P160" s="802" t="n"/>
      <c r="Q160" s="802" t="n"/>
      <c r="R160" s="802" t="n"/>
      <c r="S160" s="802" t="n"/>
      <c r="T160" s="802" t="n"/>
      <c r="U160" s="802" t="n"/>
      <c r="V160" s="802" t="n"/>
      <c r="W160" s="802" t="n"/>
      <c r="X160" s="802" t="n"/>
      <c r="Y160" s="802" t="n"/>
      <c r="Z160" s="802" t="n"/>
    </row>
    <row r="161">
      <c r="A161" s="802" t="n"/>
      <c r="B161" s="802" t="n"/>
      <c r="C161" s="802" t="n"/>
      <c r="D161" s="802" t="n"/>
      <c r="E161" s="802" t="n"/>
      <c r="F161" s="802" t="n"/>
      <c r="G161" s="803" t="n"/>
      <c r="H161" s="802" t="n"/>
      <c r="I161" s="802" t="n"/>
      <c r="J161" s="802" t="n"/>
      <c r="K161" s="802" t="n"/>
      <c r="L161" s="802" t="n"/>
      <c r="M161" s="802" t="n"/>
      <c r="N161" s="802" t="n"/>
      <c r="O161" s="802" t="n"/>
      <c r="P161" s="802" t="n"/>
      <c r="Q161" s="802" t="n"/>
      <c r="R161" s="802" t="n"/>
      <c r="S161" s="802" t="n"/>
      <c r="T161" s="802" t="n"/>
      <c r="U161" s="802" t="n"/>
      <c r="V161" s="802" t="n"/>
      <c r="W161" s="802" t="n"/>
      <c r="X161" s="802" t="n"/>
      <c r="Y161" s="802" t="n"/>
      <c r="Z161" s="802" t="n"/>
    </row>
    <row r="162">
      <c r="A162" s="802" t="n"/>
      <c r="B162" s="802" t="n"/>
      <c r="C162" s="802" t="n"/>
      <c r="D162" s="802" t="n"/>
      <c r="E162" s="802" t="n"/>
      <c r="F162" s="802" t="n"/>
      <c r="G162" s="803" t="n"/>
      <c r="H162" s="802" t="n"/>
      <c r="I162" s="802" t="n"/>
      <c r="J162" s="802" t="n"/>
      <c r="K162" s="802" t="n"/>
      <c r="L162" s="802" t="n"/>
      <c r="M162" s="802" t="n"/>
      <c r="N162" s="802" t="n"/>
      <c r="O162" s="802" t="n"/>
      <c r="P162" s="802" t="n"/>
      <c r="Q162" s="802" t="n"/>
      <c r="R162" s="802" t="n"/>
      <c r="S162" s="802" t="n"/>
      <c r="T162" s="802" t="n"/>
      <c r="U162" s="802" t="n"/>
      <c r="V162" s="802" t="n"/>
      <c r="W162" s="802" t="n"/>
      <c r="X162" s="802" t="n"/>
      <c r="Y162" s="802" t="n"/>
      <c r="Z162" s="802" t="n"/>
    </row>
    <row r="165">
      <c r="A165" s="802" t="n"/>
      <c r="B165" s="802" t="n"/>
      <c r="C165" s="802" t="n"/>
      <c r="D165" s="802" t="n"/>
      <c r="E165" s="802" t="n"/>
      <c r="F165" s="802" t="n"/>
      <c r="G165" s="803" t="n"/>
      <c r="H165" s="802" t="n"/>
      <c r="I165" s="802" t="n"/>
      <c r="J165" s="802" t="n"/>
      <c r="K165" s="802" t="n"/>
      <c r="L165" s="802" t="n"/>
      <c r="M165" s="802" t="n"/>
      <c r="N165" s="802" t="n"/>
      <c r="O165" s="802" t="n"/>
      <c r="P165" s="802" t="n"/>
      <c r="Q165" s="802" t="n"/>
      <c r="R165" s="802" t="n"/>
      <c r="S165" s="802" t="n"/>
      <c r="T165" s="802" t="n"/>
      <c r="U165" s="802" t="n"/>
      <c r="V165" s="802" t="n"/>
      <c r="W165" s="802" t="n"/>
      <c r="X165" s="802" t="n"/>
      <c r="Y165" s="802" t="n"/>
      <c r="Z165" s="802" t="n"/>
    </row>
    <row r="166">
      <c r="A166" s="802" t="n"/>
      <c r="B166" s="802" t="n"/>
      <c r="C166" s="802" t="n"/>
      <c r="D166" s="802" t="n"/>
      <c r="E166" s="802" t="n"/>
      <c r="F166" s="802" t="n"/>
      <c r="G166" s="803" t="n"/>
      <c r="H166" s="802" t="n"/>
      <c r="I166" s="802" t="n"/>
      <c r="J166" s="802" t="n"/>
      <c r="K166" s="802" t="n"/>
      <c r="L166" s="802" t="n"/>
      <c r="M166" s="802" t="n"/>
      <c r="N166" s="802" t="n"/>
      <c r="O166" s="802" t="n"/>
      <c r="P166" s="802" t="n"/>
      <c r="Q166" s="802" t="n"/>
      <c r="R166" s="802" t="n"/>
      <c r="S166" s="802" t="n"/>
      <c r="T166" s="802" t="n"/>
      <c r="U166" s="802" t="n"/>
      <c r="V166" s="802" t="n"/>
      <c r="W166" s="802" t="n"/>
      <c r="X166" s="802" t="n"/>
      <c r="Y166" s="802" t="n"/>
      <c r="Z166" s="802" t="n"/>
    </row>
    <row r="167">
      <c r="A167" s="802" t="n"/>
      <c r="B167" s="802" t="n"/>
      <c r="C167" s="802" t="n"/>
      <c r="D167" s="802" t="n"/>
      <c r="E167" s="802" t="n"/>
      <c r="F167" s="802" t="n"/>
      <c r="G167" s="803" t="n"/>
      <c r="H167" s="802" t="n"/>
      <c r="I167" s="802" t="n"/>
      <c r="J167" s="802" t="n"/>
      <c r="K167" s="802" t="n"/>
      <c r="L167" s="802" t="n"/>
      <c r="M167" s="802" t="n"/>
      <c r="N167" s="802" t="n"/>
      <c r="O167" s="802" t="n"/>
      <c r="P167" s="802" t="n"/>
      <c r="Q167" s="802" t="n"/>
      <c r="R167" s="802" t="n"/>
      <c r="S167" s="802" t="n"/>
      <c r="T167" s="802" t="n"/>
      <c r="U167" s="802" t="n"/>
      <c r="V167" s="802" t="n"/>
      <c r="W167" s="802" t="n"/>
      <c r="X167" s="802" t="n"/>
      <c r="Y167" s="802" t="n"/>
      <c r="Z167" s="802" t="n"/>
    </row>
    <row r="168">
      <c r="A168" s="802" t="n"/>
      <c r="B168" s="802" t="n"/>
      <c r="C168" s="802" t="n"/>
      <c r="D168" s="802" t="n"/>
      <c r="E168" s="802" t="n"/>
      <c r="F168" s="802" t="n"/>
      <c r="G168" s="803" t="n"/>
      <c r="H168" s="802" t="n"/>
      <c r="I168" s="802" t="n"/>
      <c r="J168" s="802" t="n"/>
      <c r="K168" s="802" t="n"/>
      <c r="L168" s="802" t="n"/>
      <c r="M168" s="802" t="n"/>
      <c r="N168" s="802" t="n"/>
      <c r="O168" s="802" t="n"/>
      <c r="P168" s="802" t="n"/>
      <c r="Q168" s="802" t="n"/>
      <c r="R168" s="802" t="n"/>
      <c r="S168" s="802" t="n"/>
      <c r="T168" s="802" t="n"/>
      <c r="U168" s="802" t="n"/>
      <c r="V168" s="802" t="n"/>
      <c r="W168" s="802" t="n"/>
      <c r="X168" s="802" t="n"/>
      <c r="Y168" s="802" t="n"/>
      <c r="Z168" s="802" t="n"/>
    </row>
    <row r="169">
      <c r="A169" s="802" t="n"/>
      <c r="B169" s="802" t="n"/>
      <c r="C169" s="802" t="n"/>
      <c r="D169" s="802" t="n"/>
      <c r="E169" s="802" t="n"/>
      <c r="F169" s="802" t="n"/>
      <c r="G169" s="803" t="n"/>
      <c r="H169" s="802" t="n"/>
      <c r="I169" s="802" t="n"/>
      <c r="J169" s="802" t="n"/>
      <c r="K169" s="802" t="n"/>
      <c r="L169" s="802" t="n"/>
      <c r="M169" s="802" t="n"/>
      <c r="N169" s="802" t="n"/>
      <c r="O169" s="802" t="n"/>
      <c r="P169" s="802" t="n"/>
      <c r="Q169" s="802" t="n"/>
      <c r="R169" s="802" t="n"/>
      <c r="S169" s="802" t="n"/>
      <c r="T169" s="802" t="n"/>
      <c r="U169" s="802" t="n"/>
      <c r="V169" s="802" t="n"/>
      <c r="W169" s="802" t="n"/>
      <c r="X169" s="802" t="n"/>
      <c r="Y169" s="802" t="n"/>
      <c r="Z169" s="802" t="n"/>
    </row>
    <row r="170">
      <c r="A170" s="802" t="n"/>
      <c r="B170" s="802" t="n"/>
      <c r="C170" s="802" t="n"/>
      <c r="D170" s="802" t="n"/>
      <c r="E170" s="802" t="n"/>
      <c r="F170" s="802" t="n"/>
      <c r="G170" s="803" t="n"/>
      <c r="H170" s="802" t="n"/>
      <c r="I170" s="802" t="n"/>
      <c r="J170" s="802" t="n"/>
      <c r="K170" s="802" t="n"/>
      <c r="L170" s="802" t="n"/>
      <c r="M170" s="802" t="n"/>
      <c r="N170" s="802" t="n"/>
      <c r="O170" s="802" t="n"/>
      <c r="P170" s="802" t="n"/>
      <c r="Q170" s="802" t="n"/>
      <c r="R170" s="802" t="n"/>
      <c r="S170" s="802" t="n"/>
      <c r="T170" s="802" t="n"/>
      <c r="U170" s="802" t="n"/>
      <c r="V170" s="802" t="n"/>
      <c r="W170" s="802" t="n"/>
      <c r="X170" s="802" t="n"/>
      <c r="Y170" s="802" t="n"/>
      <c r="Z170" s="802" t="n"/>
    </row>
    <row r="171">
      <c r="A171" s="802" t="n"/>
      <c r="B171" s="802" t="n"/>
      <c r="C171" s="802" t="n"/>
      <c r="D171" s="802" t="n"/>
      <c r="E171" s="802" t="n"/>
      <c r="F171" s="802" t="n"/>
      <c r="G171" s="803" t="n"/>
      <c r="H171" s="802" t="n"/>
      <c r="I171" s="802" t="n"/>
      <c r="J171" s="802" t="n"/>
      <c r="K171" s="802" t="n"/>
      <c r="L171" s="802" t="n"/>
      <c r="M171" s="802" t="n"/>
      <c r="N171" s="802" t="n"/>
      <c r="O171" s="802" t="n"/>
      <c r="P171" s="802" t="n"/>
      <c r="Q171" s="802" t="n"/>
      <c r="R171" s="802" t="n"/>
      <c r="S171" s="802" t="n"/>
      <c r="T171" s="802" t="n"/>
      <c r="U171" s="802" t="n"/>
      <c r="V171" s="802" t="n"/>
      <c r="W171" s="802" t="n"/>
      <c r="X171" s="802" t="n"/>
      <c r="Y171" s="802" t="n"/>
      <c r="Z171" s="802" t="n"/>
    </row>
    <row r="172">
      <c r="A172" s="802" t="n"/>
      <c r="B172" s="802" t="n"/>
      <c r="C172" s="802" t="n"/>
      <c r="D172" s="802" t="n"/>
      <c r="E172" s="802" t="n"/>
      <c r="F172" s="802" t="n"/>
      <c r="G172" s="803" t="n"/>
      <c r="H172" s="802" t="n"/>
      <c r="I172" s="802" t="n"/>
      <c r="J172" s="802" t="n"/>
      <c r="K172" s="802" t="n"/>
      <c r="L172" s="802" t="n"/>
      <c r="M172" s="802" t="n"/>
      <c r="N172" s="802" t="n"/>
      <c r="O172" s="802" t="n"/>
      <c r="P172" s="802" t="n"/>
      <c r="Q172" s="802" t="n"/>
      <c r="R172" s="802" t="n"/>
      <c r="S172" s="802" t="n"/>
      <c r="T172" s="802" t="n"/>
      <c r="U172" s="802" t="n"/>
      <c r="V172" s="802" t="n"/>
      <c r="W172" s="802" t="n"/>
      <c r="X172" s="802" t="n"/>
      <c r="Y172" s="802" t="n"/>
      <c r="Z172" s="802" t="n"/>
    </row>
    <row r="173">
      <c r="A173" s="802" t="n"/>
      <c r="B173" s="802" t="n"/>
      <c r="C173" s="802" t="n"/>
      <c r="D173" s="802" t="n"/>
      <c r="E173" s="802" t="n"/>
      <c r="F173" s="802" t="n"/>
      <c r="G173" s="803" t="n"/>
      <c r="H173" s="802" t="n"/>
      <c r="I173" s="802" t="n"/>
      <c r="J173" s="802" t="n"/>
      <c r="K173" s="802" t="n"/>
      <c r="L173" s="802" t="n"/>
      <c r="M173" s="802" t="n"/>
      <c r="N173" s="802" t="n"/>
      <c r="O173" s="802" t="n"/>
      <c r="P173" s="802" t="n"/>
      <c r="Q173" s="802" t="n"/>
      <c r="R173" s="802" t="n"/>
      <c r="S173" s="802" t="n"/>
      <c r="T173" s="802" t="n"/>
      <c r="U173" s="802" t="n"/>
      <c r="V173" s="802" t="n"/>
      <c r="W173" s="802" t="n"/>
      <c r="X173" s="802" t="n"/>
      <c r="Y173" s="802" t="n"/>
      <c r="Z173" s="802" t="n"/>
    </row>
    <row r="174">
      <c r="A174" s="802" t="n"/>
      <c r="B174" s="802" t="n"/>
      <c r="C174" s="802" t="n"/>
      <c r="D174" s="802" t="n"/>
      <c r="E174" s="802" t="n"/>
      <c r="F174" s="802" t="n"/>
      <c r="G174" s="803" t="n"/>
      <c r="H174" s="802" t="n"/>
      <c r="I174" s="802" t="n"/>
      <c r="J174" s="802" t="n"/>
      <c r="K174" s="802" t="n"/>
      <c r="L174" s="802" t="n"/>
      <c r="M174" s="802" t="n"/>
      <c r="N174" s="802" t="n"/>
      <c r="O174" s="802" t="n"/>
      <c r="P174" s="802" t="n"/>
      <c r="Q174" s="802" t="n"/>
      <c r="R174" s="802" t="n"/>
      <c r="S174" s="802" t="n"/>
      <c r="T174" s="802" t="n"/>
      <c r="U174" s="802" t="n"/>
      <c r="V174" s="802" t="n"/>
      <c r="W174" s="802" t="n"/>
      <c r="X174" s="802" t="n"/>
      <c r="Y174" s="802" t="n"/>
      <c r="Z174" s="802" t="n"/>
    </row>
    <row r="175">
      <c r="A175" s="802" t="n"/>
      <c r="B175" s="802" t="n"/>
      <c r="C175" s="802" t="n"/>
      <c r="D175" s="802" t="n"/>
      <c r="E175" s="802" t="n"/>
      <c r="F175" s="802" t="n"/>
      <c r="G175" s="803" t="n"/>
      <c r="H175" s="802" t="n"/>
      <c r="I175" s="802" t="n"/>
      <c r="J175" s="802" t="n"/>
      <c r="K175" s="802" t="n"/>
      <c r="L175" s="802" t="n"/>
      <c r="M175" s="802" t="n"/>
      <c r="N175" s="802" t="n"/>
      <c r="O175" s="802" t="n"/>
      <c r="P175" s="802" t="n"/>
      <c r="Q175" s="802" t="n"/>
      <c r="R175" s="802" t="n"/>
      <c r="S175" s="802" t="n"/>
      <c r="T175" s="802" t="n"/>
      <c r="U175" s="802" t="n"/>
      <c r="V175" s="802" t="n"/>
      <c r="W175" s="802" t="n"/>
      <c r="X175" s="802" t="n"/>
      <c r="Y175" s="802" t="n"/>
      <c r="Z175" s="802" t="n"/>
    </row>
    <row r="176">
      <c r="A176" s="802" t="n"/>
      <c r="B176" s="802" t="n"/>
      <c r="C176" s="802" t="n"/>
      <c r="D176" s="802" t="n"/>
      <c r="E176" s="802" t="n"/>
      <c r="F176" s="802" t="n"/>
      <c r="G176" s="803" t="n"/>
      <c r="H176" s="802" t="n"/>
      <c r="I176" s="802" t="n"/>
      <c r="J176" s="802" t="n"/>
      <c r="K176" s="802" t="n"/>
      <c r="L176" s="802" t="n"/>
      <c r="M176" s="802" t="n"/>
      <c r="N176" s="802" t="n"/>
      <c r="O176" s="802" t="n"/>
      <c r="P176" s="802" t="n"/>
      <c r="Q176" s="802" t="n"/>
      <c r="R176" s="802" t="n"/>
      <c r="S176" s="802" t="n"/>
      <c r="T176" s="802" t="n"/>
      <c r="U176" s="802" t="n"/>
      <c r="V176" s="802" t="n"/>
      <c r="W176" s="802" t="n"/>
      <c r="X176" s="802" t="n"/>
      <c r="Y176" s="802" t="n"/>
      <c r="Z176" s="802" t="n"/>
    </row>
    <row r="177">
      <c r="A177" s="802" t="n"/>
      <c r="B177" s="802" t="n"/>
      <c r="C177" s="802" t="n"/>
      <c r="D177" s="802" t="n"/>
      <c r="E177" s="802" t="n"/>
      <c r="F177" s="802" t="n"/>
      <c r="G177" s="803" t="n"/>
      <c r="H177" s="802" t="n"/>
      <c r="I177" s="802" t="n"/>
      <c r="J177" s="802" t="n"/>
      <c r="K177" s="802" t="n"/>
      <c r="L177" s="802" t="n"/>
      <c r="M177" s="802" t="n"/>
      <c r="N177" s="802" t="n"/>
      <c r="O177" s="802" t="n"/>
      <c r="P177" s="802" t="n"/>
      <c r="Q177" s="802" t="n"/>
      <c r="R177" s="802" t="n"/>
      <c r="S177" s="802" t="n"/>
      <c r="T177" s="802" t="n"/>
      <c r="U177" s="802" t="n"/>
      <c r="V177" s="802" t="n"/>
      <c r="W177" s="802" t="n"/>
      <c r="X177" s="802" t="n"/>
      <c r="Y177" s="802" t="n"/>
      <c r="Z177" s="802" t="n"/>
    </row>
    <row r="178">
      <c r="A178" s="802" t="n"/>
      <c r="B178" s="802" t="n"/>
      <c r="C178" s="802" t="n"/>
      <c r="D178" s="802" t="n"/>
      <c r="E178" s="802" t="n"/>
      <c r="F178" s="802" t="n"/>
      <c r="G178" s="803" t="n"/>
      <c r="H178" s="802" t="n"/>
      <c r="I178" s="802" t="n"/>
      <c r="J178" s="802" t="n"/>
      <c r="K178" s="802" t="n"/>
      <c r="L178" s="802" t="n"/>
      <c r="M178" s="802" t="n"/>
      <c r="N178" s="802" t="n"/>
      <c r="O178" s="802" t="n"/>
      <c r="P178" s="802" t="n"/>
      <c r="Q178" s="802" t="n"/>
      <c r="R178" s="802" t="n"/>
      <c r="S178" s="802" t="n"/>
      <c r="T178" s="802" t="n"/>
      <c r="U178" s="802" t="n"/>
      <c r="V178" s="802" t="n"/>
      <c r="W178" s="802" t="n"/>
      <c r="X178" s="802" t="n"/>
      <c r="Y178" s="802" t="n"/>
      <c r="Z178" s="802" t="n"/>
    </row>
    <row r="179">
      <c r="A179" s="802" t="n"/>
      <c r="B179" s="802" t="n"/>
      <c r="C179" s="802" t="n"/>
      <c r="D179" s="802" t="n"/>
      <c r="E179" s="802" t="n"/>
      <c r="F179" s="802" t="n"/>
      <c r="G179" s="803" t="n"/>
      <c r="H179" s="802" t="n"/>
      <c r="I179" s="802" t="n"/>
      <c r="J179" s="802" t="n"/>
      <c r="K179" s="802" t="n"/>
      <c r="L179" s="802" t="n"/>
      <c r="M179" s="802" t="n"/>
      <c r="N179" s="802" t="n"/>
      <c r="O179" s="802" t="n"/>
      <c r="P179" s="802" t="n"/>
      <c r="Q179" s="802" t="n"/>
      <c r="R179" s="802" t="n"/>
      <c r="S179" s="802" t="n"/>
      <c r="T179" s="802" t="n"/>
      <c r="U179" s="802" t="n"/>
      <c r="V179" s="802" t="n"/>
      <c r="W179" s="802" t="n"/>
      <c r="X179" s="802" t="n"/>
      <c r="Y179" s="802" t="n"/>
      <c r="Z179" s="802" t="n"/>
    </row>
    <row r="180">
      <c r="A180" s="802" t="n"/>
      <c r="B180" s="802" t="n"/>
      <c r="C180" s="802" t="n"/>
      <c r="D180" s="802" t="n"/>
      <c r="E180" s="802" t="n"/>
      <c r="F180" s="802" t="n"/>
      <c r="G180" s="803" t="n"/>
      <c r="H180" s="802" t="n"/>
      <c r="I180" s="802" t="n"/>
      <c r="J180" s="802" t="n"/>
      <c r="K180" s="802" t="n"/>
      <c r="L180" s="802" t="n"/>
      <c r="M180" s="802" t="n"/>
      <c r="N180" s="802" t="n"/>
      <c r="O180" s="802" t="n"/>
      <c r="P180" s="802" t="n"/>
      <c r="Q180" s="802" t="n"/>
      <c r="R180" s="802" t="n"/>
      <c r="S180" s="802" t="n"/>
      <c r="T180" s="802" t="n"/>
      <c r="U180" s="802" t="n"/>
      <c r="V180" s="802" t="n"/>
      <c r="W180" s="802" t="n"/>
      <c r="X180" s="802" t="n"/>
      <c r="Y180" s="802" t="n"/>
      <c r="Z180" s="802" t="n"/>
    </row>
    <row r="181">
      <c r="A181" s="802" t="n"/>
      <c r="B181" s="802" t="n"/>
      <c r="C181" s="802" t="n"/>
      <c r="D181" s="802" t="n"/>
      <c r="E181" s="802" t="n"/>
      <c r="F181" s="802" t="n"/>
      <c r="G181" s="803" t="n"/>
      <c r="H181" s="802" t="n"/>
      <c r="I181" s="802" t="n"/>
      <c r="J181" s="802" t="n"/>
      <c r="K181" s="802" t="n"/>
      <c r="L181" s="802" t="n"/>
      <c r="M181" s="802" t="n"/>
      <c r="N181" s="802" t="n"/>
      <c r="O181" s="802" t="n"/>
      <c r="P181" s="802" t="n"/>
      <c r="Q181" s="802" t="n"/>
      <c r="R181" s="802" t="n"/>
      <c r="S181" s="802" t="n"/>
      <c r="T181" s="802" t="n"/>
      <c r="U181" s="802" t="n"/>
      <c r="V181" s="802" t="n"/>
      <c r="W181" s="802" t="n"/>
      <c r="X181" s="802" t="n"/>
      <c r="Y181" s="802" t="n"/>
      <c r="Z181" s="802" t="n"/>
    </row>
    <row r="182">
      <c r="A182" s="802" t="n"/>
      <c r="B182" s="802" t="n"/>
      <c r="C182" s="802" t="n"/>
      <c r="D182" s="802" t="n"/>
      <c r="E182" s="802" t="n"/>
      <c r="F182" s="802" t="n"/>
      <c r="G182" s="803" t="n"/>
      <c r="H182" s="802" t="n"/>
      <c r="I182" s="802" t="n"/>
      <c r="J182" s="802" t="n"/>
      <c r="K182" s="802" t="n"/>
      <c r="L182" s="802" t="n"/>
      <c r="M182" s="802" t="n"/>
      <c r="N182" s="802" t="n"/>
      <c r="O182" s="802" t="n"/>
      <c r="P182" s="802" t="n"/>
      <c r="Q182" s="802" t="n"/>
      <c r="R182" s="802" t="n"/>
      <c r="S182" s="802" t="n"/>
      <c r="T182" s="802" t="n"/>
      <c r="U182" s="802" t="n"/>
      <c r="V182" s="802" t="n"/>
      <c r="W182" s="802" t="n"/>
      <c r="X182" s="802" t="n"/>
      <c r="Y182" s="802" t="n"/>
      <c r="Z182" s="802" t="n"/>
    </row>
    <row r="183">
      <c r="A183" s="802" t="n"/>
      <c r="B183" s="802" t="n"/>
      <c r="C183" s="802" t="n"/>
      <c r="D183" s="802" t="n"/>
      <c r="E183" s="802" t="n"/>
      <c r="F183" s="802" t="n"/>
      <c r="G183" s="803" t="n"/>
      <c r="H183" s="802" t="n"/>
      <c r="I183" s="802" t="n"/>
      <c r="J183" s="802" t="n"/>
      <c r="K183" s="802" t="n"/>
      <c r="L183" s="802" t="n"/>
      <c r="M183" s="802" t="n"/>
      <c r="N183" s="802" t="n"/>
      <c r="O183" s="802" t="n"/>
      <c r="P183" s="802" t="n"/>
      <c r="Q183" s="802" t="n"/>
      <c r="R183" s="802" t="n"/>
      <c r="S183" s="802" t="n"/>
      <c r="T183" s="802" t="n"/>
      <c r="U183" s="802" t="n"/>
      <c r="V183" s="802" t="n"/>
      <c r="W183" s="802" t="n"/>
      <c r="X183" s="802" t="n"/>
      <c r="Y183" s="802" t="n"/>
      <c r="Z183" s="802" t="n"/>
    </row>
    <row r="184">
      <c r="A184" s="802" t="n"/>
      <c r="B184" s="802" t="n"/>
      <c r="C184" s="802" t="n"/>
      <c r="D184" s="802" t="n"/>
      <c r="E184" s="802" t="n"/>
      <c r="F184" s="802" t="n"/>
      <c r="G184" s="803" t="n"/>
      <c r="H184" s="802" t="n"/>
      <c r="I184" s="802" t="n"/>
      <c r="J184" s="802" t="n"/>
      <c r="K184" s="802" t="n"/>
      <c r="L184" s="802" t="n"/>
      <c r="M184" s="802" t="n"/>
      <c r="N184" s="802" t="n"/>
      <c r="O184" s="802" t="n"/>
      <c r="P184" s="802" t="n"/>
      <c r="Q184" s="802" t="n"/>
      <c r="R184" s="802" t="n"/>
      <c r="S184" s="802" t="n"/>
      <c r="T184" s="802" t="n"/>
      <c r="U184" s="802" t="n"/>
      <c r="V184" s="802" t="n"/>
      <c r="W184" s="802" t="n"/>
      <c r="X184" s="802" t="n"/>
      <c r="Y184" s="802" t="n"/>
      <c r="Z184" s="802" t="n"/>
    </row>
    <row r="185">
      <c r="A185" s="802" t="n"/>
      <c r="B185" s="802" t="n"/>
      <c r="C185" s="802" t="n"/>
      <c r="D185" s="802" t="n"/>
      <c r="E185" s="802" t="n"/>
      <c r="F185" s="802" t="n"/>
      <c r="G185" s="803" t="n"/>
      <c r="H185" s="802" t="n"/>
      <c r="I185" s="802" t="n"/>
      <c r="J185" s="802" t="n"/>
      <c r="K185" s="802" t="n"/>
      <c r="L185" s="802" t="n"/>
      <c r="M185" s="802" t="n"/>
      <c r="N185" s="802" t="n"/>
      <c r="O185" s="802" t="n"/>
      <c r="P185" s="802" t="n"/>
      <c r="Q185" s="802" t="n"/>
      <c r="R185" s="802" t="n"/>
      <c r="S185" s="802" t="n"/>
      <c r="T185" s="802" t="n"/>
      <c r="U185" s="802" t="n"/>
      <c r="V185" s="802" t="n"/>
      <c r="W185" s="802" t="n"/>
      <c r="X185" s="802" t="n"/>
      <c r="Y185" s="802" t="n"/>
      <c r="Z185" s="802" t="n"/>
    </row>
    <row r="186">
      <c r="A186" s="802" t="n"/>
      <c r="B186" s="802" t="n"/>
      <c r="C186" s="802" t="n"/>
      <c r="D186" s="802" t="n"/>
      <c r="E186" s="802" t="n"/>
      <c r="F186" s="802" t="n"/>
      <c r="G186" s="803" t="n"/>
      <c r="H186" s="802" t="n"/>
      <c r="I186" s="802" t="n"/>
      <c r="J186" s="802" t="n"/>
      <c r="K186" s="802" t="n"/>
      <c r="L186" s="802" t="n"/>
      <c r="M186" s="802" t="n"/>
      <c r="N186" s="802" t="n"/>
      <c r="O186" s="802" t="n"/>
      <c r="P186" s="802" t="n"/>
      <c r="Q186" s="802" t="n"/>
      <c r="R186" s="802" t="n"/>
      <c r="S186" s="802" t="n"/>
      <c r="T186" s="802" t="n"/>
      <c r="U186" s="802" t="n"/>
      <c r="V186" s="802" t="n"/>
      <c r="W186" s="802" t="n"/>
      <c r="X186" s="802" t="n"/>
      <c r="Y186" s="802" t="n"/>
      <c r="Z186" s="802" t="n"/>
    </row>
    <row r="187">
      <c r="A187" s="802" t="n"/>
      <c r="B187" s="802" t="n"/>
      <c r="C187" s="802" t="n"/>
      <c r="D187" s="802" t="n"/>
      <c r="E187" s="802" t="n"/>
      <c r="F187" s="802" t="n"/>
      <c r="G187" s="803" t="n"/>
      <c r="H187" s="802" t="n"/>
      <c r="I187" s="802" t="n"/>
      <c r="J187" s="802" t="n"/>
      <c r="K187" s="802" t="n"/>
      <c r="L187" s="802" t="n"/>
      <c r="M187" s="802" t="n"/>
      <c r="N187" s="802" t="n"/>
      <c r="O187" s="802" t="n"/>
      <c r="P187" s="802" t="n"/>
      <c r="Q187" s="802" t="n"/>
      <c r="R187" s="802" t="n"/>
      <c r="S187" s="802" t="n"/>
      <c r="T187" s="802" t="n"/>
      <c r="U187" s="802" t="n"/>
      <c r="V187" s="802" t="n"/>
      <c r="W187" s="802" t="n"/>
      <c r="X187" s="802" t="n"/>
      <c r="Y187" s="802" t="n"/>
      <c r="Z187" s="802" t="n"/>
    </row>
    <row r="188">
      <c r="A188" s="802" t="n"/>
      <c r="B188" s="802" t="n"/>
      <c r="C188" s="802" t="n"/>
      <c r="D188" s="802" t="n"/>
      <c r="E188" s="802" t="n"/>
      <c r="F188" s="802" t="n"/>
      <c r="G188" s="803" t="n"/>
      <c r="H188" s="802" t="n"/>
      <c r="I188" s="802" t="n"/>
      <c r="J188" s="802" t="n"/>
      <c r="K188" s="802" t="n"/>
      <c r="L188" s="802" t="n"/>
      <c r="M188" s="802" t="n"/>
      <c r="N188" s="802" t="n"/>
      <c r="O188" s="802" t="n"/>
      <c r="P188" s="802" t="n"/>
      <c r="Q188" s="802" t="n"/>
      <c r="R188" s="802" t="n"/>
      <c r="S188" s="802" t="n"/>
      <c r="T188" s="802" t="n"/>
      <c r="U188" s="802" t="n"/>
      <c r="V188" s="802" t="n"/>
      <c r="W188" s="802" t="n"/>
      <c r="X188" s="802" t="n"/>
      <c r="Y188" s="802" t="n"/>
      <c r="Z188" s="802" t="n"/>
    </row>
    <row r="189">
      <c r="A189" s="802" t="n"/>
      <c r="B189" s="802" t="n"/>
      <c r="C189" s="802" t="n"/>
      <c r="D189" s="802" t="n"/>
      <c r="E189" s="802" t="n"/>
      <c r="F189" s="802" t="n"/>
      <c r="G189" s="803" t="n"/>
      <c r="H189" s="802" t="n"/>
      <c r="I189" s="802" t="n"/>
      <c r="J189" s="802" t="n"/>
      <c r="K189" s="802" t="n"/>
      <c r="L189" s="802" t="n"/>
      <c r="M189" s="802" t="n"/>
      <c r="N189" s="802" t="n"/>
      <c r="O189" s="802" t="n"/>
      <c r="P189" s="802" t="n"/>
      <c r="Q189" s="802" t="n"/>
      <c r="R189" s="802" t="n"/>
      <c r="S189" s="802" t="n"/>
      <c r="T189" s="802" t="n"/>
      <c r="U189" s="802" t="n"/>
      <c r="V189" s="802" t="n"/>
      <c r="W189" s="802" t="n"/>
      <c r="X189" s="802" t="n"/>
      <c r="Y189" s="802" t="n"/>
      <c r="Z189" s="802" t="n"/>
    </row>
    <row r="190">
      <c r="A190" s="802" t="n"/>
      <c r="B190" s="802" t="n"/>
      <c r="C190" s="802" t="n"/>
      <c r="D190" s="802" t="n"/>
      <c r="E190" s="802" t="n"/>
      <c r="F190" s="802" t="n"/>
      <c r="G190" s="803" t="n"/>
      <c r="H190" s="802" t="n"/>
      <c r="I190" s="802" t="n"/>
      <c r="J190" s="802" t="n"/>
      <c r="K190" s="802" t="n"/>
      <c r="L190" s="802" t="n"/>
      <c r="M190" s="802" t="n"/>
      <c r="N190" s="802" t="n"/>
      <c r="O190" s="802" t="n"/>
      <c r="P190" s="802" t="n"/>
      <c r="Q190" s="802" t="n"/>
      <c r="R190" s="802" t="n"/>
      <c r="S190" s="802" t="n"/>
      <c r="T190" s="802" t="n"/>
      <c r="U190" s="802" t="n"/>
      <c r="V190" s="802" t="n"/>
      <c r="W190" s="802" t="n"/>
      <c r="X190" s="802" t="n"/>
      <c r="Y190" s="802" t="n"/>
      <c r="Z190" s="802" t="n"/>
    </row>
    <row r="191">
      <c r="A191" s="802" t="n"/>
      <c r="B191" s="802" t="n"/>
      <c r="C191" s="802" t="n"/>
      <c r="D191" s="802" t="n"/>
      <c r="E191" s="802" t="n"/>
      <c r="F191" s="802" t="n"/>
      <c r="G191" s="803" t="n"/>
      <c r="H191" s="802" t="n"/>
      <c r="I191" s="802" t="n"/>
      <c r="J191" s="802" t="n"/>
      <c r="K191" s="802" t="n"/>
      <c r="L191" s="802" t="n"/>
      <c r="M191" s="802" t="n"/>
      <c r="N191" s="802" t="n"/>
      <c r="O191" s="802" t="n"/>
      <c r="P191" s="802" t="n"/>
      <c r="Q191" s="802" t="n"/>
      <c r="R191" s="802" t="n"/>
      <c r="S191" s="802" t="n"/>
      <c r="T191" s="802" t="n"/>
      <c r="U191" s="802" t="n"/>
      <c r="V191" s="802" t="n"/>
      <c r="W191" s="802" t="n"/>
      <c r="X191" s="802" t="n"/>
      <c r="Y191" s="802" t="n"/>
      <c r="Z191" s="802" t="n"/>
    </row>
    <row r="192">
      <c r="A192" s="802" t="n"/>
      <c r="B192" s="802" t="n"/>
      <c r="C192" s="802" t="n"/>
      <c r="D192" s="802" t="n"/>
      <c r="E192" s="802" t="n"/>
      <c r="F192" s="802" t="n"/>
      <c r="G192" s="803" t="n"/>
      <c r="H192" s="802" t="n"/>
      <c r="I192" s="802" t="n"/>
      <c r="J192" s="802" t="n"/>
      <c r="K192" s="802" t="n"/>
      <c r="L192" s="802" t="n"/>
      <c r="M192" s="802" t="n"/>
      <c r="N192" s="802" t="n"/>
      <c r="O192" s="802" t="n"/>
      <c r="P192" s="802" t="n"/>
      <c r="Q192" s="802" t="n"/>
      <c r="R192" s="802" t="n"/>
      <c r="S192" s="802" t="n"/>
      <c r="T192" s="802" t="n"/>
      <c r="U192" s="802" t="n"/>
      <c r="V192" s="802" t="n"/>
      <c r="W192" s="802" t="n"/>
      <c r="X192" s="802" t="n"/>
      <c r="Y192" s="802" t="n"/>
      <c r="Z192" s="802" t="n"/>
    </row>
    <row r="193">
      <c r="A193" s="802" t="n"/>
      <c r="B193" s="802" t="n"/>
      <c r="C193" s="802" t="n"/>
      <c r="D193" s="802" t="n"/>
      <c r="E193" s="802" t="n"/>
      <c r="F193" s="802" t="n"/>
      <c r="G193" s="803" t="n"/>
      <c r="H193" s="802" t="n"/>
      <c r="I193" s="802" t="n"/>
      <c r="J193" s="802" t="n"/>
      <c r="K193" s="802" t="n"/>
      <c r="L193" s="802" t="n"/>
      <c r="M193" s="802" t="n"/>
      <c r="N193" s="802" t="n"/>
      <c r="O193" s="802" t="n"/>
      <c r="P193" s="802" t="n"/>
      <c r="Q193" s="802" t="n"/>
      <c r="R193" s="802" t="n"/>
      <c r="S193" s="802" t="n"/>
      <c r="T193" s="802" t="n"/>
      <c r="U193" s="802" t="n"/>
      <c r="V193" s="802" t="n"/>
      <c r="W193" s="802" t="n"/>
      <c r="X193" s="802" t="n"/>
      <c r="Y193" s="802" t="n"/>
      <c r="Z193" s="802" t="n"/>
    </row>
    <row r="194">
      <c r="A194" s="802" t="n"/>
      <c r="B194" s="802" t="n"/>
      <c r="C194" s="802" t="n"/>
      <c r="D194" s="802" t="n"/>
      <c r="E194" s="802" t="n"/>
      <c r="F194" s="802" t="n"/>
      <c r="G194" s="803" t="n"/>
      <c r="H194" s="802" t="n"/>
      <c r="I194" s="802" t="n"/>
      <c r="J194" s="802" t="n"/>
      <c r="K194" s="802" t="n"/>
      <c r="L194" s="802" t="n"/>
      <c r="M194" s="802" t="n"/>
      <c r="N194" s="802" t="n"/>
      <c r="O194" s="802" t="n"/>
      <c r="P194" s="802" t="n"/>
      <c r="Q194" s="802" t="n"/>
      <c r="R194" s="802" t="n"/>
      <c r="S194" s="802" t="n"/>
      <c r="T194" s="802" t="n"/>
      <c r="U194" s="802" t="n"/>
      <c r="V194" s="802" t="n"/>
      <c r="W194" s="802" t="n"/>
      <c r="X194" s="802" t="n"/>
      <c r="Y194" s="802" t="n"/>
      <c r="Z194" s="802" t="n"/>
    </row>
    <row r="195">
      <c r="A195" s="802" t="n"/>
      <c r="B195" s="802" t="n"/>
      <c r="C195" s="802" t="n"/>
      <c r="D195" s="802" t="n"/>
      <c r="E195" s="802" t="n"/>
      <c r="F195" s="802" t="n"/>
      <c r="G195" s="803" t="n"/>
      <c r="H195" s="802" t="n"/>
      <c r="I195" s="802" t="n"/>
      <c r="J195" s="802" t="n"/>
      <c r="K195" s="802" t="n"/>
      <c r="L195" s="802" t="n"/>
      <c r="M195" s="802" t="n"/>
      <c r="N195" s="802" t="n"/>
      <c r="O195" s="802" t="n"/>
      <c r="P195" s="802" t="n"/>
      <c r="Q195" s="802" t="n"/>
      <c r="R195" s="802" t="n"/>
      <c r="S195" s="802" t="n"/>
      <c r="T195" s="802" t="n"/>
      <c r="U195" s="802" t="n"/>
      <c r="V195" s="802" t="n"/>
      <c r="W195" s="802" t="n"/>
      <c r="X195" s="802" t="n"/>
      <c r="Y195" s="802" t="n"/>
      <c r="Z195" s="802" t="n"/>
    </row>
    <row r="197">
      <c r="A197" s="802" t="n"/>
      <c r="B197" s="802" t="n"/>
      <c r="C197" s="802" t="n"/>
      <c r="D197" s="802" t="n"/>
      <c r="E197" s="802" t="n"/>
      <c r="F197" s="802" t="n"/>
      <c r="G197" s="803" t="n"/>
      <c r="H197" s="802" t="n"/>
      <c r="I197" s="802" t="n"/>
      <c r="J197" s="802" t="n"/>
      <c r="K197" s="802" t="n"/>
      <c r="L197" s="802" t="n"/>
      <c r="M197" s="802" t="n"/>
      <c r="N197" s="802" t="n"/>
      <c r="O197" s="802" t="n"/>
      <c r="P197" s="802" t="n"/>
      <c r="Q197" s="802" t="n"/>
      <c r="R197" s="802" t="n"/>
      <c r="S197" s="802" t="n"/>
      <c r="T197" s="802" t="n"/>
      <c r="U197" s="802" t="n"/>
      <c r="V197" s="802" t="n"/>
      <c r="W197" s="802" t="n"/>
      <c r="X197" s="802" t="n"/>
      <c r="Y197" s="802" t="n"/>
      <c r="Z197" s="802" t="n"/>
    </row>
    <row r="198">
      <c r="A198" s="802" t="n"/>
      <c r="B198" s="802" t="n"/>
      <c r="C198" s="802" t="n"/>
      <c r="D198" s="802" t="n"/>
      <c r="E198" s="802" t="n"/>
      <c r="F198" s="802" t="n"/>
      <c r="G198" s="803" t="n"/>
      <c r="H198" s="802" t="n"/>
      <c r="I198" s="802" t="n"/>
      <c r="J198" s="802" t="n"/>
      <c r="K198" s="802" t="n"/>
      <c r="L198" s="802" t="n"/>
      <c r="M198" s="802" t="n"/>
      <c r="N198" s="802" t="n"/>
      <c r="O198" s="802" t="n"/>
      <c r="P198" s="802" t="n"/>
      <c r="Q198" s="802" t="n"/>
      <c r="R198" s="802" t="n"/>
      <c r="S198" s="802" t="n"/>
      <c r="T198" s="802" t="n"/>
      <c r="U198" s="802" t="n"/>
      <c r="V198" s="802" t="n"/>
      <c r="W198" s="802" t="n"/>
      <c r="X198" s="802" t="n"/>
      <c r="Y198" s="802" t="n"/>
      <c r="Z198" s="802" t="n"/>
    </row>
    <row r="199">
      <c r="A199" s="802" t="n"/>
      <c r="B199" s="802" t="n"/>
      <c r="C199" s="802" t="n"/>
      <c r="D199" s="802" t="n"/>
      <c r="E199" s="802" t="n"/>
      <c r="F199" s="802" t="n"/>
      <c r="G199" s="803" t="n"/>
      <c r="H199" s="802" t="n"/>
      <c r="I199" s="802" t="n"/>
      <c r="J199" s="802" t="n"/>
      <c r="K199" s="802" t="n"/>
      <c r="L199" s="802" t="n"/>
      <c r="M199" s="802" t="n"/>
      <c r="N199" s="802" t="n"/>
      <c r="O199" s="802" t="n"/>
      <c r="P199" s="802" t="n"/>
      <c r="Q199" s="802" t="n"/>
      <c r="R199" s="802" t="n"/>
      <c r="S199" s="802" t="n"/>
      <c r="T199" s="802" t="n"/>
      <c r="U199" s="802" t="n"/>
      <c r="V199" s="802" t="n"/>
      <c r="W199" s="802" t="n"/>
      <c r="X199" s="802" t="n"/>
      <c r="Y199" s="802" t="n"/>
      <c r="Z199" s="802" t="n"/>
    </row>
    <row r="200">
      <c r="A200" s="802" t="n"/>
      <c r="B200" s="802" t="n"/>
      <c r="C200" s="802" t="n"/>
      <c r="D200" s="802" t="n"/>
      <c r="E200" s="802" t="n"/>
      <c r="F200" s="802" t="n"/>
      <c r="G200" s="803" t="n"/>
      <c r="H200" s="802" t="n"/>
      <c r="I200" s="802" t="n"/>
      <c r="J200" s="802" t="n"/>
      <c r="K200" s="802" t="n"/>
      <c r="L200" s="802" t="n"/>
      <c r="M200" s="802" t="n"/>
      <c r="N200" s="802" t="n"/>
      <c r="O200" s="802" t="n"/>
      <c r="P200" s="802" t="n"/>
      <c r="Q200" s="802" t="n"/>
      <c r="R200" s="802" t="n"/>
      <c r="S200" s="802" t="n"/>
      <c r="T200" s="802" t="n"/>
      <c r="U200" s="802" t="n"/>
      <c r="V200" s="802" t="n"/>
      <c r="W200" s="802" t="n"/>
      <c r="X200" s="802" t="n"/>
      <c r="Y200" s="802" t="n"/>
      <c r="Z200" s="802" t="n"/>
    </row>
    <row r="201">
      <c r="A201" s="802" t="n"/>
      <c r="B201" s="802" t="n"/>
      <c r="C201" s="802" t="n"/>
      <c r="D201" s="802" t="n"/>
      <c r="E201" s="802" t="n"/>
      <c r="F201" s="802" t="n"/>
      <c r="G201" s="803" t="n"/>
      <c r="H201" s="802" t="n"/>
      <c r="I201" s="802" t="n"/>
      <c r="J201" s="802" t="n"/>
      <c r="K201" s="802" t="n"/>
      <c r="L201" s="802" t="n"/>
      <c r="M201" s="802" t="n"/>
      <c r="N201" s="802" t="n"/>
      <c r="O201" s="802" t="n"/>
      <c r="P201" s="802" t="n"/>
      <c r="Q201" s="802" t="n"/>
      <c r="R201" s="802" t="n"/>
      <c r="S201" s="802" t="n"/>
      <c r="T201" s="802" t="n"/>
      <c r="U201" s="802" t="n"/>
      <c r="V201" s="802" t="n"/>
      <c r="W201" s="802" t="n"/>
      <c r="X201" s="802" t="n"/>
      <c r="Y201" s="802" t="n"/>
      <c r="Z201" s="802" t="n"/>
    </row>
  </sheetData>
  <mergeCells count="1">
    <mergeCell ref="A151:E15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Y49"/>
  <sheetViews>
    <sheetView workbookViewId="0">
      <pane ySplit="1" topLeftCell="A2" activePane="bottomLeft" state="frozen"/>
      <selection pane="bottomLeft" activeCell="A1" sqref="A1"/>
    </sheetView>
  </sheetViews>
  <sheetFormatPr baseColWidth="8" defaultColWidth="9.140625" defaultRowHeight="15"/>
  <cols>
    <col width="15.7109375" customWidth="1" style="83" min="1" max="1"/>
    <col width="4.28515625" bestFit="1" customWidth="1" style="83" min="2" max="2"/>
    <col width="15.7109375" customWidth="1" style="83" min="3" max="3"/>
    <col width="50.7109375" customWidth="1" style="83" min="4" max="4"/>
    <col hidden="1" width="20.7109375" customWidth="1" style="140" min="5" max="5"/>
    <col hidden="1" width="50.7109375" customWidth="1" style="83" min="6" max="6"/>
    <col hidden="1" outlineLevel="1" width="10.7109375" customWidth="1" style="83" min="7" max="7"/>
    <col hidden="1" outlineLevel="1" width="40.140625" customWidth="1" style="83" min="8" max="9"/>
    <col hidden="1" outlineLevel="1" width="30.7109375" customWidth="1" style="83" min="10" max="10"/>
    <col hidden="1" outlineLevel="1" width="15.7109375" customWidth="1" style="83" min="11" max="12"/>
    <col hidden="1" collapsed="1" width="15.7109375" customWidth="1" style="83" min="13" max="13"/>
    <col width="15.7109375" customWidth="1" style="83" min="14" max="14"/>
    <col width="25.28515625" bestFit="1" customWidth="1" style="83" min="15" max="15"/>
    <col hidden="1" outlineLevel="1" width="20.7109375" customWidth="1" style="83" min="16" max="16"/>
    <col hidden="1" outlineLevel="1" width="30.7109375" customWidth="1" style="83" min="17" max="17"/>
    <col hidden="1" outlineLevel="3" width="40.7109375" customWidth="1" style="83" min="18" max="18"/>
    <col hidden="1" outlineLevel="3" width="20.7109375" customWidth="1" style="83" min="19" max="19"/>
    <col hidden="1" outlineLevel="3" width="30.7109375" customWidth="1" style="83" min="20" max="20"/>
    <col hidden="1" outlineLevel="1" width="15.7109375" customWidth="1" style="83" min="21" max="22"/>
    <col hidden="1" outlineLevel="3" width="15.7109375" customWidth="1" style="83" min="23" max="23"/>
    <col hidden="1" outlineLevel="3" width="20.7109375" customWidth="1" style="83" min="24" max="24"/>
    <col hidden="1" outlineLevel="3" width="40.7109375" customWidth="1" style="83" min="25" max="25"/>
    <col hidden="1" outlineLevel="2" width="20.7109375" customWidth="1" style="83" min="26" max="32"/>
    <col hidden="1" outlineLevel="1" width="19.28515625" customWidth="1" style="83" min="33" max="34"/>
    <col hidden="1" outlineLevel="3" width="20.7109375" customWidth="1" style="83" min="35" max="50"/>
    <col hidden="1" outlineLevel="2" width="20.7109375" customWidth="1" style="83" min="51" max="54"/>
    <col hidden="1" outlineLevel="2" width="16.85546875" customWidth="1" style="141" min="55" max="55"/>
    <col hidden="1" outlineLevel="3" width="20.7109375" customWidth="1" style="83" min="56" max="59"/>
    <col hidden="1" outlineLevel="2" width="62.28515625" customWidth="1" style="83" min="60" max="60"/>
    <col hidden="1" outlineLevel="3" width="20.7109375" customWidth="1" style="83" min="61" max="64"/>
    <col hidden="1" outlineLevel="2" width="43.7109375" customWidth="1" style="83" min="65" max="65"/>
    <col hidden="1" outlineLevel="2" width="9.140625" customWidth="1" style="83" min="66" max="71"/>
    <col collapsed="1" width="17.5703125" customWidth="1" style="83" min="72" max="72"/>
    <col width="18.28515625" customWidth="1" style="83" min="73" max="73"/>
    <col width="9.140625" customWidth="1" style="83" min="74" max="75"/>
    <col width="9.140625" bestFit="1" customWidth="1" style="83" min="76" max="76"/>
    <col width="22.28515625" customWidth="1" style="83" min="77" max="77"/>
    <col width="9.140625" customWidth="1" style="83" min="78" max="16383"/>
    <col width="9.140625" bestFit="1" customWidth="1" style="83" min="16384" max="16384"/>
  </cols>
  <sheetData>
    <row r="1" ht="60" customHeight="1">
      <c r="A1" s="87" t="inlineStr">
        <is>
          <t>REGIÃO</t>
        </is>
      </c>
      <c r="B1" s="87" t="inlineStr">
        <is>
          <t>UF</t>
        </is>
      </c>
      <c r="C1" s="87" t="inlineStr">
        <is>
          <t>MUNICIPIO</t>
        </is>
      </c>
      <c r="D1" s="87" t="inlineStr">
        <is>
          <t>PROPONENTE / ENTIDADE</t>
        </is>
      </c>
      <c r="E1" s="88" t="inlineStr">
        <is>
          <t>CNPJ</t>
        </is>
      </c>
      <c r="F1" s="87" t="inlineStr">
        <is>
          <t>UNIDADE ASSISTIDA</t>
        </is>
      </c>
      <c r="G1" s="88" t="inlineStr">
        <is>
          <t>CNES</t>
        </is>
      </c>
      <c r="H1" s="87" t="inlineStr">
        <is>
          <t>LATITUDE</t>
        </is>
      </c>
      <c r="I1" s="87" t="inlineStr">
        <is>
          <t>LONGITUDE</t>
        </is>
      </c>
      <c r="J1" s="87" t="inlineStr">
        <is>
          <t>MODALIDADE - SITE</t>
        </is>
      </c>
      <c r="K1" s="87" t="inlineStr">
        <is>
          <t>TIPO EXECUTOR</t>
        </is>
      </c>
      <c r="L1" s="87" t="inlineStr">
        <is>
          <t>NOME DE SISTEMA FONTE</t>
        </is>
      </c>
      <c r="M1" s="87" t="inlineStr">
        <is>
          <t>TIPO DE CONTRATAÇÃO</t>
        </is>
      </c>
      <c r="N1" s="87" t="inlineStr">
        <is>
          <t>ANO DO INSTRUMENTO</t>
        </is>
      </c>
      <c r="O1" s="88" t="inlineStr">
        <is>
          <t>REGISTRO/CÓDIGO NO SISTEMA</t>
        </is>
      </c>
      <c r="P1" s="88" t="inlineStr">
        <is>
          <t>N° PROPOSTA SISPRO</t>
        </is>
      </c>
      <c r="Q1" s="88" t="inlineStr">
        <is>
          <t>NUP SEI</t>
        </is>
      </c>
      <c r="R1" s="87" t="inlineStr">
        <is>
          <t xml:space="preserve">COMPONENTE </t>
        </is>
      </c>
      <c r="S1" s="87" t="inlineStr">
        <is>
          <t>FINALIDADE</t>
        </is>
      </c>
      <c r="T1" s="87" t="inlineStr">
        <is>
          <t>TIPO DE EQUIPAMENTO</t>
        </is>
      </c>
      <c r="U1" s="87" t="inlineStr">
        <is>
          <t>META FÍSICA INSTRUMENTO</t>
        </is>
      </c>
      <c r="V1" s="87" t="inlineStr">
        <is>
          <t>META FÍSICA EQUIPAMENTO</t>
        </is>
      </c>
      <c r="W1" s="87" t="inlineStr">
        <is>
          <t>UNIDADE DE MEDIDA</t>
        </is>
      </c>
      <c r="X1" s="87" t="inlineStr">
        <is>
          <t>NATUREZA DO EMPREENDIMENTO</t>
        </is>
      </c>
      <c r="Y1" s="87" t="inlineStr">
        <is>
          <t>ID MODELO NO TRANSFEREGOV</t>
        </is>
      </c>
      <c r="Z1" s="90" t="inlineStr">
        <is>
          <t>ID CASA CIVIL</t>
        </is>
      </c>
      <c r="AA1" s="104" t="inlineStr">
        <is>
          <t>DATA DE ASSINATURA DO INSTRUMENTO (SISPRO /TRANSFEREGOV)</t>
        </is>
      </c>
      <c r="AB1" s="104" t="inlineStr">
        <is>
          <t>TÉRMINO DA VIGÊNCIA DO INSTRUMENTO (SISPRO /TRANSFEREGOV)</t>
        </is>
      </c>
      <c r="AC1" s="104" t="inlineStr">
        <is>
          <t>DATA LIMITE PARA PRESTAÇÃO DE CONTAS DO INSTRUMENTO (SISPRO /TRANSFEREGOV)</t>
        </is>
      </c>
      <c r="AD1" s="90" t="inlineStr">
        <is>
          <t>SITUAÇÃO DA LICITAÇÃO</t>
        </is>
      </c>
      <c r="AE1" s="90" t="inlineStr">
        <is>
          <t>VENCEDORA DA LICITAÇÃO</t>
        </is>
      </c>
      <c r="AF1" s="90" t="inlineStr">
        <is>
          <t>MARCA/MODELO</t>
        </is>
      </c>
      <c r="AG1" s="90" t="inlineStr">
        <is>
          <t>VALOR TOTAL DE INVESTIMENTO (VALOR GLOBAL)</t>
        </is>
      </c>
      <c r="AH1" s="90" t="inlineStr">
        <is>
          <t>VALOR CONTRAPARTIDA</t>
        </is>
      </c>
      <c r="AI1" s="91" t="inlineStr">
        <is>
          <t>DATA BASE ORÇAMENTO</t>
        </is>
      </c>
      <c r="AJ1" s="90" t="inlineStr">
        <is>
          <t>CÓDIGO DA AÇÃO ORÇAMENTÁRIA</t>
        </is>
      </c>
      <c r="AK1" s="90" t="inlineStr">
        <is>
          <t>PLANO ORÇAMENTÁRIO - PO</t>
        </is>
      </c>
      <c r="AL1" s="90" t="inlineStr">
        <is>
          <t>OGU - VALOR INVESTIMENTO PLANEJADO - 2023</t>
        </is>
      </c>
      <c r="AM1" s="90" t="inlineStr">
        <is>
          <t>OGU - VALOR INVESTIMENTO PLANEJADO - 2024</t>
        </is>
      </c>
      <c r="AN1" s="90" t="inlineStr">
        <is>
          <t>OGU - VALOR INVESTIMENTO PLANEJADO - 2025</t>
        </is>
      </c>
      <c r="AO1" s="90" t="inlineStr">
        <is>
          <t>OGU - VALOR INVESTIMENTO PLANEJADO - 2026</t>
        </is>
      </c>
      <c r="AP1" s="90" t="inlineStr">
        <is>
          <t>OGU - VALOR INVESTIMENTO PLANEJADO - APÓS 2026</t>
        </is>
      </c>
      <c r="AQ1" s="90" t="inlineStr">
        <is>
          <t xml:space="preserve"> OGU - VALOR EMPENHADO (LOA) - 2023 </t>
        </is>
      </c>
      <c r="AR1" s="90" t="inlineStr">
        <is>
          <t xml:space="preserve"> OGU - VALOR PAGO/REPASSADO (LOA) - 2023 </t>
        </is>
      </c>
      <c r="AS1" s="90" t="inlineStr">
        <is>
          <t xml:space="preserve"> OGU - VALOR PAGO (RAP) - 2023 </t>
        </is>
      </c>
      <c r="AT1" s="90" t="inlineStr">
        <is>
          <t xml:space="preserve"> ESTATAL - VALOR PAGO - 2023 </t>
        </is>
      </c>
      <c r="AU1" s="90" t="inlineStr">
        <is>
          <t xml:space="preserve"> OGU - VALOR EMPENHADO (LOA) - 2024 </t>
        </is>
      </c>
      <c r="AV1" s="90" t="inlineStr">
        <is>
          <t xml:space="preserve"> OGU - VALOR PAGO/REPASSADO (LOA) - 2024 </t>
        </is>
      </c>
      <c r="AW1" s="90" t="inlineStr">
        <is>
          <t xml:space="preserve"> OGU - VALOR PAGO (RAP) - 2024 </t>
        </is>
      </c>
      <c r="AX1" s="90" t="inlineStr">
        <is>
          <t xml:space="preserve">ESTATAL - VALOR PAGO - 2024 </t>
        </is>
      </c>
      <c r="AY1" s="90" t="inlineStr">
        <is>
          <t>SITUAÇÃO</t>
        </is>
      </c>
      <c r="AZ1" s="90" t="inlineStr">
        <is>
          <t>FASE</t>
        </is>
      </c>
      <c r="BA1" s="90" t="inlineStr">
        <is>
          <t>SITUAÇÃO - SITE</t>
        </is>
      </c>
      <c r="BB1" s="92" t="inlineStr">
        <is>
          <t>EXECUÇÃO FÍSICA (%)</t>
        </is>
      </c>
      <c r="BC1" s="99" t="inlineStr">
        <is>
          <t>PREVISÃO CONCLUSÃO DO EMPREENDIMENTO</t>
        </is>
      </c>
      <c r="BD1" s="90" t="inlineStr">
        <is>
          <t>TÉCNICO RESPONSÁVEL - TITULAR</t>
        </is>
      </c>
      <c r="BE1" s="90" t="inlineStr">
        <is>
          <t>TÉCNICO RESPONSÁVEL - SUPLENTE</t>
        </is>
      </c>
      <c r="BF1" s="90" t="inlineStr">
        <is>
          <t>STATUS DO MONITORAMENTO</t>
        </is>
      </c>
      <c r="BG1" s="815" t="inlineStr">
        <is>
          <t>PREVISÃO DE INAUGURAÇÃO DO EMPREENDIMENTO</t>
        </is>
      </c>
      <c r="BH1" s="87" t="inlineStr">
        <is>
          <t>OBSERVAÇÃO</t>
        </is>
      </c>
      <c r="BI1" s="87" t="inlineStr">
        <is>
          <t>PRÓXIMA ENTREGA PLANEJADA</t>
        </is>
      </c>
      <c r="BJ1" s="87" t="inlineStr">
        <is>
          <t>DATA DA PRÓXIMA ENTREGA PLANEJADA (dd/mm/aaaa)</t>
        </is>
      </c>
      <c r="BK1" s="87" t="inlineStr">
        <is>
          <t>PARALISADO</t>
        </is>
      </c>
      <c r="BL1" s="87" t="inlineStr">
        <is>
          <t>MOTIVO PARALIZAÇÃO</t>
        </is>
      </c>
      <c r="BM1" s="145" t="inlineStr">
        <is>
          <t>ODS</t>
        </is>
      </c>
      <c r="BN1" s="145" t="inlineStr">
        <is>
          <t>ESTADOS PRIORIZADOS PELO AGORA TEM</t>
        </is>
      </c>
      <c r="BO1" s="145" t="inlineStr">
        <is>
          <t>SAÚDE INDÍGENA</t>
        </is>
      </c>
      <c r="BP1" s="145" t="inlineStr">
        <is>
          <t>AMAZÔNIA LEGAL</t>
        </is>
      </c>
      <c r="BQ1" s="145" t="inlineStr">
        <is>
          <t>SECRETARIA RESPONSÁVEL</t>
        </is>
      </c>
      <c r="BR1" s="145" t="inlineStr">
        <is>
          <t>IBGE</t>
        </is>
      </c>
      <c r="BS1" s="145" t="inlineStr">
        <is>
          <t>ABRANGÊNCIA</t>
        </is>
      </c>
      <c r="BT1" s="157" t="inlineStr">
        <is>
          <t>DATA REPASSE FNS/INSTITUIÇÃO</t>
        </is>
      </c>
      <c r="BU1" s="158" t="inlineStr">
        <is>
          <t>VALOR REPASSE FNS</t>
        </is>
      </c>
    </row>
    <row r="2" ht="39.75" customHeight="1">
      <c r="A2" s="29" t="inlineStr">
        <is>
          <t>SUDESTE</t>
        </is>
      </c>
      <c r="B2" s="29" t="inlineStr">
        <is>
          <t>MG</t>
        </is>
      </c>
      <c r="C2" s="29" t="inlineStr">
        <is>
          <t>IPATINGA</t>
        </is>
      </c>
      <c r="D2" s="29" t="inlineStr">
        <is>
          <t>FUNDACAO SAO FRANCISCO XAVIER</t>
        </is>
      </c>
      <c r="E2" s="84" t="inlineStr">
        <is>
          <t>19878404000100</t>
        </is>
      </c>
      <c r="F2" s="29" t="inlineStr">
        <is>
          <t>FUNDACAO SAO FRANCISCO XAVIER</t>
        </is>
      </c>
      <c r="G2" s="30" t="inlineStr">
        <is>
          <t>2205440</t>
        </is>
      </c>
      <c r="H2" s="128" t="n">
        <v>-19496577</v>
      </c>
      <c r="I2" s="128" t="n">
        <v>-42538291</v>
      </c>
      <c r="J2" s="32" t="inlineStr">
        <is>
          <t>Radioterapia - Aquisição de Equipamentos</t>
        </is>
      </c>
      <c r="K2" s="29" t="inlineStr">
        <is>
          <t>NA</t>
        </is>
      </c>
      <c r="L2" s="29" t="inlineStr">
        <is>
          <t>NA</t>
        </is>
      </c>
      <c r="M2" s="29" t="inlineStr">
        <is>
          <t>Convênio</t>
        </is>
      </c>
      <c r="N2" s="29" t="n">
        <v>2013</v>
      </c>
      <c r="O2" s="29" t="n">
        <v>798406</v>
      </c>
      <c r="P2" s="29" t="n">
        <v>91987813008</v>
      </c>
      <c r="Q2" s="29" t="inlineStr">
        <is>
          <t>25000.235227/2013-28</t>
        </is>
      </c>
      <c r="R2" s="32" t="inlineStr">
        <is>
          <t>CENTRO DE REFERENCIA DE ALTA COMPLEXIDADE EM ONCOLOGIA</t>
        </is>
      </c>
      <c r="S2" s="32" t="inlineStr">
        <is>
          <t>NA</t>
        </is>
      </c>
      <c r="T2" s="29" t="inlineStr">
        <is>
          <t>Acelerador Linear</t>
        </is>
      </c>
      <c r="U2" s="29" t="n">
        <v>1</v>
      </c>
      <c r="V2" s="29" t="n">
        <v>1</v>
      </c>
      <c r="W2" s="32" t="inlineStr">
        <is>
          <t>UND</t>
        </is>
      </c>
      <c r="X2" s="32" t="inlineStr">
        <is>
          <t>EQUIPAMENTO</t>
        </is>
      </c>
      <c r="Y2" s="32" t="inlineStr">
        <is>
          <t>010933-Acelerador Linear de Fótons e Elétrons (dual 10 MV)</t>
        </is>
      </c>
      <c r="Z2" s="32" t="inlineStr">
        <is>
          <t>NA</t>
        </is>
      </c>
      <c r="AA2" s="32" t="inlineStr">
        <is>
          <t>NA</t>
        </is>
      </c>
      <c r="AB2" s="32" t="inlineStr">
        <is>
          <t>NA</t>
        </is>
      </c>
      <c r="AC2" s="32" t="inlineStr">
        <is>
          <t>NA</t>
        </is>
      </c>
      <c r="AD2" s="32" t="inlineStr">
        <is>
          <t>NA</t>
        </is>
      </c>
      <c r="AE2" s="32" t="inlineStr">
        <is>
          <t>NA</t>
        </is>
      </c>
      <c r="AF2" s="32" t="inlineStr">
        <is>
          <t>NA</t>
        </is>
      </c>
      <c r="AG2" s="816" t="n">
        <v>3120930</v>
      </c>
      <c r="AH2" s="816" t="n">
        <v>850255.34</v>
      </c>
      <c r="AI2" s="32" t="inlineStr">
        <is>
          <t>NA</t>
        </is>
      </c>
      <c r="AJ2" s="32" t="inlineStr">
        <is>
          <t>NA</t>
        </is>
      </c>
      <c r="AK2" s="32" t="inlineStr">
        <is>
          <t>NA</t>
        </is>
      </c>
      <c r="AL2" s="32" t="inlineStr">
        <is>
          <t>NA</t>
        </is>
      </c>
      <c r="AM2" s="32" t="inlineStr">
        <is>
          <t>NA</t>
        </is>
      </c>
      <c r="AN2" s="32" t="inlineStr">
        <is>
          <t>NA</t>
        </is>
      </c>
      <c r="AO2" s="32" t="inlineStr">
        <is>
          <t>NA</t>
        </is>
      </c>
      <c r="AP2" s="32" t="inlineStr">
        <is>
          <t>NA</t>
        </is>
      </c>
      <c r="AQ2" s="32" t="inlineStr">
        <is>
          <t>NA</t>
        </is>
      </c>
      <c r="AR2" s="32" t="inlineStr">
        <is>
          <t>NA</t>
        </is>
      </c>
      <c r="AS2" s="32" t="inlineStr">
        <is>
          <t>NA</t>
        </is>
      </c>
      <c r="AT2" s="32" t="inlineStr">
        <is>
          <t>NA</t>
        </is>
      </c>
      <c r="AU2" s="32" t="inlineStr">
        <is>
          <t>NA</t>
        </is>
      </c>
      <c r="AV2" s="32" t="inlineStr">
        <is>
          <t>NA</t>
        </is>
      </c>
      <c r="AW2" s="32" t="inlineStr">
        <is>
          <t>NA</t>
        </is>
      </c>
      <c r="AX2" s="32" t="inlineStr">
        <is>
          <t>NA</t>
        </is>
      </c>
      <c r="AY2" s="1" t="inlineStr">
        <is>
          <t>Concluído</t>
        </is>
      </c>
      <c r="AZ2" s="1" t="inlineStr">
        <is>
          <t>Concluído</t>
        </is>
      </c>
      <c r="BA2" s="1" t="inlineStr">
        <is>
          <t>Concluído</t>
        </is>
      </c>
      <c r="BB2" s="70" t="n">
        <v>1</v>
      </c>
      <c r="BC2" s="103" t="n">
        <v>43248</v>
      </c>
      <c r="BD2" s="32" t="inlineStr">
        <is>
          <t>NA</t>
        </is>
      </c>
      <c r="BE2" s="32" t="inlineStr">
        <is>
          <t>NA</t>
        </is>
      </c>
      <c r="BF2" s="32" t="inlineStr">
        <is>
          <t>NA</t>
        </is>
      </c>
      <c r="BG2" s="32" t="inlineStr">
        <is>
          <t>NA</t>
        </is>
      </c>
      <c r="BH2" s="32" t="inlineStr">
        <is>
          <t>NA</t>
        </is>
      </c>
      <c r="BI2" s="32" t="inlineStr">
        <is>
          <t>NA</t>
        </is>
      </c>
      <c r="BJ2" s="32" t="inlineStr">
        <is>
          <t>NA</t>
        </is>
      </c>
      <c r="BK2" s="32" t="inlineStr">
        <is>
          <t>NA</t>
        </is>
      </c>
      <c r="BL2" s="32" t="inlineStr">
        <is>
          <t>NA</t>
        </is>
      </c>
      <c r="BM2" s="32" t="inlineStr">
        <is>
          <t>NA</t>
        </is>
      </c>
      <c r="BN2" s="32" t="inlineStr">
        <is>
          <t>NA</t>
        </is>
      </c>
      <c r="BO2" s="32" t="inlineStr">
        <is>
          <t>NA</t>
        </is>
      </c>
      <c r="BP2" s="32" t="inlineStr">
        <is>
          <t>NA</t>
        </is>
      </c>
      <c r="BQ2" s="32" t="inlineStr">
        <is>
          <t>NA</t>
        </is>
      </c>
      <c r="BR2" s="32" t="inlineStr">
        <is>
          <t>NA</t>
        </is>
      </c>
      <c r="BS2" s="32" t="inlineStr">
        <is>
          <t>NA</t>
        </is>
      </c>
      <c r="BT2" s="103" t="n">
        <v>41757</v>
      </c>
      <c r="BU2" s="816" t="n">
        <v>2000000</v>
      </c>
    </row>
    <row r="3" ht="39.75" customHeight="1">
      <c r="A3" s="29" t="inlineStr">
        <is>
          <t>NORDESTE</t>
        </is>
      </c>
      <c r="B3" s="29" t="inlineStr">
        <is>
          <t>PI</t>
        </is>
      </c>
      <c r="C3" s="29" t="inlineStr">
        <is>
          <t>TERESINA</t>
        </is>
      </c>
      <c r="D3" s="29" t="inlineStr">
        <is>
          <t>ASSOCIACAO PIAUIENSE DE COMBATE AO CANCER ALCENOR ALMEIDA</t>
        </is>
      </c>
      <c r="E3" s="84" t="inlineStr">
        <is>
          <t>06870026000177</t>
        </is>
      </c>
      <c r="F3" s="29" t="inlineStr">
        <is>
          <t>ASSOCIACAO PIAUIENSE DE COMBATE AO CANCER ALCENOR ALMEIDA</t>
        </is>
      </c>
      <c r="G3" s="30" t="inlineStr">
        <is>
          <t>2726998</t>
        </is>
      </c>
      <c r="H3" s="128" t="n">
        <v>-5089</v>
      </c>
      <c r="I3" s="128" t="n">
        <v>-42802</v>
      </c>
      <c r="J3" s="32" t="inlineStr">
        <is>
          <t>Radioterapia - Aquisição de Equipamentos</t>
        </is>
      </c>
      <c r="K3" s="29" t="inlineStr">
        <is>
          <t>NA</t>
        </is>
      </c>
      <c r="L3" s="29" t="inlineStr">
        <is>
          <t>NA</t>
        </is>
      </c>
      <c r="M3" s="29" t="inlineStr">
        <is>
          <t>Convênio</t>
        </is>
      </c>
      <c r="N3" s="29" t="n">
        <v>2013</v>
      </c>
      <c r="O3" s="29" t="n">
        <v>797861</v>
      </c>
      <c r="P3" s="29" t="n">
        <v>90687013001</v>
      </c>
      <c r="Q3" s="29" t="inlineStr">
        <is>
          <t>25000.229880/2013-58</t>
        </is>
      </c>
      <c r="R3" s="32" t="inlineStr">
        <is>
          <t>CENTRO DE REFERENCIA DE ALTA COMPLEXIDADE EM ONCOLOGIA</t>
        </is>
      </c>
      <c r="S3" s="32" t="inlineStr">
        <is>
          <t>NA</t>
        </is>
      </c>
      <c r="T3" s="29" t="inlineStr">
        <is>
          <t>Acelerador Linear</t>
        </is>
      </c>
      <c r="U3" s="29" t="n">
        <v>1</v>
      </c>
      <c r="V3" s="29" t="n">
        <v>1</v>
      </c>
      <c r="W3" s="32" t="inlineStr">
        <is>
          <t>UND</t>
        </is>
      </c>
      <c r="X3" s="32" t="inlineStr">
        <is>
          <t>EQUIPAMENTO</t>
        </is>
      </c>
      <c r="Y3" s="32" t="inlineStr">
        <is>
          <t>010933-Acelerador Linear de Fótons e Elétrons (dual 10 MV)</t>
        </is>
      </c>
      <c r="Z3" s="32" t="inlineStr">
        <is>
          <t>NA</t>
        </is>
      </c>
      <c r="AA3" s="32" t="inlineStr">
        <is>
          <t>NA</t>
        </is>
      </c>
      <c r="AB3" s="32" t="inlineStr">
        <is>
          <t>NA</t>
        </is>
      </c>
      <c r="AC3" s="32" t="inlineStr">
        <is>
          <t>NA</t>
        </is>
      </c>
      <c r="AD3" s="32" t="inlineStr">
        <is>
          <t>NA</t>
        </is>
      </c>
      <c r="AE3" s="32" t="inlineStr">
        <is>
          <t>NA</t>
        </is>
      </c>
      <c r="AF3" s="32" t="inlineStr">
        <is>
          <t>NA</t>
        </is>
      </c>
      <c r="AG3" s="816" t="n">
        <v>6676600</v>
      </c>
      <c r="AH3" s="816" t="n">
        <v>2599993.25</v>
      </c>
      <c r="AI3" s="32" t="inlineStr">
        <is>
          <t>NA</t>
        </is>
      </c>
      <c r="AJ3" s="32" t="inlineStr">
        <is>
          <t>NA</t>
        </is>
      </c>
      <c r="AK3" s="32" t="inlineStr">
        <is>
          <t>NA</t>
        </is>
      </c>
      <c r="AL3" s="32" t="inlineStr">
        <is>
          <t>NA</t>
        </is>
      </c>
      <c r="AM3" s="32" t="inlineStr">
        <is>
          <t>NA</t>
        </is>
      </c>
      <c r="AN3" s="32" t="inlineStr">
        <is>
          <t>NA</t>
        </is>
      </c>
      <c r="AO3" s="32" t="inlineStr">
        <is>
          <t>NA</t>
        </is>
      </c>
      <c r="AP3" s="32" t="inlineStr">
        <is>
          <t>NA</t>
        </is>
      </c>
      <c r="AQ3" s="32" t="inlineStr">
        <is>
          <t>NA</t>
        </is>
      </c>
      <c r="AR3" s="32" t="inlineStr">
        <is>
          <t>NA</t>
        </is>
      </c>
      <c r="AS3" s="32" t="inlineStr">
        <is>
          <t>NA</t>
        </is>
      </c>
      <c r="AT3" s="32" t="inlineStr">
        <is>
          <t>NA</t>
        </is>
      </c>
      <c r="AU3" s="32" t="inlineStr">
        <is>
          <t>NA</t>
        </is>
      </c>
      <c r="AV3" s="32" t="inlineStr">
        <is>
          <t>NA</t>
        </is>
      </c>
      <c r="AW3" s="32" t="inlineStr">
        <is>
          <t>NA</t>
        </is>
      </c>
      <c r="AX3" s="32" t="inlineStr">
        <is>
          <t>NA</t>
        </is>
      </c>
      <c r="AY3" s="1" t="inlineStr">
        <is>
          <t>Concluído</t>
        </is>
      </c>
      <c r="AZ3" s="1" t="inlineStr">
        <is>
          <t>Concluído</t>
        </is>
      </c>
      <c r="BA3" s="1" t="inlineStr">
        <is>
          <t>Concluído</t>
        </is>
      </c>
      <c r="BB3" s="70" t="n">
        <v>1</v>
      </c>
      <c r="BC3" s="103" t="n">
        <v>44582</v>
      </c>
      <c r="BD3" s="32" t="inlineStr">
        <is>
          <t>NA</t>
        </is>
      </c>
      <c r="BE3" s="32" t="inlineStr">
        <is>
          <t>NA</t>
        </is>
      </c>
      <c r="BF3" s="32" t="inlineStr">
        <is>
          <t>NA</t>
        </is>
      </c>
      <c r="BG3" s="32" t="inlineStr">
        <is>
          <t>NA</t>
        </is>
      </c>
      <c r="BH3" s="32" t="inlineStr">
        <is>
          <t>NA</t>
        </is>
      </c>
      <c r="BI3" s="32" t="inlineStr">
        <is>
          <t>NA</t>
        </is>
      </c>
      <c r="BJ3" s="32" t="inlineStr">
        <is>
          <t>NA</t>
        </is>
      </c>
      <c r="BK3" s="32" t="inlineStr">
        <is>
          <t>NA</t>
        </is>
      </c>
      <c r="BL3" s="32" t="inlineStr">
        <is>
          <t>NA</t>
        </is>
      </c>
      <c r="BM3" s="32" t="inlineStr">
        <is>
          <t>NA</t>
        </is>
      </c>
      <c r="BN3" s="32" t="inlineStr">
        <is>
          <t>NA</t>
        </is>
      </c>
      <c r="BO3" s="32" t="inlineStr">
        <is>
          <t>NA</t>
        </is>
      </c>
      <c r="BP3" s="32" t="inlineStr">
        <is>
          <t>NA</t>
        </is>
      </c>
      <c r="BQ3" s="32" t="inlineStr">
        <is>
          <t>NA</t>
        </is>
      </c>
      <c r="BR3" s="32" t="inlineStr">
        <is>
          <t>NA</t>
        </is>
      </c>
      <c r="BS3" s="32" t="inlineStr">
        <is>
          <t>NA</t>
        </is>
      </c>
      <c r="BT3" s="101" t="n">
        <v>42026</v>
      </c>
      <c r="BU3" s="816" t="n">
        <v>3000000</v>
      </c>
      <c r="BX3" s="370" t="n">
        <v>45181</v>
      </c>
      <c r="BY3" s="817" t="n">
        <v>12811704.7</v>
      </c>
    </row>
    <row r="4" ht="39.75" customHeight="1">
      <c r="A4" s="29" t="inlineStr">
        <is>
          <t>SUL</t>
        </is>
      </c>
      <c r="B4" s="29" t="inlineStr">
        <is>
          <t>RS</t>
        </is>
      </c>
      <c r="C4" s="29" t="inlineStr">
        <is>
          <t>PASSO FUNDO</t>
        </is>
      </c>
      <c r="D4" s="29" t="inlineStr">
        <is>
          <t>ASSOCIACAO HOSPITALAR BENEFICENTE SAO VICENTE DE PAULO</t>
        </is>
      </c>
      <c r="E4" s="84" t="inlineStr">
        <is>
          <t>92021062000106</t>
        </is>
      </c>
      <c r="F4" s="29" t="inlineStr">
        <is>
          <t>ASSOCIACAO HOSPITALAR BENEFICENTE SAO VICENTE DE PAULO</t>
        </is>
      </c>
      <c r="G4" s="30" t="inlineStr">
        <is>
          <t>2246988</t>
        </is>
      </c>
      <c r="H4" s="128" t="n">
        <v>-2825925650784890</v>
      </c>
      <c r="I4" s="128" t="n">
        <v>-5241424798965450</v>
      </c>
      <c r="J4" s="32" t="inlineStr">
        <is>
          <t>Radioterapia - Aquisição de Equipamentos</t>
        </is>
      </c>
      <c r="K4" s="29" t="inlineStr">
        <is>
          <t>NA</t>
        </is>
      </c>
      <c r="L4" s="29" t="inlineStr">
        <is>
          <t>NA</t>
        </is>
      </c>
      <c r="M4" s="29" t="inlineStr">
        <is>
          <t>Convênio</t>
        </is>
      </c>
      <c r="N4" s="29" t="n">
        <v>2013</v>
      </c>
      <c r="O4" s="29" t="n">
        <v>804520</v>
      </c>
      <c r="P4" s="29" t="n">
        <v>99202113002</v>
      </c>
      <c r="Q4" s="29" t="inlineStr">
        <is>
          <t>25000.076380/2014-98</t>
        </is>
      </c>
      <c r="R4" s="32" t="inlineStr">
        <is>
          <t>ESTRUTURAÇÃO DE UNIDADE DE ATENÇÃO ESPECIALIZADA</t>
        </is>
      </c>
      <c r="S4" s="32" t="inlineStr">
        <is>
          <t>NA</t>
        </is>
      </c>
      <c r="T4" s="29" t="inlineStr">
        <is>
          <t>Acelerador Linear</t>
        </is>
      </c>
      <c r="U4" s="29" t="n">
        <v>1</v>
      </c>
      <c r="V4" s="29" t="n">
        <v>1</v>
      </c>
      <c r="W4" s="32" t="inlineStr">
        <is>
          <t>UND</t>
        </is>
      </c>
      <c r="X4" s="32" t="inlineStr">
        <is>
          <t>EQUIPAMENTO</t>
        </is>
      </c>
      <c r="Y4" s="32" t="inlineStr">
        <is>
          <t>010933-Acelerador Linear de Fótons e Elétrons (dual 10 MV)</t>
        </is>
      </c>
      <c r="Z4" s="32" t="inlineStr">
        <is>
          <t>NA</t>
        </is>
      </c>
      <c r="AA4" s="32" t="inlineStr">
        <is>
          <t>NA</t>
        </is>
      </c>
      <c r="AB4" s="32" t="inlineStr">
        <is>
          <t>NA</t>
        </is>
      </c>
      <c r="AC4" s="32" t="inlineStr">
        <is>
          <t>NA</t>
        </is>
      </c>
      <c r="AD4" s="32" t="inlineStr">
        <is>
          <t>NA</t>
        </is>
      </c>
      <c r="AE4" s="32" t="inlineStr">
        <is>
          <t>NA</t>
        </is>
      </c>
      <c r="AF4" s="32" t="inlineStr">
        <is>
          <t>NA</t>
        </is>
      </c>
      <c r="AG4" s="816" t="n">
        <v>2800000</v>
      </c>
      <c r="AH4" s="816" t="n">
        <v>0</v>
      </c>
      <c r="AI4" s="32" t="inlineStr">
        <is>
          <t>NA</t>
        </is>
      </c>
      <c r="AJ4" s="32" t="inlineStr">
        <is>
          <t>NA</t>
        </is>
      </c>
      <c r="AK4" s="32" t="inlineStr">
        <is>
          <t>NA</t>
        </is>
      </c>
      <c r="AL4" s="32" t="inlineStr">
        <is>
          <t>NA</t>
        </is>
      </c>
      <c r="AM4" s="32" t="inlineStr">
        <is>
          <t>NA</t>
        </is>
      </c>
      <c r="AN4" s="32" t="inlineStr">
        <is>
          <t>NA</t>
        </is>
      </c>
      <c r="AO4" s="32" t="inlineStr">
        <is>
          <t>NA</t>
        </is>
      </c>
      <c r="AP4" s="32" t="inlineStr">
        <is>
          <t>NA</t>
        </is>
      </c>
      <c r="AQ4" s="32" t="inlineStr">
        <is>
          <t>NA</t>
        </is>
      </c>
      <c r="AR4" s="32" t="inlineStr">
        <is>
          <t>NA</t>
        </is>
      </c>
      <c r="AS4" s="32" t="inlineStr">
        <is>
          <t>NA</t>
        </is>
      </c>
      <c r="AT4" s="32" t="inlineStr">
        <is>
          <t>NA</t>
        </is>
      </c>
      <c r="AU4" s="32" t="inlineStr">
        <is>
          <t>NA</t>
        </is>
      </c>
      <c r="AV4" s="32" t="inlineStr">
        <is>
          <t>NA</t>
        </is>
      </c>
      <c r="AW4" s="32" t="inlineStr">
        <is>
          <t>NA</t>
        </is>
      </c>
      <c r="AX4" s="32" t="inlineStr">
        <is>
          <t>NA</t>
        </is>
      </c>
      <c r="AY4" s="1" t="inlineStr">
        <is>
          <t>Concluído</t>
        </is>
      </c>
      <c r="AZ4" s="1" t="inlineStr">
        <is>
          <t>Concluído</t>
        </is>
      </c>
      <c r="BA4" s="1" t="inlineStr">
        <is>
          <t>Concluído</t>
        </is>
      </c>
      <c r="BB4" s="70" t="n">
        <v>1</v>
      </c>
      <c r="BC4" s="103" t="n">
        <v>42773</v>
      </c>
      <c r="BD4" s="32" t="inlineStr">
        <is>
          <t>NA</t>
        </is>
      </c>
      <c r="BE4" s="32" t="inlineStr">
        <is>
          <t>NA</t>
        </is>
      </c>
      <c r="BF4" s="32" t="inlineStr">
        <is>
          <t>NA</t>
        </is>
      </c>
      <c r="BG4" s="32" t="inlineStr">
        <is>
          <t>NA</t>
        </is>
      </c>
      <c r="BH4" s="32" t="inlineStr">
        <is>
          <t>NA</t>
        </is>
      </c>
      <c r="BI4" s="32" t="inlineStr">
        <is>
          <t>NA</t>
        </is>
      </c>
      <c r="BJ4" s="32" t="inlineStr">
        <is>
          <t>NA</t>
        </is>
      </c>
      <c r="BK4" s="32" t="inlineStr">
        <is>
          <t>NA</t>
        </is>
      </c>
      <c r="BL4" s="32" t="inlineStr">
        <is>
          <t>NA</t>
        </is>
      </c>
      <c r="BM4" s="32" t="inlineStr">
        <is>
          <t>NA</t>
        </is>
      </c>
      <c r="BN4" s="32" t="inlineStr">
        <is>
          <t>NA</t>
        </is>
      </c>
      <c r="BO4" s="32" t="inlineStr">
        <is>
          <t>NA</t>
        </is>
      </c>
      <c r="BP4" s="32" t="inlineStr">
        <is>
          <t>NA</t>
        </is>
      </c>
      <c r="BQ4" s="32" t="inlineStr">
        <is>
          <t>NA</t>
        </is>
      </c>
      <c r="BR4" s="32" t="inlineStr">
        <is>
          <t>NA</t>
        </is>
      </c>
      <c r="BS4" s="32" t="inlineStr">
        <is>
          <t>NA</t>
        </is>
      </c>
      <c r="BT4" s="103" t="n">
        <v>42086</v>
      </c>
      <c r="BU4" s="816" t="n">
        <v>2800000</v>
      </c>
      <c r="BV4" s="165" t="n"/>
    </row>
    <row r="5" ht="39.75" customFormat="1" customHeight="1" s="80">
      <c r="A5" s="1" t="inlineStr">
        <is>
          <t>SUDESTE</t>
        </is>
      </c>
      <c r="B5" s="1" t="inlineStr">
        <is>
          <t>MG</t>
        </is>
      </c>
      <c r="C5" s="1" t="inlineStr">
        <is>
          <t>UBERABA</t>
        </is>
      </c>
      <c r="D5" s="1" t="inlineStr">
        <is>
          <t>ASSOCIACAO DE COMBATE AO CANCER DO BRASIL CENTRAL</t>
        </is>
      </c>
      <c r="E5" s="82" t="inlineStr">
        <is>
          <t>25438409000115</t>
        </is>
      </c>
      <c r="F5" s="1" t="inlineStr">
        <is>
          <t>ASSOCIACAO DE COMBATE AO CANCER DO BRASIL CENTRAL</t>
        </is>
      </c>
      <c r="G5" s="1" t="n">
        <v>2165058</v>
      </c>
      <c r="H5" s="106" t="n">
        <v>-19748</v>
      </c>
      <c r="I5" s="106" t="n">
        <v>-47932</v>
      </c>
      <c r="J5" s="1" t="inlineStr">
        <is>
          <t>Radioterapia - Aquisição de Equipamentos</t>
        </is>
      </c>
      <c r="K5" s="31" t="inlineStr">
        <is>
          <t>NA</t>
        </is>
      </c>
      <c r="L5" s="31" t="inlineStr">
        <is>
          <t>NA</t>
        </is>
      </c>
      <c r="M5" s="1" t="inlineStr">
        <is>
          <t>Convênio</t>
        </is>
      </c>
      <c r="N5" s="1" t="n">
        <v>2013</v>
      </c>
      <c r="O5" s="3" t="inlineStr">
        <is>
          <t>793057</t>
        </is>
      </c>
      <c r="P5" s="3" t="inlineStr">
        <is>
          <t>92543813002</t>
        </is>
      </c>
      <c r="Q5" s="3" t="inlineStr">
        <is>
          <t>25000.218599/2013-90</t>
        </is>
      </c>
      <c r="R5" s="1" t="inlineStr">
        <is>
          <t>CENTRO DE REFERENCIA DE ALTA COMPLEXIDADE EM ONCOLOGIA</t>
        </is>
      </c>
      <c r="S5" s="32" t="inlineStr">
        <is>
          <t>NA</t>
        </is>
      </c>
      <c r="T5" s="29" t="inlineStr">
        <is>
          <t>Acelerador Linear</t>
        </is>
      </c>
      <c r="U5" s="1" t="n">
        <v>1</v>
      </c>
      <c r="V5" s="1" t="n">
        <v>1</v>
      </c>
      <c r="W5" s="1" t="inlineStr">
        <is>
          <t>UND</t>
        </is>
      </c>
      <c r="X5" s="1" t="inlineStr">
        <is>
          <t>EQUIPAMENTO</t>
        </is>
      </c>
      <c r="Y5" s="1" t="inlineStr">
        <is>
          <t>010933-Acelerador Linear de Fótons e Elétrons (dual 10 MV)</t>
        </is>
      </c>
      <c r="Z5" s="1" t="inlineStr">
        <is>
          <t>NA</t>
        </is>
      </c>
      <c r="AA5" s="32" t="inlineStr">
        <is>
          <t>NA</t>
        </is>
      </c>
      <c r="AB5" s="32" t="inlineStr">
        <is>
          <t>NA</t>
        </is>
      </c>
      <c r="AC5" s="32" t="inlineStr">
        <is>
          <t>NA</t>
        </is>
      </c>
      <c r="AD5" s="1" t="inlineStr">
        <is>
          <t>NA</t>
        </is>
      </c>
      <c r="AE5" s="1" t="inlineStr">
        <is>
          <t>NA</t>
        </is>
      </c>
      <c r="AF5" s="1" t="inlineStr">
        <is>
          <t>NA</t>
        </is>
      </c>
      <c r="AG5" s="816" t="n">
        <v>5465686.86</v>
      </c>
      <c r="AH5" s="816" t="n">
        <v>0</v>
      </c>
      <c r="AI5" s="1" t="inlineStr">
        <is>
          <t>NA</t>
        </is>
      </c>
      <c r="AJ5" s="1" t="inlineStr">
        <is>
          <t>NA</t>
        </is>
      </c>
      <c r="AK5" s="1" t="inlineStr">
        <is>
          <t>NA</t>
        </is>
      </c>
      <c r="AL5" s="1" t="inlineStr">
        <is>
          <t>NA</t>
        </is>
      </c>
      <c r="AM5" s="1" t="inlineStr">
        <is>
          <t>NA</t>
        </is>
      </c>
      <c r="AN5" s="1" t="inlineStr">
        <is>
          <t>NA</t>
        </is>
      </c>
      <c r="AO5" s="1" t="inlineStr">
        <is>
          <t>NA</t>
        </is>
      </c>
      <c r="AP5" s="1" t="inlineStr">
        <is>
          <t>NA</t>
        </is>
      </c>
      <c r="AQ5" s="1" t="inlineStr">
        <is>
          <t>NA</t>
        </is>
      </c>
      <c r="AR5" s="1" t="inlineStr">
        <is>
          <t>NA</t>
        </is>
      </c>
      <c r="AS5" s="1" t="inlineStr">
        <is>
          <t>NA</t>
        </is>
      </c>
      <c r="AT5" s="1" t="inlineStr">
        <is>
          <t>NA</t>
        </is>
      </c>
      <c r="AU5" s="1" t="inlineStr">
        <is>
          <t>NA</t>
        </is>
      </c>
      <c r="AV5" s="1" t="inlineStr">
        <is>
          <t>NA</t>
        </is>
      </c>
      <c r="AW5" s="1" t="inlineStr">
        <is>
          <t>NA</t>
        </is>
      </c>
      <c r="AX5" s="1" t="inlineStr">
        <is>
          <t>NA</t>
        </is>
      </c>
      <c r="AY5" s="1" t="inlineStr">
        <is>
          <t>Concluído</t>
        </is>
      </c>
      <c r="AZ5" s="1" t="inlineStr">
        <is>
          <t>Concluído</t>
        </is>
      </c>
      <c r="BA5" s="1" t="inlineStr">
        <is>
          <t>Concluído</t>
        </is>
      </c>
      <c r="BB5" s="70" t="n">
        <v>1</v>
      </c>
      <c r="BC5" s="101" t="n">
        <v>43221</v>
      </c>
      <c r="BD5" s="1" t="inlineStr">
        <is>
          <t>NA</t>
        </is>
      </c>
      <c r="BE5" s="1" t="inlineStr">
        <is>
          <t>NA</t>
        </is>
      </c>
      <c r="BF5" s="1" t="inlineStr">
        <is>
          <t>NA</t>
        </is>
      </c>
      <c r="BG5" s="1" t="inlineStr">
        <is>
          <t>NA</t>
        </is>
      </c>
      <c r="BH5" s="1" t="inlineStr">
        <is>
          <t>NA</t>
        </is>
      </c>
      <c r="BI5" s="1" t="inlineStr">
        <is>
          <t>NA</t>
        </is>
      </c>
      <c r="BJ5" s="1" t="inlineStr">
        <is>
          <t>NA</t>
        </is>
      </c>
      <c r="BK5" s="1" t="inlineStr">
        <is>
          <t>NA</t>
        </is>
      </c>
      <c r="BL5" s="1" t="inlineStr">
        <is>
          <t>NA</t>
        </is>
      </c>
      <c r="BM5" s="1" t="inlineStr">
        <is>
          <t>NA</t>
        </is>
      </c>
      <c r="BN5" s="1" t="inlineStr">
        <is>
          <t>NA</t>
        </is>
      </c>
      <c r="BO5" s="1" t="inlineStr">
        <is>
          <t>NA</t>
        </is>
      </c>
      <c r="BP5" s="1" t="inlineStr">
        <is>
          <t>NA</t>
        </is>
      </c>
      <c r="BQ5" s="1" t="inlineStr">
        <is>
          <t>NA</t>
        </is>
      </c>
      <c r="BR5" s="1" t="inlineStr">
        <is>
          <t>NA</t>
        </is>
      </c>
      <c r="BS5" s="1" t="inlineStr">
        <is>
          <t>NA</t>
        </is>
      </c>
      <c r="BT5" s="101" t="n">
        <v>42789</v>
      </c>
      <c r="BU5" s="816" t="n">
        <v>5000000</v>
      </c>
    </row>
    <row r="6" ht="39.75" customHeight="1">
      <c r="A6" s="29" t="inlineStr">
        <is>
          <t>SUDESTE</t>
        </is>
      </c>
      <c r="B6" s="29" t="inlineStr">
        <is>
          <t>ES</t>
        </is>
      </c>
      <c r="C6" s="29" t="inlineStr">
        <is>
          <t>VITORIA</t>
        </is>
      </c>
      <c r="D6" s="29" t="inlineStr">
        <is>
          <t>ASSOCIACAO FEMININA DE EDUCACAO E COMBATE AO CANCER</t>
        </is>
      </c>
      <c r="E6" s="84" t="inlineStr">
        <is>
          <t>28137925000106</t>
        </is>
      </c>
      <c r="F6" s="29" t="inlineStr">
        <is>
          <t>ASSOCIACAO FEMININA DE EDUCACAO E COMBATE AO CANCER</t>
        </is>
      </c>
      <c r="G6" s="30" t="inlineStr">
        <is>
          <t>0011738</t>
        </is>
      </c>
      <c r="H6" s="128" t="n">
        <v>-20297499</v>
      </c>
      <c r="I6" s="128" t="n">
        <v>-403171414</v>
      </c>
      <c r="J6" s="32" t="inlineStr">
        <is>
          <t>Radioterapia - Aquisição de Equipamentos</t>
        </is>
      </c>
      <c r="K6" s="29" t="inlineStr">
        <is>
          <t>NA</t>
        </is>
      </c>
      <c r="L6" s="29" t="inlineStr">
        <is>
          <t>NA</t>
        </is>
      </c>
      <c r="M6" s="1" t="inlineStr">
        <is>
          <t>Convênio</t>
        </is>
      </c>
      <c r="N6" s="29" t="n">
        <v>2014</v>
      </c>
      <c r="O6" s="29" t="n">
        <v>811353</v>
      </c>
      <c r="P6" s="29" t="n">
        <v>92813714003</v>
      </c>
      <c r="Q6" s="29" t="inlineStr">
        <is>
          <t>25000.168476/2014-81</t>
        </is>
      </c>
      <c r="R6" s="32" t="inlineStr">
        <is>
          <t>ESTRUTURAÇÃO DE UNIDADE DE ATENÇÃO ESPECIALIZADA</t>
        </is>
      </c>
      <c r="S6" s="32" t="inlineStr">
        <is>
          <t>NA</t>
        </is>
      </c>
      <c r="T6" s="29" t="inlineStr">
        <is>
          <t>Acelerador Linear</t>
        </is>
      </c>
      <c r="U6" s="29" t="n">
        <v>1</v>
      </c>
      <c r="V6" s="29" t="n">
        <v>1</v>
      </c>
      <c r="W6" s="32" t="inlineStr">
        <is>
          <t>UND</t>
        </is>
      </c>
      <c r="X6" s="32" t="inlineStr">
        <is>
          <t>EQUIPAMENTO</t>
        </is>
      </c>
      <c r="Y6" s="32" t="inlineStr">
        <is>
          <t>010933-Acelerador Linear de Fótons e Elétrons (dual 10 MV)</t>
        </is>
      </c>
      <c r="Z6" s="32" t="inlineStr">
        <is>
          <t>NA</t>
        </is>
      </c>
      <c r="AA6" s="32" t="inlineStr">
        <is>
          <t>NA</t>
        </is>
      </c>
      <c r="AB6" s="32" t="inlineStr">
        <is>
          <t>NA</t>
        </is>
      </c>
      <c r="AC6" s="32" t="inlineStr">
        <is>
          <t>NA</t>
        </is>
      </c>
      <c r="AD6" s="32" t="inlineStr">
        <is>
          <t>NA</t>
        </is>
      </c>
      <c r="AE6" s="32" t="inlineStr">
        <is>
          <t>NA</t>
        </is>
      </c>
      <c r="AF6" s="32" t="inlineStr">
        <is>
          <t>NA</t>
        </is>
      </c>
      <c r="AG6" s="816" t="n">
        <v>5731340.7</v>
      </c>
      <c r="AH6" s="816" t="n">
        <v>2653217.55</v>
      </c>
      <c r="AI6" s="32" t="inlineStr">
        <is>
          <t>NA</t>
        </is>
      </c>
      <c r="AJ6" s="32" t="inlineStr">
        <is>
          <t>NA</t>
        </is>
      </c>
      <c r="AK6" s="32" t="inlineStr">
        <is>
          <t>NA</t>
        </is>
      </c>
      <c r="AL6" s="32" t="inlineStr">
        <is>
          <t>NA</t>
        </is>
      </c>
      <c r="AM6" s="32" t="inlineStr">
        <is>
          <t>NA</t>
        </is>
      </c>
      <c r="AN6" s="32" t="inlineStr">
        <is>
          <t>NA</t>
        </is>
      </c>
      <c r="AO6" s="32" t="inlineStr">
        <is>
          <t>NA</t>
        </is>
      </c>
      <c r="AP6" s="32" t="inlineStr">
        <is>
          <t>NA</t>
        </is>
      </c>
      <c r="AQ6" s="32" t="inlineStr">
        <is>
          <t>NA</t>
        </is>
      </c>
      <c r="AR6" s="32" t="inlineStr">
        <is>
          <t>NA</t>
        </is>
      </c>
      <c r="AS6" s="32" t="inlineStr">
        <is>
          <t>NA</t>
        </is>
      </c>
      <c r="AT6" s="32" t="inlineStr">
        <is>
          <t>NA</t>
        </is>
      </c>
      <c r="AU6" s="32" t="inlineStr">
        <is>
          <t>NA</t>
        </is>
      </c>
      <c r="AV6" s="32" t="inlineStr">
        <is>
          <t>NA</t>
        </is>
      </c>
      <c r="AW6" s="32" t="inlineStr">
        <is>
          <t>NA</t>
        </is>
      </c>
      <c r="AX6" s="32" t="inlineStr">
        <is>
          <t>NA</t>
        </is>
      </c>
      <c r="AY6" s="1" t="inlineStr">
        <is>
          <t>Concluído</t>
        </is>
      </c>
      <c r="AZ6" s="1" t="inlineStr">
        <is>
          <t>Concluído</t>
        </is>
      </c>
      <c r="BA6" s="1" t="inlineStr">
        <is>
          <t>Concluído</t>
        </is>
      </c>
      <c r="BB6" s="70" t="n">
        <v>1</v>
      </c>
      <c r="BC6" s="103" t="n">
        <v>43249</v>
      </c>
      <c r="BD6" s="32" t="inlineStr">
        <is>
          <t>NA</t>
        </is>
      </c>
      <c r="BE6" s="32" t="inlineStr">
        <is>
          <t>NA</t>
        </is>
      </c>
      <c r="BF6" s="32" t="inlineStr">
        <is>
          <t>NA</t>
        </is>
      </c>
      <c r="BG6" s="32" t="inlineStr">
        <is>
          <t>NA</t>
        </is>
      </c>
      <c r="BH6" s="32" t="inlineStr">
        <is>
          <t>NA</t>
        </is>
      </c>
      <c r="BI6" s="32" t="inlineStr">
        <is>
          <t>NA</t>
        </is>
      </c>
      <c r="BJ6" s="32" t="inlineStr">
        <is>
          <t>NA</t>
        </is>
      </c>
      <c r="BK6" s="32" t="inlineStr">
        <is>
          <t>NA</t>
        </is>
      </c>
      <c r="BL6" s="32" t="inlineStr">
        <is>
          <t>NA</t>
        </is>
      </c>
      <c r="BM6" s="32" t="inlineStr">
        <is>
          <t>NA</t>
        </is>
      </c>
      <c r="BN6" s="32" t="inlineStr">
        <is>
          <t>NA</t>
        </is>
      </c>
      <c r="BO6" s="32" t="inlineStr">
        <is>
          <t>NA</t>
        </is>
      </c>
      <c r="BP6" s="32" t="inlineStr">
        <is>
          <t>NA</t>
        </is>
      </c>
      <c r="BQ6" s="32" t="inlineStr">
        <is>
          <t>NA</t>
        </is>
      </c>
      <c r="BR6" s="32" t="inlineStr">
        <is>
          <t>NA</t>
        </is>
      </c>
      <c r="BS6" s="32" t="inlineStr">
        <is>
          <t>NA</t>
        </is>
      </c>
      <c r="BT6" s="103" t="n">
        <v>42272</v>
      </c>
      <c r="BU6" s="816" t="n">
        <v>3000000</v>
      </c>
    </row>
    <row r="7" ht="39.75" customHeight="1">
      <c r="A7" s="29" t="inlineStr">
        <is>
          <t>SUDESTE</t>
        </is>
      </c>
      <c r="B7" s="29" t="inlineStr">
        <is>
          <t>MG</t>
        </is>
      </c>
      <c r="C7" s="29" t="inlineStr">
        <is>
          <t>GOVERNADOR VALADARES</t>
        </is>
      </c>
      <c r="D7" s="29" t="inlineStr">
        <is>
          <t>BENEFICENCIA SOCIAL BOM SAMARITANO</t>
        </is>
      </c>
      <c r="E7" s="84" t="inlineStr">
        <is>
          <t>22709109000135</t>
        </is>
      </c>
      <c r="F7" s="29" t="inlineStr">
        <is>
          <t>BENEFICENCIA SOCIAL BOM SAMARITANO</t>
        </is>
      </c>
      <c r="G7" s="30" t="inlineStr">
        <is>
          <t>2118661</t>
        </is>
      </c>
      <c r="H7" s="128" t="n">
        <v>-18852882</v>
      </c>
      <c r="I7" s="128" t="n">
        <v>-41947081</v>
      </c>
      <c r="J7" s="32" t="inlineStr">
        <is>
          <t>Radioterapia - Aquisição de Equipamentos</t>
        </is>
      </c>
      <c r="K7" s="29" t="inlineStr">
        <is>
          <t>NA</t>
        </is>
      </c>
      <c r="L7" s="29" t="inlineStr">
        <is>
          <t>NA</t>
        </is>
      </c>
      <c r="M7" s="1" t="inlineStr">
        <is>
          <t>Convênio</t>
        </is>
      </c>
      <c r="N7" s="29" t="n">
        <v>2014</v>
      </c>
      <c r="O7" s="29" t="n">
        <v>812878</v>
      </c>
      <c r="P7" s="29" t="n">
        <v>92270914005</v>
      </c>
      <c r="Q7" s="29" t="inlineStr">
        <is>
          <t>25000.212979/2014-00</t>
        </is>
      </c>
      <c r="R7" s="32" t="inlineStr">
        <is>
          <t>ESTRUTURAÇÃO DE UNIDADE DE ATENÇÃO ESPECIALIZADA</t>
        </is>
      </c>
      <c r="S7" s="32" t="inlineStr">
        <is>
          <t>NA</t>
        </is>
      </c>
      <c r="T7" s="29" t="inlineStr">
        <is>
          <t>Acelerador Linear</t>
        </is>
      </c>
      <c r="U7" s="29" t="n">
        <v>1</v>
      </c>
      <c r="V7" s="29" t="n">
        <v>1</v>
      </c>
      <c r="W7" s="32" t="inlineStr">
        <is>
          <t>UND</t>
        </is>
      </c>
      <c r="X7" s="32" t="inlineStr">
        <is>
          <t>EQUIPAMENTO</t>
        </is>
      </c>
      <c r="Y7" s="32" t="inlineStr">
        <is>
          <t>010911-Acelerador Linear só de Fótons (monoenergético 6 MV)</t>
        </is>
      </c>
      <c r="Z7" s="32" t="inlineStr">
        <is>
          <t>NA</t>
        </is>
      </c>
      <c r="AA7" s="32" t="inlineStr">
        <is>
          <t>NA</t>
        </is>
      </c>
      <c r="AB7" s="32" t="inlineStr">
        <is>
          <t>NA</t>
        </is>
      </c>
      <c r="AC7" s="32" t="inlineStr">
        <is>
          <t>NA</t>
        </is>
      </c>
      <c r="AD7" s="32" t="inlineStr">
        <is>
          <t>NA</t>
        </is>
      </c>
      <c r="AE7" s="32" t="inlineStr">
        <is>
          <t>NA</t>
        </is>
      </c>
      <c r="AF7" s="32" t="inlineStr">
        <is>
          <t>NA</t>
        </is>
      </c>
      <c r="AG7" s="816" t="n">
        <v>2952686.96</v>
      </c>
      <c r="AH7" s="816" t="n">
        <v>679131.4</v>
      </c>
      <c r="AI7" s="32" t="inlineStr">
        <is>
          <t>NA</t>
        </is>
      </c>
      <c r="AJ7" s="32" t="inlineStr">
        <is>
          <t>NA</t>
        </is>
      </c>
      <c r="AK7" s="32" t="inlineStr">
        <is>
          <t>NA</t>
        </is>
      </c>
      <c r="AL7" s="32" t="inlineStr">
        <is>
          <t>NA</t>
        </is>
      </c>
      <c r="AM7" s="32" t="inlineStr">
        <is>
          <t>NA</t>
        </is>
      </c>
      <c r="AN7" s="32" t="inlineStr">
        <is>
          <t>NA</t>
        </is>
      </c>
      <c r="AO7" s="32" t="inlineStr">
        <is>
          <t>NA</t>
        </is>
      </c>
      <c r="AP7" s="32" t="inlineStr">
        <is>
          <t>NA</t>
        </is>
      </c>
      <c r="AQ7" s="32" t="inlineStr">
        <is>
          <t>NA</t>
        </is>
      </c>
      <c r="AR7" s="32" t="inlineStr">
        <is>
          <t>NA</t>
        </is>
      </c>
      <c r="AS7" s="32" t="inlineStr">
        <is>
          <t>NA</t>
        </is>
      </c>
      <c r="AT7" s="32" t="inlineStr">
        <is>
          <t>NA</t>
        </is>
      </c>
      <c r="AU7" s="32" t="inlineStr">
        <is>
          <t>NA</t>
        </is>
      </c>
      <c r="AV7" s="32" t="inlineStr">
        <is>
          <t>NA</t>
        </is>
      </c>
      <c r="AW7" s="32" t="inlineStr">
        <is>
          <t>NA</t>
        </is>
      </c>
      <c r="AX7" s="32" t="inlineStr">
        <is>
          <t>NA</t>
        </is>
      </c>
      <c r="AY7" s="1" t="inlineStr">
        <is>
          <t>Concluído</t>
        </is>
      </c>
      <c r="AZ7" s="1" t="inlineStr">
        <is>
          <t>Concluído</t>
        </is>
      </c>
      <c r="BA7" s="1" t="inlineStr">
        <is>
          <t>Concluído</t>
        </is>
      </c>
      <c r="BB7" s="70" t="n">
        <v>1</v>
      </c>
      <c r="BC7" s="103" t="n">
        <v>43640</v>
      </c>
      <c r="BD7" s="32" t="inlineStr">
        <is>
          <t>NA</t>
        </is>
      </c>
      <c r="BE7" s="32" t="inlineStr">
        <is>
          <t>NA</t>
        </is>
      </c>
      <c r="BF7" s="32" t="inlineStr">
        <is>
          <t>NA</t>
        </is>
      </c>
      <c r="BG7" s="32" t="inlineStr">
        <is>
          <t>NA</t>
        </is>
      </c>
      <c r="BH7" s="32" t="inlineStr">
        <is>
          <t>NA</t>
        </is>
      </c>
      <c r="BI7" s="32" t="inlineStr">
        <is>
          <t>NA</t>
        </is>
      </c>
      <c r="BJ7" s="32" t="inlineStr">
        <is>
          <t>NA</t>
        </is>
      </c>
      <c r="BK7" s="32" t="inlineStr">
        <is>
          <t>NA</t>
        </is>
      </c>
      <c r="BL7" s="32" t="inlineStr">
        <is>
          <t>NA</t>
        </is>
      </c>
      <c r="BM7" s="32" t="inlineStr">
        <is>
          <t>NA</t>
        </is>
      </c>
      <c r="BN7" s="32" t="inlineStr">
        <is>
          <t>NA</t>
        </is>
      </c>
      <c r="BO7" s="32" t="inlineStr">
        <is>
          <t>NA</t>
        </is>
      </c>
      <c r="BP7" s="32" t="inlineStr">
        <is>
          <t>NA</t>
        </is>
      </c>
      <c r="BQ7" s="32" t="inlineStr">
        <is>
          <t>NA</t>
        </is>
      </c>
      <c r="BR7" s="32" t="inlineStr">
        <is>
          <t>NA</t>
        </is>
      </c>
      <c r="BS7" s="32" t="inlineStr">
        <is>
          <t>NA</t>
        </is>
      </c>
      <c r="BT7" s="103" t="n">
        <v>42275</v>
      </c>
      <c r="BU7" s="816" t="n">
        <v>2000000</v>
      </c>
    </row>
    <row r="8" ht="39.75" customHeight="1">
      <c r="A8" s="29" t="inlineStr">
        <is>
          <t>SUL</t>
        </is>
      </c>
      <c r="B8" s="29" t="inlineStr">
        <is>
          <t>RS</t>
        </is>
      </c>
      <c r="C8" s="29" t="inlineStr">
        <is>
          <t>PORTO ALEGRE</t>
        </is>
      </c>
      <c r="D8" s="29" t="inlineStr">
        <is>
          <t>IRMANDADE DA SANTA CASA DE MISERICORDIA DE PORTO ALEGRE</t>
        </is>
      </c>
      <c r="E8" s="84" t="inlineStr">
        <is>
          <t>92815000000168</t>
        </is>
      </c>
      <c r="F8" s="29" t="inlineStr">
        <is>
          <t>IRMANDADE DA SANTA CASA DE MISERICORDIA DE PORTO ALEGRE</t>
        </is>
      </c>
      <c r="G8" s="30" t="inlineStr">
        <is>
          <t>2237253</t>
        </is>
      </c>
      <c r="H8" s="128" t="n">
        <v>-30030065</v>
      </c>
      <c r="I8" s="128" t="n">
        <v>-51222687</v>
      </c>
      <c r="J8" s="32" t="inlineStr">
        <is>
          <t>Radioterapia - Aquisição de Equipamentos</t>
        </is>
      </c>
      <c r="K8" s="29" t="inlineStr">
        <is>
          <t>NA</t>
        </is>
      </c>
      <c r="L8" s="29" t="inlineStr">
        <is>
          <t>NA</t>
        </is>
      </c>
      <c r="M8" s="1" t="inlineStr">
        <is>
          <t>Convênio</t>
        </is>
      </c>
      <c r="N8" s="29" t="n">
        <v>2014</v>
      </c>
      <c r="O8" s="29" t="n">
        <v>812943</v>
      </c>
      <c r="P8" s="29" t="n">
        <v>99281514010</v>
      </c>
      <c r="Q8" s="29" t="inlineStr">
        <is>
          <t>25000.212985/2014-59</t>
        </is>
      </c>
      <c r="R8" s="32" t="inlineStr">
        <is>
          <t>ESTRUTURAÇÃO DE UNIDADE DE ATENÇÃO ESPECIALIZADA</t>
        </is>
      </c>
      <c r="S8" s="32" t="inlineStr">
        <is>
          <t>NA</t>
        </is>
      </c>
      <c r="T8" s="29" t="inlineStr">
        <is>
          <t>Acelerador Linear</t>
        </is>
      </c>
      <c r="U8" s="29" t="n">
        <v>1</v>
      </c>
      <c r="V8" s="29" t="n">
        <v>1</v>
      </c>
      <c r="W8" s="32" t="inlineStr">
        <is>
          <t>UND</t>
        </is>
      </c>
      <c r="X8" s="32" t="inlineStr">
        <is>
          <t>EQUIPAMENTO</t>
        </is>
      </c>
      <c r="Y8" s="32" t="inlineStr">
        <is>
          <t>010911-Acelerador Linear só de Fótons (monoenergético 6 MV)</t>
        </is>
      </c>
      <c r="Z8" s="32" t="inlineStr">
        <is>
          <t>NA</t>
        </is>
      </c>
      <c r="AA8" s="32" t="inlineStr">
        <is>
          <t>NA</t>
        </is>
      </c>
      <c r="AB8" s="32" t="inlineStr">
        <is>
          <t>NA</t>
        </is>
      </c>
      <c r="AC8" s="32" t="inlineStr">
        <is>
          <t>NA</t>
        </is>
      </c>
      <c r="AD8" s="32" t="inlineStr">
        <is>
          <t>NA</t>
        </is>
      </c>
      <c r="AE8" s="32" t="inlineStr">
        <is>
          <t>NA</t>
        </is>
      </c>
      <c r="AF8" s="32" t="inlineStr">
        <is>
          <t>NA</t>
        </is>
      </c>
      <c r="AG8" s="816" t="n">
        <v>2803146.53</v>
      </c>
      <c r="AH8" s="816" t="n">
        <v>0</v>
      </c>
      <c r="AI8" s="32" t="inlineStr">
        <is>
          <t>NA</t>
        </is>
      </c>
      <c r="AJ8" s="32" t="inlineStr">
        <is>
          <t>NA</t>
        </is>
      </c>
      <c r="AK8" s="32" t="inlineStr">
        <is>
          <t>NA</t>
        </is>
      </c>
      <c r="AL8" s="32" t="inlineStr">
        <is>
          <t>NA</t>
        </is>
      </c>
      <c r="AM8" s="32" t="inlineStr">
        <is>
          <t>NA</t>
        </is>
      </c>
      <c r="AN8" s="32" t="inlineStr">
        <is>
          <t>NA</t>
        </is>
      </c>
      <c r="AO8" s="32" t="inlineStr">
        <is>
          <t>NA</t>
        </is>
      </c>
      <c r="AP8" s="32" t="inlineStr">
        <is>
          <t>NA</t>
        </is>
      </c>
      <c r="AQ8" s="32" t="inlineStr">
        <is>
          <t>NA</t>
        </is>
      </c>
      <c r="AR8" s="32" t="inlineStr">
        <is>
          <t>NA</t>
        </is>
      </c>
      <c r="AS8" s="32" t="inlineStr">
        <is>
          <t>NA</t>
        </is>
      </c>
      <c r="AT8" s="32" t="inlineStr">
        <is>
          <t>NA</t>
        </is>
      </c>
      <c r="AU8" s="32" t="inlineStr">
        <is>
          <t>NA</t>
        </is>
      </c>
      <c r="AV8" s="32" t="inlineStr">
        <is>
          <t>NA</t>
        </is>
      </c>
      <c r="AW8" s="32" t="inlineStr">
        <is>
          <t>NA</t>
        </is>
      </c>
      <c r="AX8" s="32" t="inlineStr">
        <is>
          <t>NA</t>
        </is>
      </c>
      <c r="AY8" s="1" t="inlineStr">
        <is>
          <t>Concluído</t>
        </is>
      </c>
      <c r="AZ8" s="1" t="inlineStr">
        <is>
          <t>Concluído</t>
        </is>
      </c>
      <c r="BA8" s="1" t="inlineStr">
        <is>
          <t>Concluído</t>
        </is>
      </c>
      <c r="BB8" s="70" t="n">
        <v>1</v>
      </c>
      <c r="BC8" s="103" t="n">
        <v>42944</v>
      </c>
      <c r="BD8" s="32" t="inlineStr">
        <is>
          <t>NA</t>
        </is>
      </c>
      <c r="BE8" s="32" t="inlineStr">
        <is>
          <t>NA</t>
        </is>
      </c>
      <c r="BF8" s="32" t="inlineStr">
        <is>
          <t>NA</t>
        </is>
      </c>
      <c r="BG8" s="32" t="inlineStr">
        <is>
          <t>NA</t>
        </is>
      </c>
      <c r="BH8" s="32" t="inlineStr">
        <is>
          <t>NA</t>
        </is>
      </c>
      <c r="BI8" s="32" t="inlineStr">
        <is>
          <t>NA</t>
        </is>
      </c>
      <c r="BJ8" s="32" t="inlineStr">
        <is>
          <t>NA</t>
        </is>
      </c>
      <c r="BK8" s="32" t="inlineStr">
        <is>
          <t>NA</t>
        </is>
      </c>
      <c r="BL8" s="32" t="inlineStr">
        <is>
          <t>NA</t>
        </is>
      </c>
      <c r="BM8" s="32" t="inlineStr">
        <is>
          <t>NA</t>
        </is>
      </c>
      <c r="BN8" s="32" t="inlineStr">
        <is>
          <t>NA</t>
        </is>
      </c>
      <c r="BO8" s="32" t="inlineStr">
        <is>
          <t>NA</t>
        </is>
      </c>
      <c r="BP8" s="32" t="inlineStr">
        <is>
          <t>NA</t>
        </is>
      </c>
      <c r="BQ8" s="32" t="inlineStr">
        <is>
          <t>NA</t>
        </is>
      </c>
      <c r="BR8" s="32" t="inlineStr">
        <is>
          <t>NA</t>
        </is>
      </c>
      <c r="BS8" s="32" t="inlineStr">
        <is>
          <t>NA</t>
        </is>
      </c>
      <c r="BT8" s="103" t="n">
        <v>42275</v>
      </c>
      <c r="BU8" s="816" t="n">
        <v>2550000</v>
      </c>
    </row>
    <row r="9" ht="39.75" customHeight="1">
      <c r="A9" s="29" t="inlineStr">
        <is>
          <t>SUDESTE</t>
        </is>
      </c>
      <c r="B9" s="29" t="inlineStr">
        <is>
          <t>SP</t>
        </is>
      </c>
      <c r="C9" s="29" t="inlineStr">
        <is>
          <t>SAO PAULO</t>
        </is>
      </c>
      <c r="D9" s="29" t="inlineStr">
        <is>
          <t>INSTITUTO DO CANCER ARNALDO VIEIRA DE CARVALHO</t>
        </is>
      </c>
      <c r="E9" s="84" t="inlineStr">
        <is>
          <t>60945854000172</t>
        </is>
      </c>
      <c r="F9" s="29" t="inlineStr">
        <is>
          <t>INSTITUTO DO CANCER ARNALDO VIEIRA DE CARVALHO</t>
        </is>
      </c>
      <c r="G9" s="30" t="inlineStr">
        <is>
          <t>2080125</t>
        </is>
      </c>
      <c r="H9" s="128" t="n">
        <v>-235431724</v>
      </c>
      <c r="I9" s="128" t="n">
        <v>-4664990518769830</v>
      </c>
      <c r="J9" s="32" t="inlineStr">
        <is>
          <t>Radioterapia - Aquisição de Equipamentos</t>
        </is>
      </c>
      <c r="K9" s="29" t="inlineStr">
        <is>
          <t>NA</t>
        </is>
      </c>
      <c r="L9" s="29" t="inlineStr">
        <is>
          <t>NA</t>
        </is>
      </c>
      <c r="M9" s="1" t="inlineStr">
        <is>
          <t>Convênio</t>
        </is>
      </c>
      <c r="N9" s="29" t="n">
        <v>2014</v>
      </c>
      <c r="O9" s="29" t="n">
        <v>811818</v>
      </c>
      <c r="P9" s="29" t="n">
        <v>96094514004</v>
      </c>
      <c r="Q9" s="29" t="inlineStr">
        <is>
          <t>25000.212952/2014-17</t>
        </is>
      </c>
      <c r="R9" s="32" t="inlineStr">
        <is>
          <t>CENTRO DE REFERENCIA DE ALTA COMPLEXIDADE EM ONCOLOGIA</t>
        </is>
      </c>
      <c r="S9" s="32" t="inlineStr">
        <is>
          <t>NA</t>
        </is>
      </c>
      <c r="T9" s="29" t="inlineStr">
        <is>
          <t>Acelerador Linear</t>
        </is>
      </c>
      <c r="U9" s="29" t="n">
        <v>1</v>
      </c>
      <c r="V9" s="29" t="n">
        <v>1</v>
      </c>
      <c r="W9" s="32" t="inlineStr">
        <is>
          <t>UND</t>
        </is>
      </c>
      <c r="X9" s="32" t="inlineStr">
        <is>
          <t>EQUIPAMENTO</t>
        </is>
      </c>
      <c r="Y9" s="32" t="inlineStr">
        <is>
          <t>010933-Acelerador Linear de Fótons e Elétrons (dual 10 MV)</t>
        </is>
      </c>
      <c r="Z9" s="32" t="inlineStr">
        <is>
          <t>NA</t>
        </is>
      </c>
      <c r="AA9" s="32" t="inlineStr">
        <is>
          <t>NA</t>
        </is>
      </c>
      <c r="AB9" s="32" t="inlineStr">
        <is>
          <t>NA</t>
        </is>
      </c>
      <c r="AC9" s="32" t="inlineStr">
        <is>
          <t>NA</t>
        </is>
      </c>
      <c r="AD9" s="32" t="inlineStr">
        <is>
          <t>NA</t>
        </is>
      </c>
      <c r="AE9" s="32" t="inlineStr">
        <is>
          <t>NA</t>
        </is>
      </c>
      <c r="AF9" s="32" t="inlineStr">
        <is>
          <t>NA</t>
        </is>
      </c>
      <c r="AG9" s="816" t="n">
        <v>3200000</v>
      </c>
      <c r="AH9" s="816" t="n">
        <v>0</v>
      </c>
      <c r="AI9" s="32" t="inlineStr">
        <is>
          <t>NA</t>
        </is>
      </c>
      <c r="AJ9" s="32" t="inlineStr">
        <is>
          <t>NA</t>
        </is>
      </c>
      <c r="AK9" s="32" t="inlineStr">
        <is>
          <t>NA</t>
        </is>
      </c>
      <c r="AL9" s="32" t="inlineStr">
        <is>
          <t>NA</t>
        </is>
      </c>
      <c r="AM9" s="32" t="inlineStr">
        <is>
          <t>NA</t>
        </is>
      </c>
      <c r="AN9" s="32" t="inlineStr">
        <is>
          <t>NA</t>
        </is>
      </c>
      <c r="AO9" s="32" t="inlineStr">
        <is>
          <t>NA</t>
        </is>
      </c>
      <c r="AP9" s="32" t="inlineStr">
        <is>
          <t>NA</t>
        </is>
      </c>
      <c r="AQ9" s="32" t="inlineStr">
        <is>
          <t>NA</t>
        </is>
      </c>
      <c r="AR9" s="32" t="inlineStr">
        <is>
          <t>NA</t>
        </is>
      </c>
      <c r="AS9" s="32" t="inlineStr">
        <is>
          <t>NA</t>
        </is>
      </c>
      <c r="AT9" s="32" t="inlineStr">
        <is>
          <t>NA</t>
        </is>
      </c>
      <c r="AU9" s="32" t="inlineStr">
        <is>
          <t>NA</t>
        </is>
      </c>
      <c r="AV9" s="32" t="inlineStr">
        <is>
          <t>NA</t>
        </is>
      </c>
      <c r="AW9" s="32" t="inlineStr">
        <is>
          <t>NA</t>
        </is>
      </c>
      <c r="AX9" s="32" t="inlineStr">
        <is>
          <t>NA</t>
        </is>
      </c>
      <c r="AY9" s="1" t="inlineStr">
        <is>
          <t>Concluído</t>
        </is>
      </c>
      <c r="AZ9" s="1" t="inlineStr">
        <is>
          <t>Concluído</t>
        </is>
      </c>
      <c r="BA9" s="1" t="inlineStr">
        <is>
          <t>Concluído</t>
        </is>
      </c>
      <c r="BB9" s="70" t="n">
        <v>1</v>
      </c>
      <c r="BC9" s="103" t="n">
        <v>42683</v>
      </c>
      <c r="BD9" s="32" t="inlineStr">
        <is>
          <t>NA</t>
        </is>
      </c>
      <c r="BE9" s="32" t="inlineStr">
        <is>
          <t>NA</t>
        </is>
      </c>
      <c r="BF9" s="32" t="inlineStr">
        <is>
          <t>NA</t>
        </is>
      </c>
      <c r="BG9" s="32" t="inlineStr">
        <is>
          <t>NA</t>
        </is>
      </c>
      <c r="BH9" s="32" t="inlineStr">
        <is>
          <t>NA</t>
        </is>
      </c>
      <c r="BI9" s="32" t="inlineStr">
        <is>
          <t>NA</t>
        </is>
      </c>
      <c r="BJ9" s="32" t="inlineStr">
        <is>
          <t>NA</t>
        </is>
      </c>
      <c r="BK9" s="32" t="inlineStr">
        <is>
          <t>NA</t>
        </is>
      </c>
      <c r="BL9" s="32" t="inlineStr">
        <is>
          <t>NA</t>
        </is>
      </c>
      <c r="BM9" s="32" t="inlineStr">
        <is>
          <t>NA</t>
        </is>
      </c>
      <c r="BN9" s="32" t="inlineStr">
        <is>
          <t>NA</t>
        </is>
      </c>
      <c r="BO9" s="32" t="inlineStr">
        <is>
          <t>NA</t>
        </is>
      </c>
      <c r="BP9" s="32" t="inlineStr">
        <is>
          <t>NA</t>
        </is>
      </c>
      <c r="BQ9" s="32" t="inlineStr">
        <is>
          <t>NA</t>
        </is>
      </c>
      <c r="BR9" s="32" t="inlineStr">
        <is>
          <t>NA</t>
        </is>
      </c>
      <c r="BS9" s="32" t="inlineStr">
        <is>
          <t>NA</t>
        </is>
      </c>
      <c r="BT9" s="103" t="n">
        <v>42282</v>
      </c>
      <c r="BU9" s="816" t="n">
        <v>3200000</v>
      </c>
    </row>
    <row r="10" ht="39.75" customHeight="1">
      <c r="A10" s="29" t="inlineStr">
        <is>
          <t>NORDESTE</t>
        </is>
      </c>
      <c r="B10" s="29" t="inlineStr">
        <is>
          <t>MA</t>
        </is>
      </c>
      <c r="C10" s="29" t="inlineStr">
        <is>
          <t>SAO LUIS</t>
        </is>
      </c>
      <c r="D10" s="29" t="inlineStr">
        <is>
          <t>FUNDACAO ANTONIO JORGE DINO</t>
        </is>
      </c>
      <c r="E10" s="84" t="inlineStr">
        <is>
          <t>05292982000237</t>
        </is>
      </c>
      <c r="F10" s="29" t="inlineStr">
        <is>
          <t>FUNDACAO ANTONIO JORGE DINO</t>
        </is>
      </c>
      <c r="G10" s="30" t="inlineStr">
        <is>
          <t>2697696</t>
        </is>
      </c>
      <c r="H10" s="128" t="n">
        <v>-2545308311467530</v>
      </c>
      <c r="I10" s="128" t="n">
        <v>-4.42942571640014e+16</v>
      </c>
      <c r="J10" s="32" t="inlineStr">
        <is>
          <t>Radioterapia - Aquisição de Equipamentos</t>
        </is>
      </c>
      <c r="K10" s="29" t="inlineStr">
        <is>
          <t>NA</t>
        </is>
      </c>
      <c r="L10" s="29" t="inlineStr">
        <is>
          <t>NA</t>
        </is>
      </c>
      <c r="M10" s="1" t="inlineStr">
        <is>
          <t>Convênio</t>
        </is>
      </c>
      <c r="N10" s="29" t="n">
        <v>2015</v>
      </c>
      <c r="O10" s="29" t="n">
        <v>824843</v>
      </c>
      <c r="P10" s="29" t="n">
        <v>90529215009</v>
      </c>
      <c r="Q10" s="29" t="inlineStr">
        <is>
          <t>25000.196335/2015-30</t>
        </is>
      </c>
      <c r="R10" s="32" t="inlineStr">
        <is>
          <t>ESTRUTURAÇÃO DE UNIDADE DE ATENÇÃO ESPECIALIZADA</t>
        </is>
      </c>
      <c r="S10" s="32" t="inlineStr">
        <is>
          <t>NA</t>
        </is>
      </c>
      <c r="T10" s="29" t="inlineStr">
        <is>
          <t>Acelerador Linear</t>
        </is>
      </c>
      <c r="U10" s="29" t="n">
        <v>1</v>
      </c>
      <c r="V10" s="29" t="n">
        <v>1</v>
      </c>
      <c r="W10" s="32" t="inlineStr">
        <is>
          <t>UND</t>
        </is>
      </c>
      <c r="X10" s="32" t="inlineStr">
        <is>
          <t>EQUIPAMENTO</t>
        </is>
      </c>
      <c r="Y10" s="32" t="inlineStr">
        <is>
          <t>010933-Acelerador Linear de Fótons e Elétrons (dual 10 MV)</t>
        </is>
      </c>
      <c r="Z10" s="32" t="inlineStr">
        <is>
          <t>NA</t>
        </is>
      </c>
      <c r="AA10" s="32" t="inlineStr">
        <is>
          <t>NA</t>
        </is>
      </c>
      <c r="AB10" s="32" t="inlineStr">
        <is>
          <t>NA</t>
        </is>
      </c>
      <c r="AC10" s="32" t="inlineStr">
        <is>
          <t>NA</t>
        </is>
      </c>
      <c r="AD10" s="32" t="inlineStr">
        <is>
          <t>NA</t>
        </is>
      </c>
      <c r="AE10" s="32" t="inlineStr">
        <is>
          <t>NA</t>
        </is>
      </c>
      <c r="AF10" s="32" t="inlineStr">
        <is>
          <t>NA</t>
        </is>
      </c>
      <c r="AG10" s="816" t="n">
        <v>3650000</v>
      </c>
      <c r="AH10" s="816" t="n">
        <v>1250000</v>
      </c>
      <c r="AI10" s="32" t="inlineStr">
        <is>
          <t>NA</t>
        </is>
      </c>
      <c r="AJ10" s="32" t="inlineStr">
        <is>
          <t>NA</t>
        </is>
      </c>
      <c r="AK10" s="32" t="inlineStr">
        <is>
          <t>NA</t>
        </is>
      </c>
      <c r="AL10" s="32" t="inlineStr">
        <is>
          <t>NA</t>
        </is>
      </c>
      <c r="AM10" s="32" t="inlineStr">
        <is>
          <t>NA</t>
        </is>
      </c>
      <c r="AN10" s="32" t="inlineStr">
        <is>
          <t>NA</t>
        </is>
      </c>
      <c r="AO10" s="32" t="inlineStr">
        <is>
          <t>NA</t>
        </is>
      </c>
      <c r="AP10" s="32" t="inlineStr">
        <is>
          <t>NA</t>
        </is>
      </c>
      <c r="AQ10" s="32" t="inlineStr">
        <is>
          <t>NA</t>
        </is>
      </c>
      <c r="AR10" s="32" t="inlineStr">
        <is>
          <t>NA</t>
        </is>
      </c>
      <c r="AS10" s="32" t="inlineStr">
        <is>
          <t>NA</t>
        </is>
      </c>
      <c r="AT10" s="32" t="inlineStr">
        <is>
          <t>NA</t>
        </is>
      </c>
      <c r="AU10" s="32" t="inlineStr">
        <is>
          <t>NA</t>
        </is>
      </c>
      <c r="AV10" s="32" t="inlineStr">
        <is>
          <t>NA</t>
        </is>
      </c>
      <c r="AW10" s="32" t="inlineStr">
        <is>
          <t>NA</t>
        </is>
      </c>
      <c r="AX10" s="32" t="inlineStr">
        <is>
          <t>NA</t>
        </is>
      </c>
      <c r="AY10" s="1" t="inlineStr">
        <is>
          <t>Concluído</t>
        </is>
      </c>
      <c r="AZ10" s="1" t="inlineStr">
        <is>
          <t>Concluído</t>
        </is>
      </c>
      <c r="BA10" s="1" t="inlineStr">
        <is>
          <t>Concluído</t>
        </is>
      </c>
      <c r="BB10" s="70" t="n">
        <v>1</v>
      </c>
      <c r="BC10" s="103" t="n">
        <v>43312</v>
      </c>
      <c r="BD10" s="32" t="inlineStr">
        <is>
          <t>NA</t>
        </is>
      </c>
      <c r="BE10" s="32" t="inlineStr">
        <is>
          <t>NA</t>
        </is>
      </c>
      <c r="BF10" s="32" t="inlineStr">
        <is>
          <t>NA</t>
        </is>
      </c>
      <c r="BG10" s="32" t="inlineStr">
        <is>
          <t>NA</t>
        </is>
      </c>
      <c r="BH10" s="32" t="inlineStr">
        <is>
          <t>NA</t>
        </is>
      </c>
      <c r="BI10" s="32" t="inlineStr">
        <is>
          <t>NA</t>
        </is>
      </c>
      <c r="BJ10" s="32" t="inlineStr">
        <is>
          <t>NA</t>
        </is>
      </c>
      <c r="BK10" s="32" t="inlineStr">
        <is>
          <t>NA</t>
        </is>
      </c>
      <c r="BL10" s="32" t="inlineStr">
        <is>
          <t>NA</t>
        </is>
      </c>
      <c r="BM10" s="32" t="inlineStr">
        <is>
          <t>NA</t>
        </is>
      </c>
      <c r="BN10" s="32" t="inlineStr">
        <is>
          <t>NA</t>
        </is>
      </c>
      <c r="BO10" s="32" t="inlineStr">
        <is>
          <t>NA</t>
        </is>
      </c>
      <c r="BP10" s="32" t="inlineStr">
        <is>
          <t>NA</t>
        </is>
      </c>
      <c r="BQ10" s="32" t="inlineStr">
        <is>
          <t>NA</t>
        </is>
      </c>
      <c r="BR10" s="32" t="inlineStr">
        <is>
          <t>NA</t>
        </is>
      </c>
      <c r="BS10" s="32" t="inlineStr">
        <is>
          <t>NA</t>
        </is>
      </c>
      <c r="BT10" s="103" t="n">
        <v>42548</v>
      </c>
      <c r="BU10" s="816" t="n">
        <v>2400000</v>
      </c>
    </row>
    <row r="11" ht="39.75" customHeight="1">
      <c r="A11" s="29" t="inlineStr">
        <is>
          <t>SUDESTE</t>
        </is>
      </c>
      <c r="B11" s="29" t="inlineStr">
        <is>
          <t>MG</t>
        </is>
      </c>
      <c r="C11" s="29" t="inlineStr">
        <is>
          <t>MURIAE</t>
        </is>
      </c>
      <c r="D11" s="29" t="inlineStr">
        <is>
          <t>FUNDACAO CRISTIANO VARELLA</t>
        </is>
      </c>
      <c r="E11" s="84" t="inlineStr">
        <is>
          <t>00961315000103</t>
        </is>
      </c>
      <c r="F11" s="29" t="inlineStr">
        <is>
          <t>FUNDACAO CRISTIANO VARELLA</t>
        </is>
      </c>
      <c r="G11" s="30" t="inlineStr">
        <is>
          <t>2195453</t>
        </is>
      </c>
      <c r="H11" s="128" t="n">
        <v>-21131</v>
      </c>
      <c r="I11" s="128" t="n">
        <v>-42366</v>
      </c>
      <c r="J11" s="32" t="inlineStr">
        <is>
          <t>Radioterapia - Aquisição de Equipamentos</t>
        </is>
      </c>
      <c r="K11" s="29" t="inlineStr">
        <is>
          <t>NA</t>
        </is>
      </c>
      <c r="L11" s="29" t="inlineStr">
        <is>
          <t>NA</t>
        </is>
      </c>
      <c r="M11" s="1" t="inlineStr">
        <is>
          <t>Convênio</t>
        </is>
      </c>
      <c r="N11" s="29" t="n">
        <v>2015</v>
      </c>
      <c r="O11" s="29" t="n">
        <v>824464</v>
      </c>
      <c r="P11" s="29" t="n">
        <v>90096115001</v>
      </c>
      <c r="Q11" s="29" t="inlineStr">
        <is>
          <t>25000.194129/2015-95</t>
        </is>
      </c>
      <c r="R11" s="32" t="inlineStr">
        <is>
          <t>ESTRUTURAÇÃO DE UNIDADE DE ATENÇÃO ESPECIALIZADA</t>
        </is>
      </c>
      <c r="S11" s="32" t="inlineStr">
        <is>
          <t>NA</t>
        </is>
      </c>
      <c r="T11" s="29" t="inlineStr">
        <is>
          <t>Acelerador Linear</t>
        </is>
      </c>
      <c r="U11" s="29" t="n">
        <v>1</v>
      </c>
      <c r="V11" s="29" t="n">
        <v>1</v>
      </c>
      <c r="W11" s="32" t="inlineStr">
        <is>
          <t>UND</t>
        </is>
      </c>
      <c r="X11" s="32" t="inlineStr">
        <is>
          <t>EQUIPAMENTO</t>
        </is>
      </c>
      <c r="Y11" s="32" t="inlineStr">
        <is>
          <t>010911-Acelerador Linear só de Fótons (monoenergético 6 MV)</t>
        </is>
      </c>
      <c r="Z11" s="32" t="inlineStr">
        <is>
          <t>NA</t>
        </is>
      </c>
      <c r="AA11" s="32" t="inlineStr">
        <is>
          <t>NA</t>
        </is>
      </c>
      <c r="AB11" s="32" t="inlineStr">
        <is>
          <t>NA</t>
        </is>
      </c>
      <c r="AC11" s="32" t="inlineStr">
        <is>
          <t>NA</t>
        </is>
      </c>
      <c r="AD11" s="32" t="inlineStr">
        <is>
          <t>NA</t>
        </is>
      </c>
      <c r="AE11" s="32" t="inlineStr">
        <is>
          <t>NA</t>
        </is>
      </c>
      <c r="AF11" s="32" t="inlineStr">
        <is>
          <t>NA</t>
        </is>
      </c>
      <c r="AG11" s="816" t="n">
        <v>4814232.41</v>
      </c>
      <c r="AH11" s="816" t="n">
        <v>0</v>
      </c>
      <c r="AI11" s="32" t="inlineStr">
        <is>
          <t>NA</t>
        </is>
      </c>
      <c r="AJ11" s="32" t="inlineStr">
        <is>
          <t>NA</t>
        </is>
      </c>
      <c r="AK11" s="32" t="inlineStr">
        <is>
          <t>NA</t>
        </is>
      </c>
      <c r="AL11" s="32" t="inlineStr">
        <is>
          <t>NA</t>
        </is>
      </c>
      <c r="AM11" s="32" t="inlineStr">
        <is>
          <t>NA</t>
        </is>
      </c>
      <c r="AN11" s="32" t="inlineStr">
        <is>
          <t>NA</t>
        </is>
      </c>
      <c r="AO11" s="32" t="inlineStr">
        <is>
          <t>NA</t>
        </is>
      </c>
      <c r="AP11" s="32" t="inlineStr">
        <is>
          <t>NA</t>
        </is>
      </c>
      <c r="AQ11" s="32" t="inlineStr">
        <is>
          <t>NA</t>
        </is>
      </c>
      <c r="AR11" s="32" t="inlineStr">
        <is>
          <t>NA</t>
        </is>
      </c>
      <c r="AS11" s="32" t="inlineStr">
        <is>
          <t>NA</t>
        </is>
      </c>
      <c r="AT11" s="32" t="inlineStr">
        <is>
          <t>NA</t>
        </is>
      </c>
      <c r="AU11" s="32" t="inlineStr">
        <is>
          <t>NA</t>
        </is>
      </c>
      <c r="AV11" s="32" t="inlineStr">
        <is>
          <t>NA</t>
        </is>
      </c>
      <c r="AW11" s="32" t="inlineStr">
        <is>
          <t>NA</t>
        </is>
      </c>
      <c r="AX11" s="32" t="inlineStr">
        <is>
          <t>NA</t>
        </is>
      </c>
      <c r="AY11" s="1" t="inlineStr">
        <is>
          <t>Concluído</t>
        </is>
      </c>
      <c r="AZ11" s="1" t="inlineStr">
        <is>
          <t>Concluído</t>
        </is>
      </c>
      <c r="BA11" s="1" t="inlineStr">
        <is>
          <t>Concluído</t>
        </is>
      </c>
      <c r="BB11" s="70" t="n">
        <v>1</v>
      </c>
      <c r="BC11" s="103" t="n">
        <v>43767</v>
      </c>
      <c r="BD11" s="32" t="inlineStr">
        <is>
          <t>NA</t>
        </is>
      </c>
      <c r="BE11" s="32" t="inlineStr">
        <is>
          <t>NA</t>
        </is>
      </c>
      <c r="BF11" s="32" t="inlineStr">
        <is>
          <t>NA</t>
        </is>
      </c>
      <c r="BG11" s="32" t="inlineStr">
        <is>
          <t>NA</t>
        </is>
      </c>
      <c r="BH11" s="32" t="inlineStr">
        <is>
          <t>NA</t>
        </is>
      </c>
      <c r="BI11" s="32" t="inlineStr">
        <is>
          <t>NA</t>
        </is>
      </c>
      <c r="BJ11" s="32" t="inlineStr">
        <is>
          <t>NA</t>
        </is>
      </c>
      <c r="BK11" s="32" t="inlineStr">
        <is>
          <t>NA</t>
        </is>
      </c>
      <c r="BL11" s="32" t="inlineStr">
        <is>
          <t>NA</t>
        </is>
      </c>
      <c r="BM11" s="32" t="inlineStr">
        <is>
          <t>NA</t>
        </is>
      </c>
      <c r="BN11" s="32" t="inlineStr">
        <is>
          <t>NA</t>
        </is>
      </c>
      <c r="BO11" s="32" t="inlineStr">
        <is>
          <t>NA</t>
        </is>
      </c>
      <c r="BP11" s="32" t="inlineStr">
        <is>
          <t>NA</t>
        </is>
      </c>
      <c r="BQ11" s="32" t="inlineStr">
        <is>
          <t>NA</t>
        </is>
      </c>
      <c r="BR11" s="32" t="inlineStr">
        <is>
          <t>NA</t>
        </is>
      </c>
      <c r="BS11" s="32" t="inlineStr">
        <is>
          <t>NA</t>
        </is>
      </c>
      <c r="BT11" s="103" t="n">
        <v>42611</v>
      </c>
      <c r="BU11" s="816" t="n">
        <v>4580000</v>
      </c>
    </row>
    <row r="12" ht="39.75" customHeight="1">
      <c r="A12" s="29" t="inlineStr">
        <is>
          <t>SUL</t>
        </is>
      </c>
      <c r="B12" s="29" t="inlineStr">
        <is>
          <t>SC</t>
        </is>
      </c>
      <c r="C12" s="29" t="inlineStr">
        <is>
          <t>CHAPECO</t>
        </is>
      </c>
      <c r="D12" s="29" t="inlineStr">
        <is>
          <t>ASSOCIACAO HOSPITALAR LENOIR VARGAS FERREIRA</t>
        </is>
      </c>
      <c r="E12" s="84" t="inlineStr">
        <is>
          <t>02122913000106</t>
        </is>
      </c>
      <c r="F12" s="29" t="inlineStr">
        <is>
          <t>ASSOCIACAO HOSPITALAR LENOIR VARGAS FERREIRA</t>
        </is>
      </c>
      <c r="G12" s="30" t="inlineStr">
        <is>
          <t>2537788</t>
        </is>
      </c>
      <c r="H12" s="128" t="n">
        <v>-2710806535</v>
      </c>
      <c r="I12" s="128" t="n">
        <v>-5259838759977420</v>
      </c>
      <c r="J12" s="32" t="inlineStr">
        <is>
          <t>Radioterapia - Aquisição de Equipamentos</t>
        </is>
      </c>
      <c r="K12" s="29" t="inlineStr">
        <is>
          <t>NA</t>
        </is>
      </c>
      <c r="L12" s="29" t="inlineStr">
        <is>
          <t>NA</t>
        </is>
      </c>
      <c r="M12" s="32" t="inlineStr">
        <is>
          <t>Convênio</t>
        </is>
      </c>
      <c r="N12" s="29" t="n">
        <v>2016</v>
      </c>
      <c r="O12" s="29" t="n">
        <v>835093</v>
      </c>
      <c r="P12" s="29" t="n">
        <v>90212216001</v>
      </c>
      <c r="Q12" s="29" t="inlineStr">
        <is>
          <t>25000.008768/2016-55</t>
        </is>
      </c>
      <c r="R12" s="32" t="inlineStr">
        <is>
          <t>HOSPITAL GERAL E ESPECIALIZADO</t>
        </is>
      </c>
      <c r="S12" s="32" t="inlineStr">
        <is>
          <t>NA</t>
        </is>
      </c>
      <c r="T12" s="29" t="inlineStr">
        <is>
          <t>Acelerador Linear</t>
        </is>
      </c>
      <c r="U12" s="29" t="n">
        <v>1</v>
      </c>
      <c r="V12" s="29" t="n">
        <v>1</v>
      </c>
      <c r="W12" s="32" t="inlineStr">
        <is>
          <t>UND</t>
        </is>
      </c>
      <c r="X12" s="32" t="inlineStr">
        <is>
          <t>EQUIPAMENTO</t>
        </is>
      </c>
      <c r="Y12" s="32" t="inlineStr">
        <is>
          <t>010911-Acelerador Linear só de Fótons (monoenergético 6 MV)</t>
        </is>
      </c>
      <c r="Z12" s="32" t="inlineStr">
        <is>
          <t>NA</t>
        </is>
      </c>
      <c r="AA12" s="32" t="inlineStr">
        <is>
          <t>NA</t>
        </is>
      </c>
      <c r="AB12" s="32" t="inlineStr">
        <is>
          <t>NA</t>
        </is>
      </c>
      <c r="AC12" s="32" t="inlineStr">
        <is>
          <t>NA</t>
        </is>
      </c>
      <c r="AD12" s="32" t="inlineStr">
        <is>
          <t>NA</t>
        </is>
      </c>
      <c r="AE12" s="32" t="inlineStr">
        <is>
          <t>NA</t>
        </is>
      </c>
      <c r="AF12" s="32" t="inlineStr">
        <is>
          <t>NA</t>
        </is>
      </c>
      <c r="AG12" s="816" t="n">
        <v>3032589.51</v>
      </c>
      <c r="AH12" s="816" t="n">
        <v>650000</v>
      </c>
      <c r="AI12" s="32" t="inlineStr">
        <is>
          <t>NA</t>
        </is>
      </c>
      <c r="AJ12" s="32" t="inlineStr">
        <is>
          <t>NA</t>
        </is>
      </c>
      <c r="AK12" s="32" t="inlineStr">
        <is>
          <t>NA</t>
        </is>
      </c>
      <c r="AL12" s="32" t="inlineStr">
        <is>
          <t>NA</t>
        </is>
      </c>
      <c r="AM12" s="32" t="inlineStr">
        <is>
          <t>NA</t>
        </is>
      </c>
      <c r="AN12" s="32" t="inlineStr">
        <is>
          <t>NA</t>
        </is>
      </c>
      <c r="AO12" s="32" t="inlineStr">
        <is>
          <t>NA</t>
        </is>
      </c>
      <c r="AP12" s="32" t="inlineStr">
        <is>
          <t>NA</t>
        </is>
      </c>
      <c r="AQ12" s="32" t="inlineStr">
        <is>
          <t>NA</t>
        </is>
      </c>
      <c r="AR12" s="32" t="inlineStr">
        <is>
          <t>NA</t>
        </is>
      </c>
      <c r="AS12" s="32" t="inlineStr">
        <is>
          <t>NA</t>
        </is>
      </c>
      <c r="AT12" s="32" t="inlineStr">
        <is>
          <t>NA</t>
        </is>
      </c>
      <c r="AU12" s="32" t="inlineStr">
        <is>
          <t>NA</t>
        </is>
      </c>
      <c r="AV12" s="32" t="inlineStr">
        <is>
          <t>NA</t>
        </is>
      </c>
      <c r="AW12" s="32" t="inlineStr">
        <is>
          <t>NA</t>
        </is>
      </c>
      <c r="AX12" s="32" t="inlineStr">
        <is>
          <t>NA</t>
        </is>
      </c>
      <c r="AY12" s="1" t="inlineStr">
        <is>
          <t>Concluído</t>
        </is>
      </c>
      <c r="AZ12" s="1" t="inlineStr">
        <is>
          <t>Concluído</t>
        </is>
      </c>
      <c r="BA12" s="1" t="inlineStr">
        <is>
          <t>Concluído</t>
        </is>
      </c>
      <c r="BB12" s="70" t="n">
        <v>1</v>
      </c>
      <c r="BC12" s="103" t="n">
        <v>44196</v>
      </c>
      <c r="BD12" s="32" t="inlineStr">
        <is>
          <t>NA</t>
        </is>
      </c>
      <c r="BE12" s="32" t="inlineStr">
        <is>
          <t>NA</t>
        </is>
      </c>
      <c r="BF12" s="32" t="inlineStr">
        <is>
          <t>NA</t>
        </is>
      </c>
      <c r="BG12" s="32" t="inlineStr">
        <is>
          <t>NA</t>
        </is>
      </c>
      <c r="BH12" s="32" t="inlineStr">
        <is>
          <t>NA</t>
        </is>
      </c>
      <c r="BI12" s="32" t="inlineStr">
        <is>
          <t>NA</t>
        </is>
      </c>
      <c r="BJ12" s="32" t="inlineStr">
        <is>
          <t>NA</t>
        </is>
      </c>
      <c r="BK12" s="32" t="inlineStr">
        <is>
          <t>NA</t>
        </is>
      </c>
      <c r="BL12" s="32" t="inlineStr">
        <is>
          <t>NA</t>
        </is>
      </c>
      <c r="BM12" s="32" t="inlineStr">
        <is>
          <t>NA</t>
        </is>
      </c>
      <c r="BN12" s="32" t="inlineStr">
        <is>
          <t>NA</t>
        </is>
      </c>
      <c r="BO12" s="32" t="inlineStr">
        <is>
          <t>NA</t>
        </is>
      </c>
      <c r="BP12" s="32" t="inlineStr">
        <is>
          <t>NA</t>
        </is>
      </c>
      <c r="BQ12" s="32" t="inlineStr">
        <is>
          <t>NA</t>
        </is>
      </c>
      <c r="BR12" s="32" t="inlineStr">
        <is>
          <t>NA</t>
        </is>
      </c>
      <c r="BS12" s="32" t="inlineStr">
        <is>
          <t>NA</t>
        </is>
      </c>
      <c r="BT12" s="103" t="n">
        <v>42867</v>
      </c>
      <c r="BU12" s="816" t="n">
        <v>2150000</v>
      </c>
    </row>
    <row r="13" ht="39.75" customHeight="1">
      <c r="A13" s="29" t="inlineStr">
        <is>
          <t>NORDESTE</t>
        </is>
      </c>
      <c r="B13" s="29" t="inlineStr">
        <is>
          <t>PE</t>
        </is>
      </c>
      <c r="C13" s="385" t="inlineStr">
        <is>
          <t>RECIFE</t>
        </is>
      </c>
      <c r="D13" s="29" t="inlineStr">
        <is>
          <t>SOCIEDADE PERNAMBUCANA DO COMBATE AO CANCER</t>
        </is>
      </c>
      <c r="E13" s="84" t="inlineStr">
        <is>
          <t>10894988000133</t>
        </is>
      </c>
      <c r="F13" s="29" t="inlineStr">
        <is>
          <t>SOCIEDADE PERNAMBUCANA DO COMBATE AO CANCER</t>
        </is>
      </c>
      <c r="G13" s="30" t="inlineStr">
        <is>
          <t>0000582</t>
        </is>
      </c>
      <c r="H13" s="129" t="n">
        <v>-8041297817982740</v>
      </c>
      <c r="I13" s="128" t="n">
        <v>-3487337350845330</v>
      </c>
      <c r="J13" s="32" t="inlineStr">
        <is>
          <t>Radioterapia - Aquisição de Equipamentos</t>
        </is>
      </c>
      <c r="K13" s="29" t="inlineStr">
        <is>
          <t>NA</t>
        </is>
      </c>
      <c r="L13" s="29" t="inlineStr">
        <is>
          <t>NA</t>
        </is>
      </c>
      <c r="M13" s="32" t="inlineStr">
        <is>
          <t>Convênio</t>
        </is>
      </c>
      <c r="N13" s="29" t="n">
        <v>2019</v>
      </c>
      <c r="O13" s="29" t="n">
        <v>886284</v>
      </c>
      <c r="P13" s="29" t="n">
        <v>91089419003</v>
      </c>
      <c r="Q13" s="29" t="inlineStr">
        <is>
          <t>25000.168855/2019-86</t>
        </is>
      </c>
      <c r="R13" s="32" t="inlineStr">
        <is>
          <t>CENTRO DE REFERENCIA DE ALTA COMPLEXIDADE EM ONCOLOGIA</t>
        </is>
      </c>
      <c r="S13" s="32" t="inlineStr">
        <is>
          <t>NA</t>
        </is>
      </c>
      <c r="T13" s="29" t="inlineStr">
        <is>
          <t>Acelerador Linear</t>
        </is>
      </c>
      <c r="U13" s="29" t="n">
        <v>38</v>
      </c>
      <c r="V13" s="29" t="n">
        <v>1</v>
      </c>
      <c r="W13" s="32" t="inlineStr">
        <is>
          <t>UND</t>
        </is>
      </c>
      <c r="X13" s="32" t="inlineStr">
        <is>
          <t>EQUIPAMENTO</t>
        </is>
      </c>
      <c r="Y13" s="32" t="inlineStr">
        <is>
          <t>010911-Acelerador Linear só de Fótons (monoenergético 6 MV)</t>
        </is>
      </c>
      <c r="Z13" s="32" t="inlineStr">
        <is>
          <t>NA</t>
        </is>
      </c>
      <c r="AA13" s="32" t="inlineStr">
        <is>
          <t>NA</t>
        </is>
      </c>
      <c r="AB13" s="32" t="inlineStr">
        <is>
          <t>NA</t>
        </is>
      </c>
      <c r="AC13" s="32" t="inlineStr">
        <is>
          <t>NA</t>
        </is>
      </c>
      <c r="AD13" s="32" t="inlineStr">
        <is>
          <t>NA</t>
        </is>
      </c>
      <c r="AE13" s="32" t="inlineStr">
        <is>
          <t>NA</t>
        </is>
      </c>
      <c r="AF13" s="32" t="inlineStr">
        <is>
          <t>NA</t>
        </is>
      </c>
      <c r="AG13" s="816" t="n">
        <v>6870327.38</v>
      </c>
      <c r="AH13" s="816" t="n">
        <v>1870327.38</v>
      </c>
      <c r="AI13" s="32" t="inlineStr">
        <is>
          <t>NA</t>
        </is>
      </c>
      <c r="AJ13" s="32" t="inlineStr">
        <is>
          <t>NA</t>
        </is>
      </c>
      <c r="AK13" s="32" t="inlineStr">
        <is>
          <t>NA</t>
        </is>
      </c>
      <c r="AL13" s="32" t="inlineStr">
        <is>
          <t>NA</t>
        </is>
      </c>
      <c r="AM13" s="32" t="inlineStr">
        <is>
          <t>NA</t>
        </is>
      </c>
      <c r="AN13" s="32" t="inlineStr">
        <is>
          <t>NA</t>
        </is>
      </c>
      <c r="AO13" s="32" t="inlineStr">
        <is>
          <t>NA</t>
        </is>
      </c>
      <c r="AP13" s="32" t="inlineStr">
        <is>
          <t>NA</t>
        </is>
      </c>
      <c r="AQ13" s="32" t="inlineStr">
        <is>
          <t>NA</t>
        </is>
      </c>
      <c r="AR13" s="32" t="inlineStr">
        <is>
          <t>NA</t>
        </is>
      </c>
      <c r="AS13" s="32" t="inlineStr">
        <is>
          <t>NA</t>
        </is>
      </c>
      <c r="AT13" s="32" t="inlineStr">
        <is>
          <t>NA</t>
        </is>
      </c>
      <c r="AU13" s="32" t="inlineStr">
        <is>
          <t>NA</t>
        </is>
      </c>
      <c r="AV13" s="32" t="inlineStr">
        <is>
          <t>NA</t>
        </is>
      </c>
      <c r="AW13" s="32" t="inlineStr">
        <is>
          <t>NA</t>
        </is>
      </c>
      <c r="AX13" s="32" t="inlineStr">
        <is>
          <t>NA</t>
        </is>
      </c>
      <c r="AY13" s="1" t="inlineStr">
        <is>
          <t>Concluído</t>
        </is>
      </c>
      <c r="AZ13" s="1" t="inlineStr">
        <is>
          <t>Concluído</t>
        </is>
      </c>
      <c r="BA13" s="1" t="inlineStr">
        <is>
          <t>Concluído</t>
        </is>
      </c>
      <c r="BB13" s="70" t="n">
        <v>1</v>
      </c>
      <c r="BC13" s="103" t="n">
        <v>45455</v>
      </c>
      <c r="BD13" s="32" t="inlineStr">
        <is>
          <t>NA</t>
        </is>
      </c>
      <c r="BE13" s="32" t="inlineStr">
        <is>
          <t>NA</t>
        </is>
      </c>
      <c r="BF13" s="32" t="inlineStr">
        <is>
          <t>NA</t>
        </is>
      </c>
      <c r="BG13" s="32" t="inlineStr">
        <is>
          <t>NA</t>
        </is>
      </c>
      <c r="BH13" s="32" t="inlineStr">
        <is>
          <t>NA</t>
        </is>
      </c>
      <c r="BI13" s="32" t="inlineStr">
        <is>
          <t>NA</t>
        </is>
      </c>
      <c r="BJ13" s="32" t="inlineStr">
        <is>
          <t>NA</t>
        </is>
      </c>
      <c r="BK13" s="32" t="inlineStr">
        <is>
          <t>NA</t>
        </is>
      </c>
      <c r="BL13" s="32" t="inlineStr">
        <is>
          <t>NA</t>
        </is>
      </c>
      <c r="BM13" s="32" t="inlineStr">
        <is>
          <t>NA</t>
        </is>
      </c>
      <c r="BN13" s="32" t="inlineStr">
        <is>
          <t>NA</t>
        </is>
      </c>
      <c r="BO13" s="32" t="inlineStr">
        <is>
          <t>NA</t>
        </is>
      </c>
      <c r="BP13" s="32" t="inlineStr">
        <is>
          <t>NA</t>
        </is>
      </c>
      <c r="BQ13" s="32" t="inlineStr">
        <is>
          <t>NA</t>
        </is>
      </c>
      <c r="BR13" s="32" t="inlineStr">
        <is>
          <t>NA</t>
        </is>
      </c>
      <c r="BS13" s="32" t="inlineStr">
        <is>
          <t>NA</t>
        </is>
      </c>
      <c r="BT13" s="103" t="n">
        <v>45111</v>
      </c>
      <c r="BU13" s="816" t="n">
        <v>4990525.12</v>
      </c>
    </row>
    <row r="14" ht="39.75" customFormat="1" customHeight="1" s="80">
      <c r="A14" s="1" t="inlineStr">
        <is>
          <t>SUDESTE</t>
        </is>
      </c>
      <c r="B14" s="1" t="inlineStr">
        <is>
          <t>SP</t>
        </is>
      </c>
      <c r="C14" s="337" t="inlineStr">
        <is>
          <t>JAU</t>
        </is>
      </c>
      <c r="D14" s="1" t="inlineStr">
        <is>
          <t>FUNDACAO DR AMARAL CARVALHO</t>
        </is>
      </c>
      <c r="E14" s="82" t="inlineStr">
        <is>
          <t>50753755000135</t>
        </is>
      </c>
      <c r="F14" s="1" t="inlineStr">
        <is>
          <t>FUNDACAO DR AMARAL CARVALHO</t>
        </is>
      </c>
      <c r="G14" s="1" t="n">
        <v>2083086</v>
      </c>
      <c r="H14" s="106" t="n">
        <v>-2229139</v>
      </c>
      <c r="I14" s="106" t="n">
        <v>-4854914</v>
      </c>
      <c r="J14" s="1" t="inlineStr">
        <is>
          <t>Radioterapia - Aquisição de Equipamentos</t>
        </is>
      </c>
      <c r="K14" s="31" t="inlineStr">
        <is>
          <t>NA</t>
        </is>
      </c>
      <c r="L14" s="31" t="inlineStr">
        <is>
          <t>NA</t>
        </is>
      </c>
      <c r="M14" s="1" t="inlineStr">
        <is>
          <t>Convênio</t>
        </is>
      </c>
      <c r="N14" s="1" t="n">
        <v>2019</v>
      </c>
      <c r="O14" s="3" t="inlineStr">
        <is>
          <t>892022</t>
        </is>
      </c>
      <c r="P14" s="3" t="inlineStr">
        <is>
          <t>95075319013</t>
        </is>
      </c>
      <c r="Q14" s="3" t="inlineStr">
        <is>
          <t>25000.208382/2019-67</t>
        </is>
      </c>
      <c r="R14" s="1" t="inlineStr">
        <is>
          <t>HOSPITAL GERAL E ESPECIALIZADO</t>
        </is>
      </c>
      <c r="S14" s="1" t="inlineStr">
        <is>
          <t>NA</t>
        </is>
      </c>
      <c r="T14" s="29" t="inlineStr">
        <is>
          <t>Acelerador Linear</t>
        </is>
      </c>
      <c r="U14" s="1" t="n">
        <v>1</v>
      </c>
      <c r="V14" s="1" t="n">
        <v>1</v>
      </c>
      <c r="W14" s="1" t="inlineStr">
        <is>
          <t>UND</t>
        </is>
      </c>
      <c r="X14" s="1" t="inlineStr">
        <is>
          <t>EQUIPAMENTO</t>
        </is>
      </c>
      <c r="Y14" s="1" t="inlineStr">
        <is>
          <t>010933-Acelerador Linear de Fótons e Elétrons (dual 10 MV)</t>
        </is>
      </c>
      <c r="Z14" s="1" t="inlineStr">
        <is>
          <t>NA</t>
        </is>
      </c>
      <c r="AA14" s="32" t="inlineStr">
        <is>
          <t>NA</t>
        </is>
      </c>
      <c r="AB14" s="32" t="inlineStr">
        <is>
          <t>NA</t>
        </is>
      </c>
      <c r="AC14" s="32" t="inlineStr">
        <is>
          <t>NA</t>
        </is>
      </c>
      <c r="AD14" s="1" t="inlineStr">
        <is>
          <t>NA</t>
        </is>
      </c>
      <c r="AE14" s="1" t="inlineStr">
        <is>
          <t>NA</t>
        </is>
      </c>
      <c r="AF14" s="1" t="inlineStr">
        <is>
          <t>NA</t>
        </is>
      </c>
      <c r="AG14" s="816" t="n">
        <v>6500000</v>
      </c>
      <c r="AH14" s="816" t="n">
        <v>0</v>
      </c>
      <c r="AI14" s="1" t="inlineStr">
        <is>
          <t>NA</t>
        </is>
      </c>
      <c r="AJ14" s="1" t="inlineStr">
        <is>
          <t>NA</t>
        </is>
      </c>
      <c r="AK14" s="1" t="inlineStr">
        <is>
          <t>NA</t>
        </is>
      </c>
      <c r="AL14" s="1" t="inlineStr">
        <is>
          <t>NA</t>
        </is>
      </c>
      <c r="AM14" s="1" t="inlineStr">
        <is>
          <t>NA</t>
        </is>
      </c>
      <c r="AN14" s="1" t="inlineStr">
        <is>
          <t>NA</t>
        </is>
      </c>
      <c r="AO14" s="1" t="inlineStr">
        <is>
          <t>NA</t>
        </is>
      </c>
      <c r="AP14" s="1" t="inlineStr">
        <is>
          <t>NA</t>
        </is>
      </c>
      <c r="AQ14" s="1" t="inlineStr">
        <is>
          <t>NA</t>
        </is>
      </c>
      <c r="AR14" s="1" t="inlineStr">
        <is>
          <t>NA</t>
        </is>
      </c>
      <c r="AS14" s="1" t="inlineStr">
        <is>
          <t>NA</t>
        </is>
      </c>
      <c r="AT14" s="1" t="inlineStr">
        <is>
          <t>NA</t>
        </is>
      </c>
      <c r="AU14" s="1" t="inlineStr">
        <is>
          <t>NA</t>
        </is>
      </c>
      <c r="AV14" s="1" t="inlineStr">
        <is>
          <t>NA</t>
        </is>
      </c>
      <c r="AW14" s="1" t="inlineStr">
        <is>
          <t>NA</t>
        </is>
      </c>
      <c r="AX14" s="1" t="inlineStr">
        <is>
          <t>NA</t>
        </is>
      </c>
      <c r="AY14" s="1" t="inlineStr">
        <is>
          <t>Concluído</t>
        </is>
      </c>
      <c r="AZ14" s="1" t="inlineStr">
        <is>
          <t>Concluído</t>
        </is>
      </c>
      <c r="BA14" s="1" t="inlineStr">
        <is>
          <t>Concluído</t>
        </is>
      </c>
      <c r="BB14" s="70" t="n">
        <v>1</v>
      </c>
      <c r="BC14" s="101" t="n">
        <v>45705</v>
      </c>
      <c r="BD14" s="1" t="inlineStr">
        <is>
          <t>NA</t>
        </is>
      </c>
      <c r="BE14" s="1" t="inlineStr">
        <is>
          <t>NA</t>
        </is>
      </c>
      <c r="BF14" s="1" t="inlineStr">
        <is>
          <t>NA</t>
        </is>
      </c>
      <c r="BG14" s="1" t="inlineStr">
        <is>
          <t>NA</t>
        </is>
      </c>
      <c r="BH14" s="1" t="inlineStr">
        <is>
          <t>Prestação de contas atrasada, mas foi executado 100%. eles tentaram prorrogar para utilizar o saldo remanescente mas não foi autorizado</t>
        </is>
      </c>
      <c r="BI14" s="1" t="inlineStr">
        <is>
          <t>NA</t>
        </is>
      </c>
      <c r="BJ14" s="1" t="inlineStr">
        <is>
          <t>NA</t>
        </is>
      </c>
      <c r="BK14" s="1" t="inlineStr">
        <is>
          <t>NA</t>
        </is>
      </c>
      <c r="BL14" s="1" t="inlineStr">
        <is>
          <t>NA</t>
        </is>
      </c>
      <c r="BM14" s="1" t="inlineStr">
        <is>
          <t>NA</t>
        </is>
      </c>
      <c r="BN14" s="1" t="inlineStr">
        <is>
          <t>NA</t>
        </is>
      </c>
      <c r="BO14" s="1" t="inlineStr">
        <is>
          <t>NA</t>
        </is>
      </c>
      <c r="BP14" s="1" t="inlineStr">
        <is>
          <t>NA</t>
        </is>
      </c>
      <c r="BQ14" s="1" t="inlineStr">
        <is>
          <t>NA</t>
        </is>
      </c>
      <c r="BR14" s="1" t="inlineStr">
        <is>
          <t>NA</t>
        </is>
      </c>
      <c r="BS14" s="1" t="inlineStr">
        <is>
          <t>NA</t>
        </is>
      </c>
      <c r="BT14" s="101" t="n">
        <v>44735</v>
      </c>
      <c r="BU14" s="816" t="n">
        <v>6500000</v>
      </c>
    </row>
    <row r="15" ht="39.75" customHeight="1">
      <c r="A15" s="29" t="inlineStr">
        <is>
          <t>NORTE</t>
        </is>
      </c>
      <c r="B15" s="29" t="inlineStr">
        <is>
          <t>RO</t>
        </is>
      </c>
      <c r="C15" s="385" t="inlineStr">
        <is>
          <t>PORTO VELHO</t>
        </is>
      </c>
      <c r="D15" s="29" t="inlineStr">
        <is>
          <t>FUNDACAO PIO XII PORTO VELHO</t>
        </is>
      </c>
      <c r="E15" s="84" t="inlineStr">
        <is>
          <t>49150352001607</t>
        </is>
      </c>
      <c r="F15" s="29" t="inlineStr">
        <is>
          <t>FUNDACAO PIO XII PORTO VELHO</t>
        </is>
      </c>
      <c r="G15" s="30" t="inlineStr">
        <is>
          <t>7068336</t>
        </is>
      </c>
      <c r="H15" s="128" t="n">
        <v>-8763192842560930</v>
      </c>
      <c r="I15" s="128" t="n">
        <v>-6382610321044920</v>
      </c>
      <c r="J15" s="32" t="inlineStr">
        <is>
          <t>Radioterapia - Aquisição de Equipamentos</t>
        </is>
      </c>
      <c r="K15" s="29" t="inlineStr">
        <is>
          <t>NA</t>
        </is>
      </c>
      <c r="L15" s="29" t="inlineStr">
        <is>
          <t>NA</t>
        </is>
      </c>
      <c r="M15" s="32" t="inlineStr">
        <is>
          <t>Convênio</t>
        </is>
      </c>
      <c r="N15" s="29" t="n">
        <v>2021</v>
      </c>
      <c r="O15" s="29" t="n">
        <v>922620</v>
      </c>
      <c r="P15" s="29" t="n">
        <v>94915021013</v>
      </c>
      <c r="Q15" s="29" t="inlineStr">
        <is>
          <t>25000.185035/2021-73</t>
        </is>
      </c>
      <c r="R15" s="32" t="inlineStr">
        <is>
          <t>HOSPITAL</t>
        </is>
      </c>
      <c r="S15" s="32" t="inlineStr">
        <is>
          <t>NA</t>
        </is>
      </c>
      <c r="T15" s="29" t="inlineStr">
        <is>
          <t>Acelerador Linear</t>
        </is>
      </c>
      <c r="U15" s="29" t="n">
        <v>1</v>
      </c>
      <c r="V15" s="29" t="n">
        <v>1</v>
      </c>
      <c r="W15" s="32" t="inlineStr">
        <is>
          <t>UND</t>
        </is>
      </c>
      <c r="X15" s="32" t="inlineStr">
        <is>
          <t>EQUIPAMENTO</t>
        </is>
      </c>
      <c r="Y15" s="32" t="inlineStr">
        <is>
          <t>010911-Acelerador Linear só de Fótons (monoenergético 6 MV)</t>
        </is>
      </c>
      <c r="Z15" s="32" t="inlineStr">
        <is>
          <t>NA</t>
        </is>
      </c>
      <c r="AA15" s="32" t="inlineStr">
        <is>
          <t>NA</t>
        </is>
      </c>
      <c r="AB15" s="32" t="inlineStr">
        <is>
          <t>NA</t>
        </is>
      </c>
      <c r="AC15" s="32" t="inlineStr">
        <is>
          <t>NA</t>
        </is>
      </c>
      <c r="AD15" s="32" t="inlineStr">
        <is>
          <t>NA</t>
        </is>
      </c>
      <c r="AE15" s="32" t="inlineStr">
        <is>
          <t>NA</t>
        </is>
      </c>
      <c r="AF15" s="32" t="inlineStr">
        <is>
          <t>NA</t>
        </is>
      </c>
      <c r="AG15" s="816" t="n">
        <v>6970000</v>
      </c>
      <c r="AH15" s="816" t="n">
        <v>0</v>
      </c>
      <c r="AI15" s="32" t="inlineStr">
        <is>
          <t>NA</t>
        </is>
      </c>
      <c r="AJ15" s="32" t="inlineStr">
        <is>
          <t>NA</t>
        </is>
      </c>
      <c r="AK15" s="32" t="inlineStr">
        <is>
          <t>NA</t>
        </is>
      </c>
      <c r="AL15" s="32" t="inlineStr">
        <is>
          <t>NA</t>
        </is>
      </c>
      <c r="AM15" s="32" t="inlineStr">
        <is>
          <t>NA</t>
        </is>
      </c>
      <c r="AN15" s="32" t="inlineStr">
        <is>
          <t>NA</t>
        </is>
      </c>
      <c r="AO15" s="32" t="inlineStr">
        <is>
          <t>NA</t>
        </is>
      </c>
      <c r="AP15" s="32" t="inlineStr">
        <is>
          <t>NA</t>
        </is>
      </c>
      <c r="AQ15" s="32" t="inlineStr">
        <is>
          <t>NA</t>
        </is>
      </c>
      <c r="AR15" s="32" t="inlineStr">
        <is>
          <t>NA</t>
        </is>
      </c>
      <c r="AS15" s="32" t="inlineStr">
        <is>
          <t>NA</t>
        </is>
      </c>
      <c r="AT15" s="32" t="inlineStr">
        <is>
          <t>NA</t>
        </is>
      </c>
      <c r="AU15" s="32" t="inlineStr">
        <is>
          <t>NA</t>
        </is>
      </c>
      <c r="AV15" s="32" t="inlineStr">
        <is>
          <t>NA</t>
        </is>
      </c>
      <c r="AW15" s="32" t="inlineStr">
        <is>
          <t>NA</t>
        </is>
      </c>
      <c r="AX15" s="32" t="inlineStr">
        <is>
          <t>NA</t>
        </is>
      </c>
      <c r="AY15" s="1" t="inlineStr">
        <is>
          <t>Concluído</t>
        </is>
      </c>
      <c r="AZ15" s="1" t="inlineStr">
        <is>
          <t>Concluído</t>
        </is>
      </c>
      <c r="BA15" s="1" t="inlineStr">
        <is>
          <t>Concluído</t>
        </is>
      </c>
      <c r="BB15" s="70" t="n">
        <v>1</v>
      </c>
      <c r="BC15" s="103" t="n">
        <v>45047</v>
      </c>
      <c r="BD15" s="32" t="inlineStr">
        <is>
          <t>NA</t>
        </is>
      </c>
      <c r="BE15" s="32" t="inlineStr">
        <is>
          <t>NA</t>
        </is>
      </c>
      <c r="BF15" s="32" t="inlineStr">
        <is>
          <t>NA</t>
        </is>
      </c>
      <c r="BG15" s="32" t="inlineStr">
        <is>
          <t>NA</t>
        </is>
      </c>
      <c r="BH15" s="32" t="n"/>
      <c r="BI15" s="32" t="inlineStr">
        <is>
          <t>NA</t>
        </is>
      </c>
      <c r="BJ15" s="32" t="inlineStr">
        <is>
          <t>NA</t>
        </is>
      </c>
      <c r="BK15" s="32" t="inlineStr">
        <is>
          <t>NA</t>
        </is>
      </c>
      <c r="BL15" s="32" t="inlineStr">
        <is>
          <t>NA</t>
        </is>
      </c>
      <c r="BM15" s="32" t="inlineStr">
        <is>
          <t>NA</t>
        </is>
      </c>
      <c r="BN15" s="32" t="inlineStr">
        <is>
          <t>NA</t>
        </is>
      </c>
      <c r="BO15" s="32" t="inlineStr">
        <is>
          <t>NA</t>
        </is>
      </c>
      <c r="BP15" s="32" t="inlineStr">
        <is>
          <t>NA</t>
        </is>
      </c>
      <c r="BQ15" s="32" t="inlineStr">
        <is>
          <t>NA</t>
        </is>
      </c>
      <c r="BR15" s="32" t="inlineStr">
        <is>
          <t>NA</t>
        </is>
      </c>
      <c r="BS15" s="32" t="inlineStr">
        <is>
          <t>NA</t>
        </is>
      </c>
      <c r="BT15" s="103" t="n">
        <v>44687</v>
      </c>
      <c r="BU15" s="816" t="n">
        <v>6604000</v>
      </c>
    </row>
    <row r="16" ht="39.75" customFormat="1" customHeight="1" s="80">
      <c r="A16" s="1" t="inlineStr">
        <is>
          <t>NORDESTE</t>
        </is>
      </c>
      <c r="B16" s="26" t="inlineStr">
        <is>
          <t>PB</t>
        </is>
      </c>
      <c r="C16" s="337" t="inlineStr">
        <is>
          <t>JOAO PESSOA</t>
        </is>
      </c>
      <c r="D16" s="1" t="inlineStr">
        <is>
          <t>FUNDACAO NAPOLEAO LAUREANO</t>
        </is>
      </c>
      <c r="E16" s="82" t="inlineStr">
        <is>
          <t>9112236000194</t>
        </is>
      </c>
      <c r="F16" s="1" t="inlineStr">
        <is>
          <t>FUNDACAO NAPOLEAO LAUREANO</t>
        </is>
      </c>
      <c r="G16" s="26" t="n">
        <v>2399741</v>
      </c>
      <c r="H16" s="106" t="n">
        <v>-71705407</v>
      </c>
      <c r="I16" s="106" t="n">
        <v>-348851019</v>
      </c>
      <c r="J16" s="1" t="inlineStr">
        <is>
          <t>Radioterapia - Aquisição de Equipamentos</t>
        </is>
      </c>
      <c r="K16" s="31" t="inlineStr">
        <is>
          <t>NA</t>
        </is>
      </c>
      <c r="L16" s="31" t="inlineStr">
        <is>
          <t>NA</t>
        </is>
      </c>
      <c r="M16" s="1" t="inlineStr">
        <is>
          <t>Convênio</t>
        </is>
      </c>
      <c r="N16" s="26" t="n">
        <v>2021</v>
      </c>
      <c r="O16" s="27" t="inlineStr">
        <is>
          <t>924066</t>
        </is>
      </c>
      <c r="P16" s="27" t="inlineStr">
        <is>
          <t>90911221003</t>
        </is>
      </c>
      <c r="Q16" s="27" t="inlineStr">
        <is>
          <t>25000.187228/2021-69</t>
        </is>
      </c>
      <c r="R16" s="32" t="inlineStr">
        <is>
          <t>HOSPITAL</t>
        </is>
      </c>
      <c r="S16" s="32" t="inlineStr">
        <is>
          <t>NA</t>
        </is>
      </c>
      <c r="T16" s="29" t="inlineStr">
        <is>
          <t>Acelerador Linear</t>
        </is>
      </c>
      <c r="U16" s="1" t="n">
        <v>45</v>
      </c>
      <c r="V16" s="26" t="n">
        <v>1</v>
      </c>
      <c r="W16" s="1" t="inlineStr">
        <is>
          <t>UND</t>
        </is>
      </c>
      <c r="X16" s="1" t="inlineStr">
        <is>
          <t>EQUIPAMENTO</t>
        </is>
      </c>
      <c r="Y16" s="1" t="inlineStr">
        <is>
          <t>010910-Acelerador Linear de Fótons e Elétrons (dual 15 MV)</t>
        </is>
      </c>
      <c r="Z16" s="1" t="inlineStr">
        <is>
          <t>NA</t>
        </is>
      </c>
      <c r="AA16" s="32" t="inlineStr">
        <is>
          <t>NA</t>
        </is>
      </c>
      <c r="AB16" s="32" t="inlineStr">
        <is>
          <t>NA</t>
        </is>
      </c>
      <c r="AC16" s="32" t="inlineStr">
        <is>
          <t>NA</t>
        </is>
      </c>
      <c r="AD16" s="1" t="inlineStr">
        <is>
          <t>NA</t>
        </is>
      </c>
      <c r="AE16" s="1" t="inlineStr">
        <is>
          <t>NA</t>
        </is>
      </c>
      <c r="AF16" s="1" t="inlineStr">
        <is>
          <t>NA</t>
        </is>
      </c>
      <c r="AG16" s="816" t="n">
        <v>9862386</v>
      </c>
      <c r="AH16" s="816" t="n">
        <v>134997</v>
      </c>
      <c r="AI16" s="1" t="inlineStr">
        <is>
          <t>NA</t>
        </is>
      </c>
      <c r="AJ16" s="1" t="inlineStr">
        <is>
          <t>NA</t>
        </is>
      </c>
      <c r="AK16" s="1" t="inlineStr">
        <is>
          <t>NA</t>
        </is>
      </c>
      <c r="AL16" s="1" t="inlineStr">
        <is>
          <t>NA</t>
        </is>
      </c>
      <c r="AM16" s="1" t="inlineStr">
        <is>
          <t>NA</t>
        </is>
      </c>
      <c r="AN16" s="1" t="inlineStr">
        <is>
          <t>NA</t>
        </is>
      </c>
      <c r="AO16" s="1" t="inlineStr">
        <is>
          <t>NA</t>
        </is>
      </c>
      <c r="AP16" s="1" t="inlineStr">
        <is>
          <t>NA</t>
        </is>
      </c>
      <c r="AQ16" s="1" t="inlineStr">
        <is>
          <t>NA</t>
        </is>
      </c>
      <c r="AR16" s="1" t="inlineStr">
        <is>
          <t>NA</t>
        </is>
      </c>
      <c r="AS16" s="1" t="inlineStr">
        <is>
          <t>NA</t>
        </is>
      </c>
      <c r="AT16" s="1" t="inlineStr">
        <is>
          <t>NA</t>
        </is>
      </c>
      <c r="AU16" s="1" t="inlineStr">
        <is>
          <t>NA</t>
        </is>
      </c>
      <c r="AV16" s="1" t="inlineStr">
        <is>
          <t>NA</t>
        </is>
      </c>
      <c r="AW16" s="1" t="inlineStr">
        <is>
          <t>NA</t>
        </is>
      </c>
      <c r="AX16" s="1" t="inlineStr">
        <is>
          <t>NA</t>
        </is>
      </c>
      <c r="AY16" s="1" t="inlineStr">
        <is>
          <t>Concluído</t>
        </is>
      </c>
      <c r="AZ16" s="1" t="inlineStr">
        <is>
          <t>Concluído</t>
        </is>
      </c>
      <c r="BA16" s="1" t="inlineStr">
        <is>
          <t>Concluído</t>
        </is>
      </c>
      <c r="BB16" s="70" t="n">
        <v>1</v>
      </c>
      <c r="BC16" s="101" t="n">
        <v>46004</v>
      </c>
      <c r="BD16" s="1" t="inlineStr">
        <is>
          <t>NA</t>
        </is>
      </c>
      <c r="BE16" s="1" t="inlineStr">
        <is>
          <t>NA</t>
        </is>
      </c>
      <c r="BF16" s="1" t="inlineStr">
        <is>
          <t>NA</t>
        </is>
      </c>
      <c r="BG16" s="1" t="inlineStr">
        <is>
          <t>NA</t>
        </is>
      </c>
      <c r="BH16" s="1" t="inlineStr">
        <is>
          <t>Prestação de contas foi antecipada para 29/05/2025</t>
        </is>
      </c>
      <c r="BI16" s="1" t="inlineStr">
        <is>
          <t>NA</t>
        </is>
      </c>
      <c r="BJ16" s="1" t="inlineStr">
        <is>
          <t>NA</t>
        </is>
      </c>
      <c r="BK16" s="1" t="inlineStr">
        <is>
          <t>NA</t>
        </is>
      </c>
      <c r="BL16" s="1" t="inlineStr">
        <is>
          <t>NA</t>
        </is>
      </c>
      <c r="BM16" s="1" t="inlineStr">
        <is>
          <t>NA</t>
        </is>
      </c>
      <c r="BN16" s="1" t="inlineStr">
        <is>
          <t>NA</t>
        </is>
      </c>
      <c r="BO16" s="1" t="inlineStr">
        <is>
          <t>NA</t>
        </is>
      </c>
      <c r="BP16" s="1" t="inlineStr">
        <is>
          <t>NA</t>
        </is>
      </c>
      <c r="BQ16" s="1" t="inlineStr">
        <is>
          <t>NA</t>
        </is>
      </c>
      <c r="BR16" s="1" t="inlineStr">
        <is>
          <t>NA</t>
        </is>
      </c>
      <c r="BS16" s="1" t="inlineStr">
        <is>
          <t>NA</t>
        </is>
      </c>
      <c r="BT16" s="101" t="n">
        <v>45602</v>
      </c>
      <c r="BU16" s="816" t="n">
        <v>9720044</v>
      </c>
    </row>
    <row r="17" ht="39.75" customFormat="1" customHeight="1" s="80">
      <c r="A17" s="1" t="inlineStr">
        <is>
          <t>SUL</t>
        </is>
      </c>
      <c r="B17" s="26" t="inlineStr">
        <is>
          <t>PR</t>
        </is>
      </c>
      <c r="C17" s="337" t="inlineStr">
        <is>
          <t>CURITIBA</t>
        </is>
      </c>
      <c r="D17" s="1" t="inlineStr">
        <is>
          <t>LIGA PARANAENSE DE COMBATE AO CANCER</t>
        </is>
      </c>
      <c r="E17" s="82" t="inlineStr">
        <is>
          <t>76591049000128</t>
        </is>
      </c>
      <c r="F17" s="1" t="inlineStr">
        <is>
          <t>LIGA PARANAENSE DE COMBATE AO CANCER</t>
        </is>
      </c>
      <c r="G17" s="26" t="n">
        <v>15644</v>
      </c>
      <c r="H17" s="106" t="n">
        <v>-254534641</v>
      </c>
      <c r="I17" s="106" t="n">
        <v>-492399001</v>
      </c>
      <c r="J17" s="1" t="inlineStr">
        <is>
          <t>Radioterapia - Aquisição de Equipamentos</t>
        </is>
      </c>
      <c r="K17" s="31" t="inlineStr">
        <is>
          <t>NA</t>
        </is>
      </c>
      <c r="L17" s="31" t="inlineStr">
        <is>
          <t>NA</t>
        </is>
      </c>
      <c r="M17" s="1" t="inlineStr">
        <is>
          <t>Convênio</t>
        </is>
      </c>
      <c r="N17" s="26" t="n">
        <v>2021</v>
      </c>
      <c r="O17" s="3" t="inlineStr">
        <is>
          <t>925324</t>
        </is>
      </c>
      <c r="P17" s="3" t="inlineStr">
        <is>
          <t>97659121021</t>
        </is>
      </c>
      <c r="Q17" s="3" t="inlineStr">
        <is>
          <t>25000.188713/2021-50</t>
        </is>
      </c>
      <c r="R17" s="1" t="inlineStr">
        <is>
          <t>HOSPITAL</t>
        </is>
      </c>
      <c r="S17" s="32" t="inlineStr">
        <is>
          <t>NA</t>
        </is>
      </c>
      <c r="T17" s="29" t="inlineStr">
        <is>
          <t>Acelerador Linear</t>
        </is>
      </c>
      <c r="U17" s="1" t="n">
        <v>1</v>
      </c>
      <c r="V17" s="1" t="n">
        <v>1</v>
      </c>
      <c r="W17" s="1" t="inlineStr">
        <is>
          <t>UND</t>
        </is>
      </c>
      <c r="X17" s="1" t="inlineStr">
        <is>
          <t>EQUIPAMENTO</t>
        </is>
      </c>
      <c r="Y17" s="1" t="inlineStr">
        <is>
          <t>010910-Acelerador Linear de Fótons e Elétrons (dual 15 MV)</t>
        </is>
      </c>
      <c r="Z17" s="1" t="inlineStr">
        <is>
          <t>NA</t>
        </is>
      </c>
      <c r="AA17" s="32" t="inlineStr">
        <is>
          <t>NA</t>
        </is>
      </c>
      <c r="AB17" s="32" t="inlineStr">
        <is>
          <t>NA</t>
        </is>
      </c>
      <c r="AC17" s="32" t="inlineStr">
        <is>
          <t>NA</t>
        </is>
      </c>
      <c r="AD17" s="1" t="inlineStr">
        <is>
          <t>NA</t>
        </is>
      </c>
      <c r="AE17" s="1" t="inlineStr">
        <is>
          <t>NA</t>
        </is>
      </c>
      <c r="AF17" s="1" t="inlineStr">
        <is>
          <t>NA</t>
        </is>
      </c>
      <c r="AG17" s="816" t="n">
        <v>10900561.75</v>
      </c>
      <c r="AH17" s="816" t="n">
        <v>0</v>
      </c>
      <c r="AI17" s="1" t="inlineStr">
        <is>
          <t>NA</t>
        </is>
      </c>
      <c r="AJ17" s="1" t="inlineStr">
        <is>
          <t>NA</t>
        </is>
      </c>
      <c r="AK17" s="1" t="inlineStr">
        <is>
          <t>NA</t>
        </is>
      </c>
      <c r="AL17" s="1" t="inlineStr">
        <is>
          <t>NA</t>
        </is>
      </c>
      <c r="AM17" s="1" t="inlineStr">
        <is>
          <t>NA</t>
        </is>
      </c>
      <c r="AN17" s="1" t="inlineStr">
        <is>
          <t>NA</t>
        </is>
      </c>
      <c r="AO17" s="1" t="inlineStr">
        <is>
          <t>NA</t>
        </is>
      </c>
      <c r="AP17" s="1" t="inlineStr">
        <is>
          <t>NA</t>
        </is>
      </c>
      <c r="AQ17" s="1" t="inlineStr">
        <is>
          <t>NA</t>
        </is>
      </c>
      <c r="AR17" s="1" t="inlineStr">
        <is>
          <t>NA</t>
        </is>
      </c>
      <c r="AS17" s="1" t="inlineStr">
        <is>
          <t>NA</t>
        </is>
      </c>
      <c r="AT17" s="1" t="inlineStr">
        <is>
          <t>NA</t>
        </is>
      </c>
      <c r="AU17" s="1" t="inlineStr">
        <is>
          <t>NA</t>
        </is>
      </c>
      <c r="AV17" s="1" t="inlineStr">
        <is>
          <t>NA</t>
        </is>
      </c>
      <c r="AW17" s="1" t="inlineStr">
        <is>
          <t>NA</t>
        </is>
      </c>
      <c r="AX17" s="1" t="inlineStr">
        <is>
          <t>NA</t>
        </is>
      </c>
      <c r="AY17" s="1" t="inlineStr">
        <is>
          <t>Concluído</t>
        </is>
      </c>
      <c r="AZ17" s="1" t="inlineStr">
        <is>
          <t>Concluído</t>
        </is>
      </c>
      <c r="BA17" s="1" t="inlineStr">
        <is>
          <t>Concluído</t>
        </is>
      </c>
      <c r="BB17" s="70" t="n">
        <v>1</v>
      </c>
      <c r="BC17" s="340" t="n">
        <v>45807</v>
      </c>
      <c r="BD17" s="1" t="inlineStr">
        <is>
          <t>NA</t>
        </is>
      </c>
      <c r="BE17" s="1" t="inlineStr">
        <is>
          <t>NA</t>
        </is>
      </c>
      <c r="BF17" s="1" t="inlineStr">
        <is>
          <t>NA</t>
        </is>
      </c>
      <c r="BG17" s="36" t="inlineStr">
        <is>
          <t>30/05/2025</t>
        </is>
      </c>
      <c r="BH17" s="1" t="inlineStr">
        <is>
          <t>NA</t>
        </is>
      </c>
      <c r="BI17" s="1" t="inlineStr">
        <is>
          <t>NA</t>
        </is>
      </c>
      <c r="BJ17" s="1" t="inlineStr">
        <is>
          <t>NA</t>
        </is>
      </c>
      <c r="BK17" s="1" t="inlineStr">
        <is>
          <t>NA</t>
        </is>
      </c>
      <c r="BL17" s="1" t="inlineStr">
        <is>
          <t>NA</t>
        </is>
      </c>
      <c r="BM17" s="1" t="inlineStr">
        <is>
          <t>NA</t>
        </is>
      </c>
      <c r="BN17" s="1" t="inlineStr">
        <is>
          <t>NA</t>
        </is>
      </c>
      <c r="BO17" s="1" t="inlineStr">
        <is>
          <t>NA</t>
        </is>
      </c>
      <c r="BP17" s="1" t="inlineStr">
        <is>
          <t>NA</t>
        </is>
      </c>
      <c r="BQ17" s="1" t="inlineStr">
        <is>
          <t>NA</t>
        </is>
      </c>
      <c r="BR17" s="1" t="inlineStr">
        <is>
          <t>NA</t>
        </is>
      </c>
      <c r="BS17" s="1" t="inlineStr">
        <is>
          <t>NA</t>
        </is>
      </c>
      <c r="BT17" s="101" t="n">
        <v>44740</v>
      </c>
      <c r="BU17" s="816" t="n">
        <v>10110999.21</v>
      </c>
    </row>
    <row r="18" ht="39.75" customFormat="1" customHeight="1" s="80">
      <c r="A18" s="1" t="inlineStr">
        <is>
          <t>SUDESTE</t>
        </is>
      </c>
      <c r="B18" s="1" t="inlineStr">
        <is>
          <t>SP</t>
        </is>
      </c>
      <c r="C18" s="337" t="inlineStr">
        <is>
          <t>BARRETOS</t>
        </is>
      </c>
      <c r="D18" s="1" t="inlineStr">
        <is>
          <t>FUNDACAO PIO XII BARRETOS</t>
        </is>
      </c>
      <c r="E18" s="82" t="inlineStr">
        <is>
          <t>49150352000112</t>
        </is>
      </c>
      <c r="F18" s="1" t="inlineStr">
        <is>
          <t>FUNDACAO PIO XII BARRETOS</t>
        </is>
      </c>
      <c r="G18" s="1" t="n">
        <v>2090236</v>
      </c>
      <c r="H18" s="106" t="n">
        <v>-205542064</v>
      </c>
      <c r="I18" s="106" t="n">
        <v>-485716693</v>
      </c>
      <c r="J18" s="1" t="inlineStr">
        <is>
          <t>Radioterapia - Aquisição de Equipamentos</t>
        </is>
      </c>
      <c r="K18" s="31" t="inlineStr">
        <is>
          <t>NA</t>
        </is>
      </c>
      <c r="L18" s="31" t="inlineStr">
        <is>
          <t>NA</t>
        </is>
      </c>
      <c r="M18" s="1" t="inlineStr">
        <is>
          <t>Convênio</t>
        </is>
      </c>
      <c r="N18" s="1" t="n">
        <v>2021</v>
      </c>
      <c r="O18" s="3" t="inlineStr">
        <is>
          <t>922590</t>
        </is>
      </c>
      <c r="P18" s="3" t="inlineStr">
        <is>
          <t>94915021009</t>
        </is>
      </c>
      <c r="Q18" s="3" t="inlineStr">
        <is>
          <t>25000.183957/2021-46</t>
        </is>
      </c>
      <c r="R18" s="1" t="inlineStr">
        <is>
          <t>HOSPITAL</t>
        </is>
      </c>
      <c r="S18" s="32" t="inlineStr">
        <is>
          <t>NA</t>
        </is>
      </c>
      <c r="T18" s="29" t="inlineStr">
        <is>
          <t>Acelerador Linear</t>
        </is>
      </c>
      <c r="U18" s="1" t="n">
        <v>34</v>
      </c>
      <c r="V18" s="1" t="n">
        <v>1</v>
      </c>
      <c r="W18" s="1" t="inlineStr">
        <is>
          <t>UND</t>
        </is>
      </c>
      <c r="X18" s="1" t="inlineStr">
        <is>
          <t>EQUIPAMENTO</t>
        </is>
      </c>
      <c r="Y18" s="1" t="inlineStr">
        <is>
          <t>010933-Acelerador Linear de Fótons e Elétrons (dual 10 MV)</t>
        </is>
      </c>
      <c r="Z18" s="1" t="inlineStr">
        <is>
          <t>NA</t>
        </is>
      </c>
      <c r="AA18" s="32" t="inlineStr">
        <is>
          <t>NA</t>
        </is>
      </c>
      <c r="AB18" s="32" t="inlineStr">
        <is>
          <t>NA</t>
        </is>
      </c>
      <c r="AC18" s="32" t="inlineStr">
        <is>
          <t>NA</t>
        </is>
      </c>
      <c r="AD18" s="1" t="inlineStr">
        <is>
          <t>NA</t>
        </is>
      </c>
      <c r="AE18" s="1" t="inlineStr">
        <is>
          <t>NA</t>
        </is>
      </c>
      <c r="AF18" s="1" t="inlineStr">
        <is>
          <t>NA</t>
        </is>
      </c>
      <c r="AG18" s="816" t="n">
        <v>13259371</v>
      </c>
      <c r="AH18" s="816" t="n">
        <v>0</v>
      </c>
      <c r="AI18" s="1" t="inlineStr">
        <is>
          <t>NA</t>
        </is>
      </c>
      <c r="AJ18" s="1" t="inlineStr">
        <is>
          <t>NA</t>
        </is>
      </c>
      <c r="AK18" s="1" t="inlineStr">
        <is>
          <t>NA</t>
        </is>
      </c>
      <c r="AL18" s="1" t="inlineStr">
        <is>
          <t>NA</t>
        </is>
      </c>
      <c r="AM18" s="1" t="inlineStr">
        <is>
          <t>NA</t>
        </is>
      </c>
      <c r="AN18" s="1" t="inlineStr">
        <is>
          <t>NA</t>
        </is>
      </c>
      <c r="AO18" s="1" t="inlineStr">
        <is>
          <t>NA</t>
        </is>
      </c>
      <c r="AP18" s="1" t="inlineStr">
        <is>
          <t>NA</t>
        </is>
      </c>
      <c r="AQ18" s="1" t="inlineStr">
        <is>
          <t>NA</t>
        </is>
      </c>
      <c r="AR18" s="1" t="inlineStr">
        <is>
          <t>NA</t>
        </is>
      </c>
      <c r="AS18" s="1" t="inlineStr">
        <is>
          <t>NA</t>
        </is>
      </c>
      <c r="AT18" s="1" t="inlineStr">
        <is>
          <t>NA</t>
        </is>
      </c>
      <c r="AU18" s="1" t="inlineStr">
        <is>
          <t>NA</t>
        </is>
      </c>
      <c r="AV18" s="1" t="inlineStr">
        <is>
          <t>NA</t>
        </is>
      </c>
      <c r="AW18" s="1" t="inlineStr">
        <is>
          <t>NA</t>
        </is>
      </c>
      <c r="AX18" s="1" t="inlineStr">
        <is>
          <t>NA</t>
        </is>
      </c>
      <c r="AY18" s="1" t="inlineStr">
        <is>
          <t>Concluído</t>
        </is>
      </c>
      <c r="AZ18" s="1" t="inlineStr">
        <is>
          <t>Concluído</t>
        </is>
      </c>
      <c r="BA18" s="1" t="inlineStr">
        <is>
          <t>Concluído</t>
        </is>
      </c>
      <c r="BB18" s="70" t="n">
        <v>1</v>
      </c>
      <c r="BC18" s="101" t="n">
        <v>45464</v>
      </c>
      <c r="BD18" s="1" t="inlineStr">
        <is>
          <t>NA</t>
        </is>
      </c>
      <c r="BE18" s="1" t="inlineStr">
        <is>
          <t>NA</t>
        </is>
      </c>
      <c r="BF18" s="1" t="inlineStr">
        <is>
          <t>NA</t>
        </is>
      </c>
      <c r="BG18" s="1" t="inlineStr">
        <is>
          <t>NA</t>
        </is>
      </c>
      <c r="BH18" s="1" t="inlineStr">
        <is>
          <t>Executado parcialmente. 2 itens do instrumento não foram executados, mas o acelerador foi comprado e instalado</t>
        </is>
      </c>
      <c r="BI18" s="1" t="inlineStr">
        <is>
          <t>NA</t>
        </is>
      </c>
      <c r="BJ18" s="1" t="inlineStr">
        <is>
          <t>NA</t>
        </is>
      </c>
      <c r="BK18" s="1" t="inlineStr">
        <is>
          <t>NA</t>
        </is>
      </c>
      <c r="BL18" s="1" t="inlineStr">
        <is>
          <t>NA</t>
        </is>
      </c>
      <c r="BM18" s="1" t="inlineStr">
        <is>
          <t>NA</t>
        </is>
      </c>
      <c r="BN18" s="1" t="inlineStr">
        <is>
          <t>NA</t>
        </is>
      </c>
      <c r="BO18" s="1" t="inlineStr">
        <is>
          <t>NA</t>
        </is>
      </c>
      <c r="BP18" s="1" t="inlineStr">
        <is>
          <t>NA</t>
        </is>
      </c>
      <c r="BQ18" s="1" t="inlineStr">
        <is>
          <t>NA</t>
        </is>
      </c>
      <c r="BR18" s="1" t="inlineStr">
        <is>
          <t>NA</t>
        </is>
      </c>
      <c r="BS18" s="1" t="inlineStr">
        <is>
          <t>NA</t>
        </is>
      </c>
      <c r="BT18" s="101" t="n">
        <v>44739</v>
      </c>
      <c r="BU18" s="816" t="n">
        <v>11003966.8</v>
      </c>
    </row>
    <row r="19" ht="39.75" customFormat="1" customHeight="1" s="80">
      <c r="A19" s="1" t="inlineStr">
        <is>
          <t>SUDESTE</t>
        </is>
      </c>
      <c r="B19" s="1" t="inlineStr">
        <is>
          <t>SP</t>
        </is>
      </c>
      <c r="C19" s="337" t="inlineStr">
        <is>
          <t>SAO JOSE DO RIO PRETO</t>
        </is>
      </c>
      <c r="D19" s="1" t="inlineStr">
        <is>
          <t>FUNDACAO FACULDADE REGIONAL DE MEDICINA DE SAO JOSE DO RIO PRETO</t>
        </is>
      </c>
      <c r="E19" s="82" t="inlineStr">
        <is>
          <t>60003761000129</t>
        </is>
      </c>
      <c r="F19" s="1" t="inlineStr">
        <is>
          <t>FUNDACAO FACULDADE REGIONAL DE MEDICINA DE SAO JOSE DO RIO PRETO</t>
        </is>
      </c>
      <c r="G19" s="1" t="n">
        <v>2077396</v>
      </c>
      <c r="H19" s="106" t="n">
        <v>-20828151</v>
      </c>
      <c r="I19" s="106" t="n">
        <v>-49397609</v>
      </c>
      <c r="J19" s="1" t="inlineStr">
        <is>
          <t>Radioterapia - Aquisição de Equipamentos</t>
        </is>
      </c>
      <c r="K19" s="31" t="inlineStr">
        <is>
          <t>NA</t>
        </is>
      </c>
      <c r="L19" s="31" t="inlineStr">
        <is>
          <t>NA</t>
        </is>
      </c>
      <c r="M19" s="1" t="inlineStr">
        <is>
          <t>Convênio</t>
        </is>
      </c>
      <c r="N19" s="1" t="n">
        <v>2021</v>
      </c>
      <c r="O19" s="3" t="inlineStr">
        <is>
          <t>924078</t>
        </is>
      </c>
      <c r="P19" s="3" t="inlineStr">
        <is>
          <t>96000321003</t>
        </is>
      </c>
      <c r="Q19" s="3" t="inlineStr">
        <is>
          <t>25000.184624/2021-34</t>
        </is>
      </c>
      <c r="R19" s="1" t="inlineStr">
        <is>
          <t>HOSPITAL</t>
        </is>
      </c>
      <c r="S19" s="32" t="inlineStr">
        <is>
          <t>NA</t>
        </is>
      </c>
      <c r="T19" s="29" t="inlineStr">
        <is>
          <t>Acelerador Linear</t>
        </is>
      </c>
      <c r="U19" s="1" t="n">
        <v>1</v>
      </c>
      <c r="V19" s="1" t="n">
        <v>1</v>
      </c>
      <c r="W19" s="1" t="inlineStr">
        <is>
          <t>UND</t>
        </is>
      </c>
      <c r="X19" s="1" t="inlineStr">
        <is>
          <t>EQUIPAMENTO</t>
        </is>
      </c>
      <c r="Y19" s="1" t="inlineStr">
        <is>
          <t>010933-Acelerador Linear de Fótons e Elétrons (dual 10 MV)</t>
        </is>
      </c>
      <c r="Z19" s="1" t="inlineStr">
        <is>
          <t>NA</t>
        </is>
      </c>
      <c r="AA19" s="32" t="inlineStr">
        <is>
          <t>NA</t>
        </is>
      </c>
      <c r="AB19" s="32" t="inlineStr">
        <is>
          <t>NA</t>
        </is>
      </c>
      <c r="AC19" s="32" t="inlineStr">
        <is>
          <t>NA</t>
        </is>
      </c>
      <c r="AD19" s="1" t="inlineStr">
        <is>
          <t>NA</t>
        </is>
      </c>
      <c r="AE19" s="1" t="inlineStr">
        <is>
          <t>NA</t>
        </is>
      </c>
      <c r="AF19" s="1" t="inlineStr">
        <is>
          <t>NA</t>
        </is>
      </c>
      <c r="AG19" s="816" t="n">
        <v>12277812.66</v>
      </c>
      <c r="AH19" s="816" t="n">
        <v>1300000</v>
      </c>
      <c r="AI19" s="1" t="inlineStr">
        <is>
          <t>NA</t>
        </is>
      </c>
      <c r="AJ19" s="1" t="inlineStr">
        <is>
          <t>NA</t>
        </is>
      </c>
      <c r="AK19" s="1" t="inlineStr">
        <is>
          <t>NA</t>
        </is>
      </c>
      <c r="AL19" s="1" t="inlineStr">
        <is>
          <t>NA</t>
        </is>
      </c>
      <c r="AM19" s="1" t="inlineStr">
        <is>
          <t>NA</t>
        </is>
      </c>
      <c r="AN19" s="1" t="inlineStr">
        <is>
          <t>NA</t>
        </is>
      </c>
      <c r="AO19" s="1" t="inlineStr">
        <is>
          <t>NA</t>
        </is>
      </c>
      <c r="AP19" s="1" t="inlineStr">
        <is>
          <t>NA</t>
        </is>
      </c>
      <c r="AQ19" s="1" t="inlineStr">
        <is>
          <t>NA</t>
        </is>
      </c>
      <c r="AR19" s="1" t="inlineStr">
        <is>
          <t>NA</t>
        </is>
      </c>
      <c r="AS19" s="1" t="inlineStr">
        <is>
          <t>NA</t>
        </is>
      </c>
      <c r="AT19" s="1" t="inlineStr">
        <is>
          <t>NA</t>
        </is>
      </c>
      <c r="AU19" s="1" t="inlineStr">
        <is>
          <t>NA</t>
        </is>
      </c>
      <c r="AV19" s="1" t="inlineStr">
        <is>
          <t>NA</t>
        </is>
      </c>
      <c r="AW19" s="1" t="inlineStr">
        <is>
          <t>NA</t>
        </is>
      </c>
      <c r="AX19" s="1" t="inlineStr">
        <is>
          <t>NA</t>
        </is>
      </c>
      <c r="AY19" s="1" t="inlineStr">
        <is>
          <t>Concluído</t>
        </is>
      </c>
      <c r="AZ19" s="1" t="inlineStr">
        <is>
          <t>Concluído</t>
        </is>
      </c>
      <c r="BA19" s="1" t="inlineStr">
        <is>
          <t>Concluído</t>
        </is>
      </c>
      <c r="BB19" s="70" t="n">
        <v>1</v>
      </c>
      <c r="BC19" s="101" t="n">
        <v>45095</v>
      </c>
      <c r="BD19" s="1" t="inlineStr">
        <is>
          <t>NA</t>
        </is>
      </c>
      <c r="BE19" s="1" t="inlineStr">
        <is>
          <t>NA</t>
        </is>
      </c>
      <c r="BF19" s="1" t="inlineStr">
        <is>
          <t>NA</t>
        </is>
      </c>
      <c r="BG19" s="1" t="inlineStr">
        <is>
          <t>NA</t>
        </is>
      </c>
      <c r="BH19" s="106" t="inlineStr">
        <is>
          <t>R$425.000,00 foram devolvidos. Prestação de contas foi antecipada</t>
        </is>
      </c>
      <c r="BI19" s="1" t="inlineStr">
        <is>
          <t>NA</t>
        </is>
      </c>
      <c r="BJ19" s="1" t="inlineStr">
        <is>
          <t>NA</t>
        </is>
      </c>
      <c r="BK19" s="1" t="inlineStr">
        <is>
          <t>NA</t>
        </is>
      </c>
      <c r="BL19" s="1" t="inlineStr">
        <is>
          <t>NA</t>
        </is>
      </c>
      <c r="BM19" s="1" t="inlineStr">
        <is>
          <t>NA</t>
        </is>
      </c>
      <c r="BN19" s="1" t="inlineStr">
        <is>
          <t>NA</t>
        </is>
      </c>
      <c r="BO19" s="1" t="inlineStr">
        <is>
          <t>NA</t>
        </is>
      </c>
      <c r="BP19" s="1" t="inlineStr">
        <is>
          <t>NA</t>
        </is>
      </c>
      <c r="BQ19" s="1" t="inlineStr">
        <is>
          <t>NA</t>
        </is>
      </c>
      <c r="BR19" s="1" t="inlineStr">
        <is>
          <t>NA</t>
        </is>
      </c>
      <c r="BS19" s="1" t="inlineStr">
        <is>
          <t>NA</t>
        </is>
      </c>
      <c r="BT19" s="101" t="n">
        <v>44735</v>
      </c>
      <c r="BU19" s="816" t="n">
        <v>10600000</v>
      </c>
    </row>
    <row r="20" ht="39.75" customFormat="1" customHeight="1" s="80">
      <c r="A20" s="1" t="inlineStr">
        <is>
          <t>SUDESTE</t>
        </is>
      </c>
      <c r="B20" s="1" t="inlineStr">
        <is>
          <t>SP</t>
        </is>
      </c>
      <c r="C20" s="337" t="inlineStr">
        <is>
          <t>FRANCA</t>
        </is>
      </c>
      <c r="D20" s="1" t="inlineStr">
        <is>
          <t>FUNDACAO SANTA CASA DE MISERICORDIA DE FRANCA</t>
        </is>
      </c>
      <c r="E20" s="82" t="inlineStr">
        <is>
          <t>47969134000189</t>
        </is>
      </c>
      <c r="F20" s="1" t="inlineStr">
        <is>
          <t>FUNDACAO SANTA CASA DE MISERICORDIA DE FRANCA</t>
        </is>
      </c>
      <c r="G20" s="1" t="n">
        <v>2705982</v>
      </c>
      <c r="H20" s="106" t="n">
        <v>-20539</v>
      </c>
      <c r="I20" s="106" t="n">
        <v>-47401</v>
      </c>
      <c r="J20" s="1" t="inlineStr">
        <is>
          <t>Radioterapia - Aquisição de Equipamentos</t>
        </is>
      </c>
      <c r="K20" s="31" t="inlineStr">
        <is>
          <t>NA</t>
        </is>
      </c>
      <c r="L20" s="31" t="inlineStr">
        <is>
          <t>NA</t>
        </is>
      </c>
      <c r="M20" s="1" t="inlineStr">
        <is>
          <t>Convênio</t>
        </is>
      </c>
      <c r="N20" s="1" t="n">
        <v>2022</v>
      </c>
      <c r="O20" s="3" t="inlineStr">
        <is>
          <t>937610</t>
        </is>
      </c>
      <c r="P20" s="3" t="inlineStr">
        <is>
          <t>94796922005</t>
        </is>
      </c>
      <c r="Q20" s="3" t="inlineStr">
        <is>
          <t>25000.175726/2022-40</t>
        </is>
      </c>
      <c r="R20" s="1" t="inlineStr">
        <is>
          <t>HOSPITAL DE ALTA COMPLEXIDADE</t>
        </is>
      </c>
      <c r="S20" s="32" t="inlineStr">
        <is>
          <t>NA</t>
        </is>
      </c>
      <c r="T20" s="29" t="inlineStr">
        <is>
          <t>Acelerador Linear</t>
        </is>
      </c>
      <c r="U20" s="1" t="n">
        <v>3</v>
      </c>
      <c r="V20" s="1" t="n">
        <v>1</v>
      </c>
      <c r="W20" s="1" t="inlineStr">
        <is>
          <t>UND</t>
        </is>
      </c>
      <c r="X20" s="1" t="inlineStr">
        <is>
          <t>EQUIPAMENTO</t>
        </is>
      </c>
      <c r="Y20" s="1" t="inlineStr">
        <is>
          <t>010933-Acelerador Linear de Fótons e Elétrons (dual 10 MV)</t>
        </is>
      </c>
      <c r="Z20" s="1" t="inlineStr">
        <is>
          <t>NA</t>
        </is>
      </c>
      <c r="AA20" s="32" t="inlineStr">
        <is>
          <t>NA</t>
        </is>
      </c>
      <c r="AB20" s="32" t="inlineStr">
        <is>
          <t>NA</t>
        </is>
      </c>
      <c r="AC20" s="32" t="inlineStr">
        <is>
          <t>NA</t>
        </is>
      </c>
      <c r="AD20" s="1" t="inlineStr">
        <is>
          <t>NA</t>
        </is>
      </c>
      <c r="AE20" s="1" t="inlineStr">
        <is>
          <t>NA</t>
        </is>
      </c>
      <c r="AF20" s="1" t="inlineStr">
        <is>
          <t>NA</t>
        </is>
      </c>
      <c r="AG20" s="816" t="n">
        <v>12898384</v>
      </c>
      <c r="AH20" s="816" t="n">
        <v>0</v>
      </c>
      <c r="AI20" s="1" t="inlineStr">
        <is>
          <t>NA</t>
        </is>
      </c>
      <c r="AJ20" s="1" t="inlineStr">
        <is>
          <t>NA</t>
        </is>
      </c>
      <c r="AK20" s="1" t="inlineStr">
        <is>
          <t>NA</t>
        </is>
      </c>
      <c r="AL20" s="1" t="inlineStr">
        <is>
          <t>NA</t>
        </is>
      </c>
      <c r="AM20" s="1" t="inlineStr">
        <is>
          <t>NA</t>
        </is>
      </c>
      <c r="AN20" s="1" t="inlineStr">
        <is>
          <t>NA</t>
        </is>
      </c>
      <c r="AO20" s="1" t="inlineStr">
        <is>
          <t>NA</t>
        </is>
      </c>
      <c r="AP20" s="1" t="inlineStr">
        <is>
          <t>NA</t>
        </is>
      </c>
      <c r="AQ20" s="1" t="inlineStr">
        <is>
          <t>NA</t>
        </is>
      </c>
      <c r="AR20" s="1" t="inlineStr">
        <is>
          <t>NA</t>
        </is>
      </c>
      <c r="AS20" s="1" t="inlineStr">
        <is>
          <t>NA</t>
        </is>
      </c>
      <c r="AT20" s="1" t="inlineStr">
        <is>
          <t>NA</t>
        </is>
      </c>
      <c r="AU20" s="1" t="inlineStr">
        <is>
          <t>NA</t>
        </is>
      </c>
      <c r="AV20" s="1" t="inlineStr">
        <is>
          <t>NA</t>
        </is>
      </c>
      <c r="AW20" s="1" t="inlineStr">
        <is>
          <t>NA</t>
        </is>
      </c>
      <c r="AX20" s="1" t="inlineStr">
        <is>
          <t>NA</t>
        </is>
      </c>
      <c r="AY20" s="1" t="inlineStr">
        <is>
          <t>Concluído</t>
        </is>
      </c>
      <c r="AZ20" s="1" t="inlineStr">
        <is>
          <t>Concluído</t>
        </is>
      </c>
      <c r="BA20" s="1" t="inlineStr">
        <is>
          <t>Concluído</t>
        </is>
      </c>
      <c r="BB20" s="70" t="n">
        <v>1</v>
      </c>
      <c r="BC20" s="101" t="n">
        <v>45541</v>
      </c>
      <c r="BD20" s="1" t="inlineStr">
        <is>
          <t>NA</t>
        </is>
      </c>
      <c r="BE20" s="1" t="inlineStr">
        <is>
          <t>NA</t>
        </is>
      </c>
      <c r="BF20" s="1" t="inlineStr">
        <is>
          <t>NA</t>
        </is>
      </c>
      <c r="BG20" s="1" t="inlineStr">
        <is>
          <t>NA</t>
        </is>
      </c>
      <c r="BH20" s="1" t="inlineStr">
        <is>
          <t>Possui outros equipamentos dentro do rol prioritário, como Braquiterapia e sistema de video endoscopia</t>
        </is>
      </c>
      <c r="BI20" s="1" t="inlineStr">
        <is>
          <t>NA</t>
        </is>
      </c>
      <c r="BJ20" s="1" t="inlineStr">
        <is>
          <t>NA</t>
        </is>
      </c>
      <c r="BK20" s="1" t="inlineStr">
        <is>
          <t>NA</t>
        </is>
      </c>
      <c r="BL20" s="1" t="inlineStr">
        <is>
          <t>NA</t>
        </is>
      </c>
      <c r="BM20" s="1" t="inlineStr">
        <is>
          <t>NA</t>
        </is>
      </c>
      <c r="BN20" s="1" t="inlineStr">
        <is>
          <t>NA</t>
        </is>
      </c>
      <c r="BO20" s="1" t="inlineStr">
        <is>
          <t>NA</t>
        </is>
      </c>
      <c r="BP20" s="1" t="inlineStr">
        <is>
          <t>NA</t>
        </is>
      </c>
      <c r="BQ20" s="1" t="inlineStr">
        <is>
          <t>NA</t>
        </is>
      </c>
      <c r="BR20" s="1" t="inlineStr">
        <is>
          <t>NA</t>
        </is>
      </c>
      <c r="BS20" s="1" t="inlineStr">
        <is>
          <t>NA</t>
        </is>
      </c>
      <c r="BT20" s="101" t="n">
        <v>45181</v>
      </c>
      <c r="BU20" s="816" t="n">
        <v>12811704.7</v>
      </c>
    </row>
    <row r="21" ht="39.75" customFormat="1" customHeight="1" s="123">
      <c r="A21" s="1" t="inlineStr">
        <is>
          <t>SUL</t>
        </is>
      </c>
      <c r="B21" s="1" t="inlineStr">
        <is>
          <t>PR</t>
        </is>
      </c>
      <c r="C21" s="1" t="inlineStr">
        <is>
          <t>CASCAVEL</t>
        </is>
      </c>
      <c r="D21" s="1" t="inlineStr">
        <is>
          <t>UNIAO OESTE PARANAENSE DE ESTUDOS E COMBATE AO CANCER</t>
        </is>
      </c>
      <c r="E21" s="3" t="inlineStr">
        <is>
          <t>81270548000153</t>
        </is>
      </c>
      <c r="F21" s="1" t="inlineStr">
        <is>
          <t>HOSPITAL DO CANCER DE CASCAVEL UOPECCAN</t>
        </is>
      </c>
      <c r="G21" s="1" t="n">
        <v>2740338</v>
      </c>
      <c r="H21" s="106" t="n">
        <v>-24970836</v>
      </c>
      <c r="I21" s="106" t="n">
        <v>-53498274</v>
      </c>
      <c r="J21" s="32" t="inlineStr">
        <is>
          <t>Radioterapia - Aquisição de Equipamentos</t>
        </is>
      </c>
      <c r="K21" s="31" t="inlineStr">
        <is>
          <t>NA</t>
        </is>
      </c>
      <c r="L21" s="31" t="inlineStr">
        <is>
          <t>NA</t>
        </is>
      </c>
      <c r="M21" s="1" t="inlineStr">
        <is>
          <t>Convênio</t>
        </is>
      </c>
      <c r="N21" s="1" t="n">
        <v>2009</v>
      </c>
      <c r="O21" s="1" t="n">
        <v>731675</v>
      </c>
      <c r="P21" s="1" t="inlineStr">
        <is>
          <t>NA</t>
        </is>
      </c>
      <c r="Q21" s="1" t="inlineStr">
        <is>
          <t>25000.670150/2009-52</t>
        </is>
      </c>
      <c r="R21" s="1" t="inlineStr">
        <is>
          <t>NA</t>
        </is>
      </c>
      <c r="S21" s="32" t="inlineStr">
        <is>
          <t>NA</t>
        </is>
      </c>
      <c r="T21" s="1" t="inlineStr">
        <is>
          <t>Acelerador Linear</t>
        </is>
      </c>
      <c r="U21" s="1" t="n">
        <v>1</v>
      </c>
      <c r="V21" s="1" t="n">
        <v>1</v>
      </c>
      <c r="W21" s="1" t="inlineStr">
        <is>
          <t>UND</t>
        </is>
      </c>
      <c r="X21" s="1" t="inlineStr">
        <is>
          <t>EQUIPAMENTO</t>
        </is>
      </c>
      <c r="Y21" s="1" t="inlineStr">
        <is>
          <t>NA</t>
        </is>
      </c>
      <c r="Z21" s="1" t="inlineStr">
        <is>
          <t>NA</t>
        </is>
      </c>
      <c r="AA21" s="1" t="inlineStr">
        <is>
          <t>NA</t>
        </is>
      </c>
      <c r="AB21" s="1" t="inlineStr">
        <is>
          <t>NA</t>
        </is>
      </c>
      <c r="AC21" s="1" t="inlineStr">
        <is>
          <t>NA</t>
        </is>
      </c>
      <c r="AD21" s="1" t="inlineStr">
        <is>
          <t>NA</t>
        </is>
      </c>
      <c r="AE21" s="1" t="inlineStr">
        <is>
          <t>NA</t>
        </is>
      </c>
      <c r="AF21" s="1" t="inlineStr">
        <is>
          <t>NA</t>
        </is>
      </c>
      <c r="AG21" s="818" t="n">
        <v>2700000</v>
      </c>
      <c r="AH21" s="818" t="n">
        <v>0</v>
      </c>
      <c r="AI21" s="1" t="inlineStr">
        <is>
          <t>NA</t>
        </is>
      </c>
      <c r="AJ21" s="1" t="inlineStr">
        <is>
          <t>NA</t>
        </is>
      </c>
      <c r="AK21" s="1" t="inlineStr">
        <is>
          <t>NA</t>
        </is>
      </c>
      <c r="AL21" s="1" t="inlineStr">
        <is>
          <t>NA</t>
        </is>
      </c>
      <c r="AM21" s="1" t="inlineStr">
        <is>
          <t>NA</t>
        </is>
      </c>
      <c r="AN21" s="1" t="inlineStr">
        <is>
          <t>NA</t>
        </is>
      </c>
      <c r="AO21" s="1" t="inlineStr">
        <is>
          <t>NA</t>
        </is>
      </c>
      <c r="AP21" s="1" t="inlineStr">
        <is>
          <t>NA</t>
        </is>
      </c>
      <c r="AQ21" s="1" t="inlineStr">
        <is>
          <t>NA</t>
        </is>
      </c>
      <c r="AR21" s="1" t="inlineStr">
        <is>
          <t>NA</t>
        </is>
      </c>
      <c r="AS21" s="1" t="inlineStr">
        <is>
          <t>NA</t>
        </is>
      </c>
      <c r="AT21" s="1" t="inlineStr">
        <is>
          <t>NA</t>
        </is>
      </c>
      <c r="AU21" s="1" t="inlineStr">
        <is>
          <t>NA</t>
        </is>
      </c>
      <c r="AV21" s="1" t="inlineStr">
        <is>
          <t>NA</t>
        </is>
      </c>
      <c r="AW21" s="1" t="inlineStr">
        <is>
          <t>NA</t>
        </is>
      </c>
      <c r="AX21" s="1" t="inlineStr">
        <is>
          <t>NA</t>
        </is>
      </c>
      <c r="AY21" s="1" t="inlineStr">
        <is>
          <t>Concluído</t>
        </is>
      </c>
      <c r="AZ21" s="1" t="inlineStr">
        <is>
          <t>Concluído</t>
        </is>
      </c>
      <c r="BA21" s="1" t="inlineStr">
        <is>
          <t>Concluído</t>
        </is>
      </c>
      <c r="BB21" s="70" t="n">
        <v>1</v>
      </c>
      <c r="BC21" s="101" t="n">
        <v>41274</v>
      </c>
      <c r="BD21" s="1" t="inlineStr">
        <is>
          <t>NA</t>
        </is>
      </c>
      <c r="BE21" s="1" t="inlineStr">
        <is>
          <t>NA</t>
        </is>
      </c>
      <c r="BF21" s="1" t="inlineStr">
        <is>
          <t>NA</t>
        </is>
      </c>
      <c r="BG21" s="1" t="inlineStr">
        <is>
          <t>NA</t>
        </is>
      </c>
      <c r="BH21" s="1" t="n"/>
      <c r="BI21" s="1" t="inlineStr">
        <is>
          <t>NA</t>
        </is>
      </c>
      <c r="BJ21" s="1" t="inlineStr">
        <is>
          <t>NA</t>
        </is>
      </c>
      <c r="BK21" s="1" t="inlineStr">
        <is>
          <t>NA</t>
        </is>
      </c>
      <c r="BL21" s="1" t="inlineStr">
        <is>
          <t>NA</t>
        </is>
      </c>
      <c r="BM21" s="1" t="inlineStr">
        <is>
          <t>NA</t>
        </is>
      </c>
      <c r="BN21" s="1" t="inlineStr">
        <is>
          <t>NA</t>
        </is>
      </c>
      <c r="BO21" s="1" t="inlineStr">
        <is>
          <t>NA</t>
        </is>
      </c>
      <c r="BP21" s="1" t="inlineStr">
        <is>
          <t>NA</t>
        </is>
      </c>
      <c r="BQ21" s="1" t="inlineStr">
        <is>
          <t>NA</t>
        </is>
      </c>
      <c r="BR21" s="1" t="inlineStr">
        <is>
          <t>NA</t>
        </is>
      </c>
      <c r="BS21" s="1" t="inlineStr">
        <is>
          <t>NA</t>
        </is>
      </c>
      <c r="BT21" s="101" t="n">
        <v>40560</v>
      </c>
      <c r="BU21" s="818" t="n">
        <v>2700000</v>
      </c>
    </row>
    <row r="22" ht="39.75" customFormat="1" customHeight="1" s="123">
      <c r="A22" s="1" t="inlineStr">
        <is>
          <t>SUDESTE</t>
        </is>
      </c>
      <c r="B22" s="1" t="inlineStr">
        <is>
          <t>MG</t>
        </is>
      </c>
      <c r="C22" s="1" t="inlineStr">
        <is>
          <t>DIVINOPOLIS</t>
        </is>
      </c>
      <c r="D22" s="1" t="inlineStr">
        <is>
          <t>FUNDACAO GERALDO CORREA</t>
        </is>
      </c>
      <c r="E22" s="124" t="inlineStr">
        <is>
          <t>20146064000102</t>
        </is>
      </c>
      <c r="F22" s="1" t="inlineStr">
        <is>
          <t>HOSPITAL SAO JOAO DE DEUS</t>
        </is>
      </c>
      <c r="G22" s="1" t="n">
        <v>2159252</v>
      </c>
      <c r="H22" s="106" t="n">
        <v>-2014444</v>
      </c>
      <c r="I22" s="106" t="n">
        <v>-4487393</v>
      </c>
      <c r="J22" s="32" t="inlineStr">
        <is>
          <t>Radioterapia - Aquisição de Equipamentos</t>
        </is>
      </c>
      <c r="K22" s="31" t="inlineStr">
        <is>
          <t>NA</t>
        </is>
      </c>
      <c r="L22" s="31" t="inlineStr">
        <is>
          <t>NA</t>
        </is>
      </c>
      <c r="M22" s="1" t="inlineStr">
        <is>
          <t>Convênio</t>
        </is>
      </c>
      <c r="N22" s="1" t="n">
        <v>2010</v>
      </c>
      <c r="O22" s="1" t="n">
        <v>751043</v>
      </c>
      <c r="P22" s="1" t="inlineStr">
        <is>
          <t>NA</t>
        </is>
      </c>
      <c r="Q22" s="1" t="inlineStr">
        <is>
          <t>25000.103053/2010-92</t>
        </is>
      </c>
      <c r="R22" s="1" t="inlineStr">
        <is>
          <t>NA</t>
        </is>
      </c>
      <c r="S22" s="32" t="inlineStr">
        <is>
          <t>NA</t>
        </is>
      </c>
      <c r="T22" s="1" t="inlineStr">
        <is>
          <t>Acelerador Linear</t>
        </is>
      </c>
      <c r="U22" s="1" t="n">
        <v>1</v>
      </c>
      <c r="V22" s="1" t="n">
        <v>1</v>
      </c>
      <c r="W22" s="1" t="inlineStr">
        <is>
          <t>UND</t>
        </is>
      </c>
      <c r="X22" s="1" t="inlineStr">
        <is>
          <t>EQUIPAMENTO</t>
        </is>
      </c>
      <c r="Y22" s="1" t="inlineStr">
        <is>
          <t>NA</t>
        </is>
      </c>
      <c r="Z22" s="1" t="inlineStr">
        <is>
          <t>NA</t>
        </is>
      </c>
      <c r="AA22" s="1" t="inlineStr">
        <is>
          <t>NA</t>
        </is>
      </c>
      <c r="AB22" s="1" t="inlineStr">
        <is>
          <t>NA</t>
        </is>
      </c>
      <c r="AC22" s="1" t="inlineStr">
        <is>
          <t>NA</t>
        </is>
      </c>
      <c r="AD22" s="1" t="inlineStr">
        <is>
          <t>NA</t>
        </is>
      </c>
      <c r="AE22" s="1" t="inlineStr">
        <is>
          <t>NA</t>
        </is>
      </c>
      <c r="AF22" s="1" t="inlineStr">
        <is>
          <t>NA</t>
        </is>
      </c>
      <c r="AG22" s="818" t="n">
        <v>2700000</v>
      </c>
      <c r="AH22" s="818" t="n">
        <v>900000</v>
      </c>
      <c r="AI22" s="1" t="inlineStr">
        <is>
          <t>NA</t>
        </is>
      </c>
      <c r="AJ22" s="1" t="inlineStr">
        <is>
          <t>NA</t>
        </is>
      </c>
      <c r="AK22" s="1" t="inlineStr">
        <is>
          <t>NA</t>
        </is>
      </c>
      <c r="AL22" s="1" t="inlineStr">
        <is>
          <t>NA</t>
        </is>
      </c>
      <c r="AM22" s="1" t="inlineStr">
        <is>
          <t>NA</t>
        </is>
      </c>
      <c r="AN22" s="1" t="inlineStr">
        <is>
          <t>NA</t>
        </is>
      </c>
      <c r="AO22" s="1" t="inlineStr">
        <is>
          <t>NA</t>
        </is>
      </c>
      <c r="AP22" s="1" t="inlineStr">
        <is>
          <t>NA</t>
        </is>
      </c>
      <c r="AQ22" s="1" t="inlineStr">
        <is>
          <t>NA</t>
        </is>
      </c>
      <c r="AR22" s="1" t="inlineStr">
        <is>
          <t>NA</t>
        </is>
      </c>
      <c r="AS22" s="1" t="inlineStr">
        <is>
          <t>NA</t>
        </is>
      </c>
      <c r="AT22" s="1" t="inlineStr">
        <is>
          <t>NA</t>
        </is>
      </c>
      <c r="AU22" s="1" t="inlineStr">
        <is>
          <t>NA</t>
        </is>
      </c>
      <c r="AV22" s="1" t="inlineStr">
        <is>
          <t>NA</t>
        </is>
      </c>
      <c r="AW22" s="1" t="inlineStr">
        <is>
          <t>NA</t>
        </is>
      </c>
      <c r="AX22" s="1" t="inlineStr">
        <is>
          <t>NA</t>
        </is>
      </c>
      <c r="AY22" s="1" t="inlineStr">
        <is>
          <t>Concluído</t>
        </is>
      </c>
      <c r="AZ22" s="1" t="inlineStr">
        <is>
          <t>Concluído</t>
        </is>
      </c>
      <c r="BA22" s="1" t="inlineStr">
        <is>
          <t>Concluído</t>
        </is>
      </c>
      <c r="BB22" s="70" t="n">
        <v>1</v>
      </c>
      <c r="BC22" s="101" t="n">
        <v>42002</v>
      </c>
      <c r="BD22" s="1" t="inlineStr">
        <is>
          <t>NA</t>
        </is>
      </c>
      <c r="BE22" s="1" t="inlineStr">
        <is>
          <t>NA</t>
        </is>
      </c>
      <c r="BF22" s="1" t="inlineStr">
        <is>
          <t>NA</t>
        </is>
      </c>
      <c r="BG22" s="1" t="inlineStr">
        <is>
          <t>NA</t>
        </is>
      </c>
      <c r="BH22" s="1" t="inlineStr">
        <is>
          <t>Executado integralmente em 2016, apesar de na prestação de contas estar parcialmente executado em 2015 (equipamento estava no porto aguardando ser instalado). Foram diversos problemas por causa da variação cambial, bloqueio da conta do convênio, a prestação foi aprovada com ressalvas</t>
        </is>
      </c>
      <c r="BI22" s="1" t="inlineStr">
        <is>
          <t>NA</t>
        </is>
      </c>
      <c r="BJ22" s="1" t="inlineStr">
        <is>
          <t>NA</t>
        </is>
      </c>
      <c r="BK22" s="1" t="inlineStr">
        <is>
          <t>NA</t>
        </is>
      </c>
      <c r="BL22" s="1" t="inlineStr">
        <is>
          <t>NA</t>
        </is>
      </c>
      <c r="BM22" s="1" t="inlineStr">
        <is>
          <t>NA</t>
        </is>
      </c>
      <c r="BN22" s="1" t="inlineStr">
        <is>
          <t>NA</t>
        </is>
      </c>
      <c r="BO22" s="1" t="inlineStr">
        <is>
          <t>NA</t>
        </is>
      </c>
      <c r="BP22" s="1" t="inlineStr">
        <is>
          <t>NA</t>
        </is>
      </c>
      <c r="BQ22" s="1" t="inlineStr">
        <is>
          <t>NA</t>
        </is>
      </c>
      <c r="BR22" s="1" t="inlineStr">
        <is>
          <t>NA</t>
        </is>
      </c>
      <c r="BS22" s="1" t="inlineStr">
        <is>
          <t>NA</t>
        </is>
      </c>
      <c r="BT22" s="101" t="n">
        <v>41360</v>
      </c>
      <c r="BU22" s="818" t="n">
        <v>1800000</v>
      </c>
    </row>
    <row r="23" ht="39.75" customFormat="1" customHeight="1" s="123">
      <c r="A23" s="1" t="inlineStr">
        <is>
          <t>SUDESTE</t>
        </is>
      </c>
      <c r="B23" s="1" t="inlineStr">
        <is>
          <t>SP</t>
        </is>
      </c>
      <c r="C23" s="1" t="inlineStr">
        <is>
          <t>BARRETOS</t>
        </is>
      </c>
      <c r="D23" s="1" t="inlineStr">
        <is>
          <t>FUNDACAO PIO XII BARRETOS</t>
        </is>
      </c>
      <c r="E23" s="3" t="inlineStr">
        <is>
          <t>49150352000112</t>
        </is>
      </c>
      <c r="F23" s="1" t="inlineStr">
        <is>
          <t>FUNDACAO PIO XII BARRETOS</t>
        </is>
      </c>
      <c r="G23" s="1" t="n">
        <v>2090236</v>
      </c>
      <c r="H23" s="106" t="n">
        <v>-205542064</v>
      </c>
      <c r="I23" s="106" t="n">
        <v>-485716693</v>
      </c>
      <c r="J23" s="32" t="inlineStr">
        <is>
          <t>Radioterapia - Aquisição de Equipamentos</t>
        </is>
      </c>
      <c r="K23" s="31" t="inlineStr">
        <is>
          <t>NA</t>
        </is>
      </c>
      <c r="L23" s="31" t="inlineStr">
        <is>
          <t>NA</t>
        </is>
      </c>
      <c r="M23" s="1" t="inlineStr">
        <is>
          <t>Convênio</t>
        </is>
      </c>
      <c r="N23" s="1" t="n">
        <v>2010</v>
      </c>
      <c r="O23" s="1" t="n">
        <v>752397</v>
      </c>
      <c r="P23" s="1" t="inlineStr">
        <is>
          <t>NA</t>
        </is>
      </c>
      <c r="Q23" s="1" t="inlineStr">
        <is>
          <t>25000.103053/2010-92</t>
        </is>
      </c>
      <c r="R23" s="1" t="inlineStr">
        <is>
          <t>NA</t>
        </is>
      </c>
      <c r="S23" s="32" t="inlineStr">
        <is>
          <t>NA</t>
        </is>
      </c>
      <c r="T23" s="1" t="inlineStr">
        <is>
          <t>Acelerador Linear</t>
        </is>
      </c>
      <c r="U23" s="1" t="n">
        <v>1</v>
      </c>
      <c r="V23" s="1" t="n">
        <v>1</v>
      </c>
      <c r="W23" s="1" t="inlineStr">
        <is>
          <t>UND</t>
        </is>
      </c>
      <c r="X23" s="1" t="inlineStr">
        <is>
          <t>EQUIPAMENTO</t>
        </is>
      </c>
      <c r="Y23" s="1" t="inlineStr">
        <is>
          <t>NA</t>
        </is>
      </c>
      <c r="Z23" s="1" t="inlineStr">
        <is>
          <t>NA</t>
        </is>
      </c>
      <c r="AA23" s="1" t="inlineStr">
        <is>
          <t>NA</t>
        </is>
      </c>
      <c r="AB23" s="1" t="inlineStr">
        <is>
          <t>NA</t>
        </is>
      </c>
      <c r="AC23" s="1" t="inlineStr">
        <is>
          <t>NA</t>
        </is>
      </c>
      <c r="AD23" s="1" t="inlineStr">
        <is>
          <t>NA</t>
        </is>
      </c>
      <c r="AE23" s="1" t="inlineStr">
        <is>
          <t>NA</t>
        </is>
      </c>
      <c r="AF23" s="1" t="inlineStr">
        <is>
          <t>NA</t>
        </is>
      </c>
      <c r="AG23" s="818" t="n">
        <v>1634000</v>
      </c>
      <c r="AH23" s="818" t="n">
        <v>130720</v>
      </c>
      <c r="AI23" s="1" t="inlineStr">
        <is>
          <t>NA</t>
        </is>
      </c>
      <c r="AJ23" s="1" t="inlineStr">
        <is>
          <t>NA</t>
        </is>
      </c>
      <c r="AK23" s="1" t="inlineStr">
        <is>
          <t>NA</t>
        </is>
      </c>
      <c r="AL23" s="1" t="inlineStr">
        <is>
          <t>NA</t>
        </is>
      </c>
      <c r="AM23" s="1" t="inlineStr">
        <is>
          <t>NA</t>
        </is>
      </c>
      <c r="AN23" s="1" t="inlineStr">
        <is>
          <t>NA</t>
        </is>
      </c>
      <c r="AO23" s="1" t="inlineStr">
        <is>
          <t>NA</t>
        </is>
      </c>
      <c r="AP23" s="1" t="inlineStr">
        <is>
          <t>NA</t>
        </is>
      </c>
      <c r="AQ23" s="1" t="inlineStr">
        <is>
          <t>NA</t>
        </is>
      </c>
      <c r="AR23" s="1" t="inlineStr">
        <is>
          <t>NA</t>
        </is>
      </c>
      <c r="AS23" s="1" t="inlineStr">
        <is>
          <t>NA</t>
        </is>
      </c>
      <c r="AT23" s="1" t="inlineStr">
        <is>
          <t>NA</t>
        </is>
      </c>
      <c r="AU23" s="1" t="inlineStr">
        <is>
          <t>NA</t>
        </is>
      </c>
      <c r="AV23" s="1" t="inlineStr">
        <is>
          <t>NA</t>
        </is>
      </c>
      <c r="AW23" s="1" t="inlineStr">
        <is>
          <t>NA</t>
        </is>
      </c>
      <c r="AX23" s="1" t="inlineStr">
        <is>
          <t>NA</t>
        </is>
      </c>
      <c r="AY23" s="1" t="inlineStr">
        <is>
          <t>Concluído</t>
        </is>
      </c>
      <c r="AZ23" s="1" t="inlineStr">
        <is>
          <t>Concluído</t>
        </is>
      </c>
      <c r="BA23" s="1" t="inlineStr">
        <is>
          <t>Concluído</t>
        </is>
      </c>
      <c r="BB23" s="70" t="n">
        <v>1</v>
      </c>
      <c r="BC23" s="101" t="n">
        <v>41177</v>
      </c>
      <c r="BD23" s="1" t="inlineStr">
        <is>
          <t>NA</t>
        </is>
      </c>
      <c r="BE23" s="1" t="inlineStr">
        <is>
          <t>NA</t>
        </is>
      </c>
      <c r="BF23" s="1" t="inlineStr">
        <is>
          <t>NA</t>
        </is>
      </c>
      <c r="BG23" s="1" t="inlineStr">
        <is>
          <t>NA</t>
        </is>
      </c>
      <c r="BH23" s="1" t="inlineStr">
        <is>
          <t>Integralmente executado, prestação aprovada com ressalvas por problemas financeiros por causa da variação cambial</t>
        </is>
      </c>
      <c r="BI23" s="1" t="inlineStr">
        <is>
          <t>NA</t>
        </is>
      </c>
      <c r="BJ23" s="1" t="inlineStr">
        <is>
          <t>NA</t>
        </is>
      </c>
      <c r="BK23" s="1" t="inlineStr">
        <is>
          <t>NA</t>
        </is>
      </c>
      <c r="BL23" s="1" t="inlineStr">
        <is>
          <t>NA</t>
        </is>
      </c>
      <c r="BM23" s="1" t="inlineStr">
        <is>
          <t>NA</t>
        </is>
      </c>
      <c r="BN23" s="1" t="inlineStr">
        <is>
          <t>NA</t>
        </is>
      </c>
      <c r="BO23" s="1" t="inlineStr">
        <is>
          <t>NA</t>
        </is>
      </c>
      <c r="BP23" s="1" t="inlineStr">
        <is>
          <t>NA</t>
        </is>
      </c>
      <c r="BQ23" s="1" t="inlineStr">
        <is>
          <t>NA</t>
        </is>
      </c>
      <c r="BR23" s="1" t="inlineStr">
        <is>
          <t>NA</t>
        </is>
      </c>
      <c r="BS23" s="1" t="inlineStr">
        <is>
          <t>NA</t>
        </is>
      </c>
      <c r="BT23" s="101" t="n">
        <v>40812</v>
      </c>
      <c r="BU23" s="818" t="n">
        <v>1503280</v>
      </c>
    </row>
    <row r="24" ht="39.75" customFormat="1" customHeight="1" s="123">
      <c r="A24" s="1" t="inlineStr">
        <is>
          <t>SUL</t>
        </is>
      </c>
      <c r="B24" s="1" t="inlineStr">
        <is>
          <t>RS</t>
        </is>
      </c>
      <c r="C24" s="1" t="inlineStr">
        <is>
          <t>IJUI</t>
        </is>
      </c>
      <c r="D24" s="1" t="inlineStr">
        <is>
          <t>ASSOCIACAO HOSPITAL DE CARIDADE IJUI</t>
        </is>
      </c>
      <c r="E24" s="3" t="inlineStr">
        <is>
          <t>90730508000138</t>
        </is>
      </c>
      <c r="F24" s="1" t="inlineStr">
        <is>
          <t>ASSOCIACAO HOSPITAL DE CARIDADE IJUI</t>
        </is>
      </c>
      <c r="G24" s="1" t="n">
        <v>2261057</v>
      </c>
      <c r="H24" s="106" t="n">
        <v>-2.8393854323905e+16</v>
      </c>
      <c r="I24" s="106" t="n">
        <v>-5391008377075190</v>
      </c>
      <c r="J24" s="32" t="inlineStr">
        <is>
          <t>Radioterapia - Aquisição de Equipamentos</t>
        </is>
      </c>
      <c r="K24" s="31" t="inlineStr">
        <is>
          <t>NA</t>
        </is>
      </c>
      <c r="L24" s="31" t="inlineStr">
        <is>
          <t>NA</t>
        </is>
      </c>
      <c r="M24" s="1" t="inlineStr">
        <is>
          <t>Convênio</t>
        </is>
      </c>
      <c r="N24" s="1" t="n">
        <v>2010</v>
      </c>
      <c r="O24" s="1" t="n">
        <v>752772</v>
      </c>
      <c r="P24" s="1" t="inlineStr">
        <is>
          <t>NA</t>
        </is>
      </c>
      <c r="Q24" s="1" t="inlineStr">
        <is>
          <t>25000.669810/2009-52</t>
        </is>
      </c>
      <c r="R24" s="1" t="inlineStr">
        <is>
          <t>NA</t>
        </is>
      </c>
      <c r="S24" s="32" t="inlineStr">
        <is>
          <t>NA</t>
        </is>
      </c>
      <c r="T24" s="1" t="inlineStr">
        <is>
          <t>Acelerador Linear</t>
        </is>
      </c>
      <c r="U24" s="1" t="n">
        <v>4</v>
      </c>
      <c r="V24" s="1" t="n">
        <v>1</v>
      </c>
      <c r="W24" s="1" t="inlineStr">
        <is>
          <t>UND</t>
        </is>
      </c>
      <c r="X24" s="1" t="inlineStr">
        <is>
          <t>EQUIPAMENTO</t>
        </is>
      </c>
      <c r="Y24" s="1" t="inlineStr">
        <is>
          <t>NA</t>
        </is>
      </c>
      <c r="Z24" s="1" t="inlineStr">
        <is>
          <t>NA</t>
        </is>
      </c>
      <c r="AA24" s="1" t="inlineStr">
        <is>
          <t>NA</t>
        </is>
      </c>
      <c r="AB24" s="1" t="inlineStr">
        <is>
          <t>NA</t>
        </is>
      </c>
      <c r="AC24" s="1" t="inlineStr">
        <is>
          <t>NA</t>
        </is>
      </c>
      <c r="AD24" s="1" t="inlineStr">
        <is>
          <t>NA</t>
        </is>
      </c>
      <c r="AE24" s="1" t="inlineStr">
        <is>
          <t>NA</t>
        </is>
      </c>
      <c r="AF24" s="1" t="inlineStr">
        <is>
          <t>NA</t>
        </is>
      </c>
      <c r="AG24" s="818" t="n">
        <v>4145000</v>
      </c>
      <c r="AH24" s="818" t="n">
        <v>331600</v>
      </c>
      <c r="AI24" s="1" t="inlineStr">
        <is>
          <t>NA</t>
        </is>
      </c>
      <c r="AJ24" s="1" t="inlineStr">
        <is>
          <t>NA</t>
        </is>
      </c>
      <c r="AK24" s="1" t="inlineStr">
        <is>
          <t>NA</t>
        </is>
      </c>
      <c r="AL24" s="1" t="inlineStr">
        <is>
          <t>NA</t>
        </is>
      </c>
      <c r="AM24" s="1" t="inlineStr">
        <is>
          <t>NA</t>
        </is>
      </c>
      <c r="AN24" s="1" t="inlineStr">
        <is>
          <t>NA</t>
        </is>
      </c>
      <c r="AO24" s="1" t="inlineStr">
        <is>
          <t>NA</t>
        </is>
      </c>
      <c r="AP24" s="1" t="inlineStr">
        <is>
          <t>NA</t>
        </is>
      </c>
      <c r="AQ24" s="1" t="inlineStr">
        <is>
          <t>NA</t>
        </is>
      </c>
      <c r="AR24" s="1" t="inlineStr">
        <is>
          <t>NA</t>
        </is>
      </c>
      <c r="AS24" s="1" t="inlineStr">
        <is>
          <t>NA</t>
        </is>
      </c>
      <c r="AT24" s="1" t="inlineStr">
        <is>
          <t>NA</t>
        </is>
      </c>
      <c r="AU24" s="1" t="inlineStr">
        <is>
          <t>NA</t>
        </is>
      </c>
      <c r="AV24" s="1" t="inlineStr">
        <is>
          <t>NA</t>
        </is>
      </c>
      <c r="AW24" s="1" t="inlineStr">
        <is>
          <t>NA</t>
        </is>
      </c>
      <c r="AX24" s="1" t="inlineStr">
        <is>
          <t>NA</t>
        </is>
      </c>
      <c r="AY24" s="1" t="inlineStr">
        <is>
          <t>Concluído</t>
        </is>
      </c>
      <c r="AZ24" s="1" t="inlineStr">
        <is>
          <t>Concluído</t>
        </is>
      </c>
      <c r="BA24" s="1" t="inlineStr">
        <is>
          <t>Concluído</t>
        </is>
      </c>
      <c r="BB24" s="70" t="n">
        <v>1</v>
      </c>
      <c r="BC24" s="101" t="n">
        <v>41961</v>
      </c>
      <c r="BD24" s="1" t="inlineStr">
        <is>
          <t>NA</t>
        </is>
      </c>
      <c r="BE24" s="1" t="inlineStr">
        <is>
          <t>NA</t>
        </is>
      </c>
      <c r="BF24" s="1" t="inlineStr">
        <is>
          <t>NA</t>
        </is>
      </c>
      <c r="BG24" s="1" t="inlineStr">
        <is>
          <t>NA</t>
        </is>
      </c>
      <c r="BH24" s="1" t="inlineStr">
        <is>
          <t>Execução integral, com prestação de contas atrasada, problemas na construção e blindagem do bunker</t>
        </is>
      </c>
      <c r="BI24" s="1" t="inlineStr">
        <is>
          <t>NA</t>
        </is>
      </c>
      <c r="BJ24" s="1" t="inlineStr">
        <is>
          <t>NA</t>
        </is>
      </c>
      <c r="BK24" s="1" t="inlineStr">
        <is>
          <t>NA</t>
        </is>
      </c>
      <c r="BL24" s="1" t="inlineStr">
        <is>
          <t>NA</t>
        </is>
      </c>
      <c r="BM24" s="1" t="inlineStr">
        <is>
          <t>NA</t>
        </is>
      </c>
      <c r="BN24" s="1" t="inlineStr">
        <is>
          <t>NA</t>
        </is>
      </c>
      <c r="BO24" s="1" t="inlineStr">
        <is>
          <t>NA</t>
        </is>
      </c>
      <c r="BP24" s="1" t="inlineStr">
        <is>
          <t>NA</t>
        </is>
      </c>
      <c r="BQ24" s="1" t="inlineStr">
        <is>
          <t>NA</t>
        </is>
      </c>
      <c r="BR24" s="1" t="inlineStr">
        <is>
          <t>NA</t>
        </is>
      </c>
      <c r="BS24" s="1" t="inlineStr">
        <is>
          <t>NA</t>
        </is>
      </c>
      <c r="BT24" s="101" t="n">
        <v>40998</v>
      </c>
      <c r="BU24" s="818" t="n">
        <v>3813400</v>
      </c>
    </row>
    <row r="25" ht="39.75" customFormat="1" customHeight="1" s="123">
      <c r="A25" s="1" t="inlineStr">
        <is>
          <t>NORDESTE</t>
        </is>
      </c>
      <c r="B25" s="1" t="inlineStr">
        <is>
          <t>BA</t>
        </is>
      </c>
      <c r="C25" s="1" t="inlineStr">
        <is>
          <t>SALVADOR</t>
        </is>
      </c>
      <c r="D25" s="1" t="inlineStr">
        <is>
          <t>LIGA BAIANA CONTRA O CANCER</t>
        </is>
      </c>
      <c r="E25" s="3" t="inlineStr">
        <is>
          <t>15180961000100</t>
        </is>
      </c>
      <c r="F25" s="1" t="inlineStr">
        <is>
          <t>HOSPITAL ARISTIDES MALTEZ</t>
        </is>
      </c>
      <c r="G25" s="122" t="inlineStr">
        <is>
          <t>0003786</t>
        </is>
      </c>
      <c r="H25" s="106" t="n">
        <v>-129861396</v>
      </c>
      <c r="I25" s="106" t="n">
        <v>-384923837</v>
      </c>
      <c r="J25" s="32" t="inlineStr">
        <is>
          <t>Radioterapia - Aquisição de Equipamentos</t>
        </is>
      </c>
      <c r="K25" s="31" t="inlineStr">
        <is>
          <t>NA</t>
        </is>
      </c>
      <c r="L25" s="31" t="inlineStr">
        <is>
          <t>NA</t>
        </is>
      </c>
      <c r="M25" s="1" t="inlineStr">
        <is>
          <t>Convênio</t>
        </is>
      </c>
      <c r="N25" s="1" t="n">
        <v>2010</v>
      </c>
      <c r="O25" s="1" t="n">
        <v>753902</v>
      </c>
      <c r="P25" s="1" t="inlineStr">
        <is>
          <t>NA</t>
        </is>
      </c>
      <c r="Q25" s="1" t="inlineStr">
        <is>
          <t>25000.219297/2010-96</t>
        </is>
      </c>
      <c r="R25" s="1" t="inlineStr">
        <is>
          <t>NA</t>
        </is>
      </c>
      <c r="S25" s="32" t="inlineStr">
        <is>
          <t>NA</t>
        </is>
      </c>
      <c r="T25" s="1" t="inlineStr">
        <is>
          <t>Acelerador Linear</t>
        </is>
      </c>
      <c r="U25" s="1" t="n">
        <v>1</v>
      </c>
      <c r="V25" s="1" t="n">
        <v>1</v>
      </c>
      <c r="W25" s="1" t="inlineStr">
        <is>
          <t>UND</t>
        </is>
      </c>
      <c r="X25" s="1" t="inlineStr">
        <is>
          <t>EQUIPAMENTO</t>
        </is>
      </c>
      <c r="Y25" s="1" t="inlineStr">
        <is>
          <t>NA</t>
        </is>
      </c>
      <c r="Z25" s="1" t="inlineStr">
        <is>
          <t>NA</t>
        </is>
      </c>
      <c r="AA25" s="1" t="inlineStr">
        <is>
          <t>NA</t>
        </is>
      </c>
      <c r="AB25" s="1" t="inlineStr">
        <is>
          <t>NA</t>
        </is>
      </c>
      <c r="AC25" s="1" t="inlineStr">
        <is>
          <t>NA</t>
        </is>
      </c>
      <c r="AD25" s="1" t="inlineStr">
        <is>
          <t>NA</t>
        </is>
      </c>
      <c r="AE25" s="1" t="inlineStr">
        <is>
          <t>NA</t>
        </is>
      </c>
      <c r="AF25" s="1" t="inlineStr">
        <is>
          <t>NA</t>
        </is>
      </c>
      <c r="AG25" s="818" t="n">
        <v>2000000</v>
      </c>
      <c r="AH25" s="818" t="n">
        <v>80000</v>
      </c>
      <c r="AI25" s="1" t="inlineStr">
        <is>
          <t>NA</t>
        </is>
      </c>
      <c r="AJ25" s="1" t="inlineStr">
        <is>
          <t>NA</t>
        </is>
      </c>
      <c r="AK25" s="1" t="inlineStr">
        <is>
          <t>NA</t>
        </is>
      </c>
      <c r="AL25" s="1" t="inlineStr">
        <is>
          <t>NA</t>
        </is>
      </c>
      <c r="AM25" s="1" t="inlineStr">
        <is>
          <t>NA</t>
        </is>
      </c>
      <c r="AN25" s="1" t="inlineStr">
        <is>
          <t>NA</t>
        </is>
      </c>
      <c r="AO25" s="1" t="inlineStr">
        <is>
          <t>NA</t>
        </is>
      </c>
      <c r="AP25" s="1" t="inlineStr">
        <is>
          <t>NA</t>
        </is>
      </c>
      <c r="AQ25" s="1" t="inlineStr">
        <is>
          <t>NA</t>
        </is>
      </c>
      <c r="AR25" s="1" t="inlineStr">
        <is>
          <t>NA</t>
        </is>
      </c>
      <c r="AS25" s="1" t="inlineStr">
        <is>
          <t>NA</t>
        </is>
      </c>
      <c r="AT25" s="1" t="inlineStr">
        <is>
          <t>NA</t>
        </is>
      </c>
      <c r="AU25" s="1" t="inlineStr">
        <is>
          <t>NA</t>
        </is>
      </c>
      <c r="AV25" s="1" t="inlineStr">
        <is>
          <t>NA</t>
        </is>
      </c>
      <c r="AW25" s="1" t="inlineStr">
        <is>
          <t>NA</t>
        </is>
      </c>
      <c r="AX25" s="1" t="inlineStr">
        <is>
          <t>NA</t>
        </is>
      </c>
      <c r="AY25" s="1" t="inlineStr">
        <is>
          <t>Concluído</t>
        </is>
      </c>
      <c r="AZ25" s="1" t="inlineStr">
        <is>
          <t>Concluído</t>
        </is>
      </c>
      <c r="BA25" s="1" t="inlineStr">
        <is>
          <t>Concluído</t>
        </is>
      </c>
      <c r="BB25" s="70" t="n">
        <v>1</v>
      </c>
      <c r="BC25" s="101" t="n">
        <v>42802</v>
      </c>
      <c r="BD25" s="1" t="inlineStr">
        <is>
          <t>NA</t>
        </is>
      </c>
      <c r="BE25" s="1" t="inlineStr">
        <is>
          <t>NA</t>
        </is>
      </c>
      <c r="BF25" s="1" t="inlineStr">
        <is>
          <t>NA</t>
        </is>
      </c>
      <c r="BG25" s="1" t="inlineStr">
        <is>
          <t>NA</t>
        </is>
      </c>
      <c r="BH25" s="1" t="inlineStr">
        <is>
          <t>NA</t>
        </is>
      </c>
      <c r="BI25" s="1" t="inlineStr">
        <is>
          <t>NA</t>
        </is>
      </c>
      <c r="BJ25" s="1" t="inlineStr">
        <is>
          <t>NA</t>
        </is>
      </c>
      <c r="BK25" s="1" t="inlineStr">
        <is>
          <t>NA</t>
        </is>
      </c>
      <c r="BL25" s="1" t="inlineStr">
        <is>
          <t>NA</t>
        </is>
      </c>
      <c r="BM25" s="1" t="inlineStr">
        <is>
          <t>NA</t>
        </is>
      </c>
      <c r="BN25" s="1" t="inlineStr">
        <is>
          <t>NA</t>
        </is>
      </c>
      <c r="BO25" s="1" t="inlineStr">
        <is>
          <t>NA</t>
        </is>
      </c>
      <c r="BP25" s="1" t="inlineStr">
        <is>
          <t>NA</t>
        </is>
      </c>
      <c r="BQ25" s="1" t="inlineStr">
        <is>
          <t>NA</t>
        </is>
      </c>
      <c r="BR25" s="1" t="inlineStr">
        <is>
          <t>NA</t>
        </is>
      </c>
      <c r="BS25" s="1" t="inlineStr">
        <is>
          <t>NA</t>
        </is>
      </c>
      <c r="BT25" s="101" t="n">
        <v>41446</v>
      </c>
      <c r="BU25" s="818" t="n">
        <v>1920000</v>
      </c>
    </row>
    <row r="26" ht="39.75" customFormat="1" customHeight="1" s="123">
      <c r="A26" s="1" t="inlineStr">
        <is>
          <t>SUDESTE</t>
        </is>
      </c>
      <c r="B26" s="1" t="inlineStr">
        <is>
          <t>SP</t>
        </is>
      </c>
      <c r="C26" s="1" t="inlineStr">
        <is>
          <t>JAU</t>
        </is>
      </c>
      <c r="D26" s="1" t="inlineStr">
        <is>
          <t>FUNDACAO DR AMARAL CARVALHO</t>
        </is>
      </c>
      <c r="E26" s="3" t="inlineStr">
        <is>
          <t>50753755000135</t>
        </is>
      </c>
      <c r="F26" s="1" t="inlineStr">
        <is>
          <t>HOSPITAL AMARAL CARVALHO JAU</t>
        </is>
      </c>
      <c r="G26" s="1" t="n">
        <v>2083086</v>
      </c>
      <c r="H26" s="106" t="n">
        <v>-2229139</v>
      </c>
      <c r="I26" s="106" t="n">
        <v>-4854914</v>
      </c>
      <c r="J26" s="32" t="inlineStr">
        <is>
          <t>Radioterapia - Aquisição de Equipamentos</t>
        </is>
      </c>
      <c r="K26" s="31" t="inlineStr">
        <is>
          <t>NA</t>
        </is>
      </c>
      <c r="L26" s="31" t="inlineStr">
        <is>
          <t>NA</t>
        </is>
      </c>
      <c r="M26" s="1" t="inlineStr">
        <is>
          <t>Convênio</t>
        </is>
      </c>
      <c r="N26" s="1" t="n">
        <v>2010</v>
      </c>
      <c r="O26" s="1" t="n">
        <v>755217</v>
      </c>
      <c r="P26" s="1" t="inlineStr">
        <is>
          <t>NA</t>
        </is>
      </c>
      <c r="Q26" s="1" t="inlineStr">
        <is>
          <t>25000.043326/2010-32</t>
        </is>
      </c>
      <c r="R26" s="1" t="inlineStr">
        <is>
          <t>NA</t>
        </is>
      </c>
      <c r="S26" s="32" t="inlineStr">
        <is>
          <t>NA</t>
        </is>
      </c>
      <c r="T26" s="1" t="inlineStr">
        <is>
          <t>Acelerador Linear</t>
        </is>
      </c>
      <c r="U26" s="1" t="n">
        <v>1</v>
      </c>
      <c r="V26" s="1" t="n">
        <v>1</v>
      </c>
      <c r="W26" s="1" t="inlineStr">
        <is>
          <t>UND</t>
        </is>
      </c>
      <c r="X26" s="1" t="inlineStr">
        <is>
          <t>EQUIPAMENTO</t>
        </is>
      </c>
      <c r="Y26" s="1" t="inlineStr">
        <is>
          <t>NA</t>
        </is>
      </c>
      <c r="Z26" s="1" t="inlineStr">
        <is>
          <t>NA</t>
        </is>
      </c>
      <c r="AA26" s="1" t="inlineStr">
        <is>
          <t>NA</t>
        </is>
      </c>
      <c r="AB26" s="1" t="inlineStr">
        <is>
          <t>NA</t>
        </is>
      </c>
      <c r="AC26" s="1" t="inlineStr">
        <is>
          <t>NA</t>
        </is>
      </c>
      <c r="AD26" s="1" t="inlineStr">
        <is>
          <t>NA</t>
        </is>
      </c>
      <c r="AE26" s="1" t="inlineStr">
        <is>
          <t>NA</t>
        </is>
      </c>
      <c r="AF26" s="1" t="inlineStr">
        <is>
          <t>NA</t>
        </is>
      </c>
      <c r="AG26" s="818" t="n">
        <v>3546809.79</v>
      </c>
      <c r="AH26" s="818" t="n">
        <v>267520</v>
      </c>
      <c r="AI26" s="1" t="inlineStr">
        <is>
          <t>NA</t>
        </is>
      </c>
      <c r="AJ26" s="1" t="inlineStr">
        <is>
          <t>NA</t>
        </is>
      </c>
      <c r="AK26" s="1" t="inlineStr">
        <is>
          <t>NA</t>
        </is>
      </c>
      <c r="AL26" s="1" t="inlineStr">
        <is>
          <t>NA</t>
        </is>
      </c>
      <c r="AM26" s="1" t="inlineStr">
        <is>
          <t>NA</t>
        </is>
      </c>
      <c r="AN26" s="1" t="inlineStr">
        <is>
          <t>NA</t>
        </is>
      </c>
      <c r="AO26" s="1" t="inlineStr">
        <is>
          <t>NA</t>
        </is>
      </c>
      <c r="AP26" s="1" t="inlineStr">
        <is>
          <t>NA</t>
        </is>
      </c>
      <c r="AQ26" s="1" t="inlineStr">
        <is>
          <t>NA</t>
        </is>
      </c>
      <c r="AR26" s="1" t="inlineStr">
        <is>
          <t>NA</t>
        </is>
      </c>
      <c r="AS26" s="1" t="inlineStr">
        <is>
          <t>NA</t>
        </is>
      </c>
      <c r="AT26" s="1" t="inlineStr">
        <is>
          <t>NA</t>
        </is>
      </c>
      <c r="AU26" s="1" t="inlineStr">
        <is>
          <t>NA</t>
        </is>
      </c>
      <c r="AV26" s="1" t="inlineStr">
        <is>
          <t>NA</t>
        </is>
      </c>
      <c r="AW26" s="1" t="inlineStr">
        <is>
          <t>NA</t>
        </is>
      </c>
      <c r="AX26" s="1" t="inlineStr">
        <is>
          <t>NA</t>
        </is>
      </c>
      <c r="AY26" s="1" t="inlineStr">
        <is>
          <t>Concluído</t>
        </is>
      </c>
      <c r="AZ26" s="1" t="inlineStr">
        <is>
          <t>Concluído</t>
        </is>
      </c>
      <c r="BA26" s="1" t="inlineStr">
        <is>
          <t>Concluído</t>
        </is>
      </c>
      <c r="BB26" s="130" t="n">
        <v>1</v>
      </c>
      <c r="BC26" s="101" t="n">
        <v>43196</v>
      </c>
      <c r="BD26" s="1" t="inlineStr">
        <is>
          <t>NA</t>
        </is>
      </c>
      <c r="BE26" s="1" t="inlineStr">
        <is>
          <t>NA</t>
        </is>
      </c>
      <c r="BF26" s="1" t="inlineStr">
        <is>
          <t>NA</t>
        </is>
      </c>
      <c r="BG26" s="1" t="inlineStr">
        <is>
          <t>NA</t>
        </is>
      </c>
      <c r="BH26" s="1" t="inlineStr">
        <is>
          <t>NA</t>
        </is>
      </c>
      <c r="BI26" s="1" t="inlineStr">
        <is>
          <t>NA</t>
        </is>
      </c>
      <c r="BJ26" s="1" t="inlineStr">
        <is>
          <t>NA</t>
        </is>
      </c>
      <c r="BK26" s="1" t="inlineStr">
        <is>
          <t>NA</t>
        </is>
      </c>
      <c r="BL26" s="1" t="inlineStr">
        <is>
          <t>NA</t>
        </is>
      </c>
      <c r="BM26" s="1" t="inlineStr">
        <is>
          <t>NA</t>
        </is>
      </c>
      <c r="BN26" s="1" t="inlineStr">
        <is>
          <t>NA</t>
        </is>
      </c>
      <c r="BO26" s="1" t="inlineStr">
        <is>
          <t>NA</t>
        </is>
      </c>
      <c r="BP26" s="1" t="inlineStr">
        <is>
          <t>NA</t>
        </is>
      </c>
      <c r="BQ26" s="1" t="inlineStr">
        <is>
          <t>NA</t>
        </is>
      </c>
      <c r="BR26" s="1" t="inlineStr">
        <is>
          <t>NA</t>
        </is>
      </c>
      <c r="BS26" s="1" t="inlineStr">
        <is>
          <t>NA</t>
        </is>
      </c>
      <c r="BT26" s="101" t="n">
        <v>41737</v>
      </c>
      <c r="BU26" s="818" t="n">
        <v>3076480</v>
      </c>
    </row>
    <row r="27" ht="39.75" customFormat="1" customHeight="1" s="123">
      <c r="A27" s="1" t="inlineStr">
        <is>
          <t>SUL</t>
        </is>
      </c>
      <c r="B27" s="1" t="inlineStr">
        <is>
          <t>SC</t>
        </is>
      </c>
      <c r="C27" s="1" t="inlineStr">
        <is>
          <t>CRICIUMA</t>
        </is>
      </c>
      <c r="D27" s="1" t="inlineStr">
        <is>
          <t>SOCIEDADE LITERARIA E CARITATIVA SANTO AGOSTINHO</t>
        </is>
      </c>
      <c r="E27" s="3" t="inlineStr">
        <is>
          <t>92736040000890</t>
        </is>
      </c>
      <c r="F27" s="1" t="inlineStr">
        <is>
          <t>HOSPITAL SAO JOSE</t>
        </is>
      </c>
      <c r="G27" s="1" t="n">
        <v>2758164</v>
      </c>
      <c r="H27" s="106" t="n">
        <v>-286718249</v>
      </c>
      <c r="I27" s="106" t="n">
        <v>-49363237</v>
      </c>
      <c r="J27" s="32" t="inlineStr">
        <is>
          <t>Radioterapia - Aquisição de Equipamentos</t>
        </is>
      </c>
      <c r="K27" s="31" t="inlineStr">
        <is>
          <t>NA</t>
        </is>
      </c>
      <c r="L27" s="31" t="inlineStr">
        <is>
          <t>NA</t>
        </is>
      </c>
      <c r="M27" s="1" t="inlineStr">
        <is>
          <t>Convênio</t>
        </is>
      </c>
      <c r="N27" s="1" t="n">
        <v>2011</v>
      </c>
      <c r="O27" s="1" t="n">
        <v>760124</v>
      </c>
      <c r="P27" s="1" t="inlineStr">
        <is>
          <t>NA</t>
        </is>
      </c>
      <c r="Q27" s="1" t="inlineStr">
        <is>
          <t>25000.196929/2011-17</t>
        </is>
      </c>
      <c r="R27" s="1" t="inlineStr">
        <is>
          <t>NA</t>
        </is>
      </c>
      <c r="S27" s="32" t="inlineStr">
        <is>
          <t>NA</t>
        </is>
      </c>
      <c r="T27" s="1" t="inlineStr">
        <is>
          <t>Acelerador Linear</t>
        </is>
      </c>
      <c r="U27" s="1" t="n">
        <v>1</v>
      </c>
      <c r="V27" s="1" t="n">
        <v>1</v>
      </c>
      <c r="W27" s="1" t="inlineStr">
        <is>
          <t>UND</t>
        </is>
      </c>
      <c r="X27" s="1" t="inlineStr">
        <is>
          <t>EQUIPAMENTO</t>
        </is>
      </c>
      <c r="Y27" s="1" t="inlineStr">
        <is>
          <t>NA</t>
        </is>
      </c>
      <c r="Z27" s="1" t="inlineStr">
        <is>
          <t>NA</t>
        </is>
      </c>
      <c r="AA27" s="1" t="inlineStr">
        <is>
          <t>NA</t>
        </is>
      </c>
      <c r="AB27" s="1" t="inlineStr">
        <is>
          <t>NA</t>
        </is>
      </c>
      <c r="AC27" s="1" t="inlineStr">
        <is>
          <t>NA</t>
        </is>
      </c>
      <c r="AD27" s="1" t="inlineStr">
        <is>
          <t>NA</t>
        </is>
      </c>
      <c r="AE27" s="1" t="inlineStr">
        <is>
          <t>NA</t>
        </is>
      </c>
      <c r="AF27" s="1" t="inlineStr">
        <is>
          <t>NA</t>
        </is>
      </c>
      <c r="AG27" s="818" t="n">
        <v>2610000</v>
      </c>
      <c r="AH27" s="818" t="n">
        <v>208800</v>
      </c>
      <c r="AI27" s="1" t="inlineStr">
        <is>
          <t>NA</t>
        </is>
      </c>
      <c r="AJ27" s="1" t="inlineStr">
        <is>
          <t>NA</t>
        </is>
      </c>
      <c r="AK27" s="1" t="inlineStr">
        <is>
          <t>NA</t>
        </is>
      </c>
      <c r="AL27" s="1" t="inlineStr">
        <is>
          <t>NA</t>
        </is>
      </c>
      <c r="AM27" s="1" t="inlineStr">
        <is>
          <t>NA</t>
        </is>
      </c>
      <c r="AN27" s="1" t="inlineStr">
        <is>
          <t>NA</t>
        </is>
      </c>
      <c r="AO27" s="1" t="inlineStr">
        <is>
          <t>NA</t>
        </is>
      </c>
      <c r="AP27" s="1" t="inlineStr">
        <is>
          <t>NA</t>
        </is>
      </c>
      <c r="AQ27" s="1" t="inlineStr">
        <is>
          <t>NA</t>
        </is>
      </c>
      <c r="AR27" s="1" t="inlineStr">
        <is>
          <t>NA</t>
        </is>
      </c>
      <c r="AS27" s="1" t="inlineStr">
        <is>
          <t>NA</t>
        </is>
      </c>
      <c r="AT27" s="1" t="inlineStr">
        <is>
          <t>NA</t>
        </is>
      </c>
      <c r="AU27" s="1" t="inlineStr">
        <is>
          <t>NA</t>
        </is>
      </c>
      <c r="AV27" s="1" t="inlineStr">
        <is>
          <t>NA</t>
        </is>
      </c>
      <c r="AW27" s="1" t="inlineStr">
        <is>
          <t>NA</t>
        </is>
      </c>
      <c r="AX27" s="1" t="inlineStr">
        <is>
          <t>NA</t>
        </is>
      </c>
      <c r="AY27" s="1" t="inlineStr">
        <is>
          <t>Concluído</t>
        </is>
      </c>
      <c r="AZ27" s="1" t="inlineStr">
        <is>
          <t>Concluído</t>
        </is>
      </c>
      <c r="BA27" s="1" t="inlineStr">
        <is>
          <t>Concluído</t>
        </is>
      </c>
      <c r="BB27" s="70" t="n">
        <v>1</v>
      </c>
      <c r="BC27" s="101" t="n">
        <v>41864</v>
      </c>
      <c r="BD27" s="1" t="inlineStr">
        <is>
          <t>NA</t>
        </is>
      </c>
      <c r="BE27" s="1" t="inlineStr">
        <is>
          <t>NA</t>
        </is>
      </c>
      <c r="BF27" s="1" t="inlineStr">
        <is>
          <t>NA</t>
        </is>
      </c>
      <c r="BG27" s="1" t="inlineStr">
        <is>
          <t>NA</t>
        </is>
      </c>
      <c r="BH27" s="1" t="inlineStr">
        <is>
          <t>NA</t>
        </is>
      </c>
      <c r="BI27" s="1" t="inlineStr">
        <is>
          <t>NA</t>
        </is>
      </c>
      <c r="BJ27" s="1" t="inlineStr">
        <is>
          <t>NA</t>
        </is>
      </c>
      <c r="BK27" s="1" t="inlineStr">
        <is>
          <t>NA</t>
        </is>
      </c>
      <c r="BL27" s="1" t="inlineStr">
        <is>
          <t>NA</t>
        </is>
      </c>
      <c r="BM27" s="1" t="inlineStr">
        <is>
          <t>NA</t>
        </is>
      </c>
      <c r="BN27" s="1" t="inlineStr">
        <is>
          <t>NA</t>
        </is>
      </c>
      <c r="BO27" s="1" t="inlineStr">
        <is>
          <t>NA</t>
        </is>
      </c>
      <c r="BP27" s="1" t="inlineStr">
        <is>
          <t>NA</t>
        </is>
      </c>
      <c r="BQ27" s="1" t="inlineStr">
        <is>
          <t>NA</t>
        </is>
      </c>
      <c r="BR27" s="1" t="inlineStr">
        <is>
          <t>NA</t>
        </is>
      </c>
      <c r="BS27" s="1" t="inlineStr">
        <is>
          <t>NA</t>
        </is>
      </c>
      <c r="BT27" s="101" t="n">
        <v>41148</v>
      </c>
      <c r="BU27" s="818" t="n">
        <v>2401200</v>
      </c>
    </row>
    <row r="28" ht="39.75" customFormat="1" customHeight="1" s="123">
      <c r="A28" s="1" t="inlineStr">
        <is>
          <t>SUL</t>
        </is>
      </c>
      <c r="B28" s="1" t="inlineStr">
        <is>
          <t>RS</t>
        </is>
      </c>
      <c r="C28" s="1" t="inlineStr">
        <is>
          <t>PORTO ALEGRE</t>
        </is>
      </c>
      <c r="D28" s="1" t="inlineStr">
        <is>
          <t>UNIAO BRASILEIRA DE EDUCACAO E ASSISTENCIA</t>
        </is>
      </c>
      <c r="E28" s="124" t="inlineStr">
        <is>
          <t>88630413000109</t>
        </is>
      </c>
      <c r="F28" s="1" t="inlineStr">
        <is>
          <t>HOSPITAL SAO LUCAS DA PUCRS</t>
        </is>
      </c>
      <c r="G28" s="1" t="n">
        <v>2262568</v>
      </c>
      <c r="H28" s="106" t="n">
        <v>-3005511</v>
      </c>
      <c r="I28" s="106" t="n">
        <v>-5117256</v>
      </c>
      <c r="J28" s="32" t="inlineStr">
        <is>
          <t>Radioterapia - Aquisição de Equipamentos</t>
        </is>
      </c>
      <c r="K28" s="31" t="inlineStr">
        <is>
          <t>NA</t>
        </is>
      </c>
      <c r="L28" s="31" t="inlineStr">
        <is>
          <t>NA</t>
        </is>
      </c>
      <c r="M28" s="1" t="inlineStr">
        <is>
          <t>Convênio</t>
        </is>
      </c>
      <c r="N28" s="1" t="n">
        <v>2011</v>
      </c>
      <c r="O28" s="1" t="n">
        <v>762109</v>
      </c>
      <c r="P28" s="1" t="inlineStr">
        <is>
          <t>NA</t>
        </is>
      </c>
      <c r="Q28" s="1" t="inlineStr">
        <is>
          <t>25000.210657/2011-75</t>
        </is>
      </c>
      <c r="R28" s="1" t="inlineStr">
        <is>
          <t>NA</t>
        </is>
      </c>
      <c r="S28" s="32" t="inlineStr">
        <is>
          <t>NA</t>
        </is>
      </c>
      <c r="T28" s="1" t="inlineStr">
        <is>
          <t>Acelerador Linear</t>
        </is>
      </c>
      <c r="U28" s="1" t="n">
        <v>1</v>
      </c>
      <c r="V28" s="1" t="n">
        <v>1</v>
      </c>
      <c r="W28" s="1" t="inlineStr">
        <is>
          <t>UND</t>
        </is>
      </c>
      <c r="X28" s="1" t="inlineStr">
        <is>
          <t>EQUIPAMENTO</t>
        </is>
      </c>
      <c r="Y28" s="1" t="inlineStr">
        <is>
          <t>NA</t>
        </is>
      </c>
      <c r="Z28" s="1" t="inlineStr">
        <is>
          <t>NA</t>
        </is>
      </c>
      <c r="AA28" s="1" t="inlineStr">
        <is>
          <t>NA</t>
        </is>
      </c>
      <c r="AB28" s="1" t="inlineStr">
        <is>
          <t>NA</t>
        </is>
      </c>
      <c r="AC28" s="1" t="inlineStr">
        <is>
          <t>NA</t>
        </is>
      </c>
      <c r="AD28" s="1" t="inlineStr">
        <is>
          <t>NA</t>
        </is>
      </c>
      <c r="AE28" s="1" t="inlineStr">
        <is>
          <t>NA</t>
        </is>
      </c>
      <c r="AF28" s="1" t="inlineStr">
        <is>
          <t>NA</t>
        </is>
      </c>
      <c r="AG28" s="818" t="n">
        <v>3820000</v>
      </c>
      <c r="AH28" s="818" t="n">
        <v>0</v>
      </c>
      <c r="AI28" s="1" t="inlineStr">
        <is>
          <t>NA</t>
        </is>
      </c>
      <c r="AJ28" s="1" t="inlineStr">
        <is>
          <t>NA</t>
        </is>
      </c>
      <c r="AK28" s="1" t="inlineStr">
        <is>
          <t>NA</t>
        </is>
      </c>
      <c r="AL28" s="1" t="inlineStr">
        <is>
          <t>NA</t>
        </is>
      </c>
      <c r="AM28" s="1" t="inlineStr">
        <is>
          <t>NA</t>
        </is>
      </c>
      <c r="AN28" s="1" t="inlineStr">
        <is>
          <t>NA</t>
        </is>
      </c>
      <c r="AO28" s="1" t="inlineStr">
        <is>
          <t>NA</t>
        </is>
      </c>
      <c r="AP28" s="1" t="inlineStr">
        <is>
          <t>NA</t>
        </is>
      </c>
      <c r="AQ28" s="1" t="inlineStr">
        <is>
          <t>NA</t>
        </is>
      </c>
      <c r="AR28" s="1" t="inlineStr">
        <is>
          <t>NA</t>
        </is>
      </c>
      <c r="AS28" s="1" t="inlineStr">
        <is>
          <t>NA</t>
        </is>
      </c>
      <c r="AT28" s="1" t="inlineStr">
        <is>
          <t>NA</t>
        </is>
      </c>
      <c r="AU28" s="1" t="inlineStr">
        <is>
          <t>NA</t>
        </is>
      </c>
      <c r="AV28" s="1" t="inlineStr">
        <is>
          <t>NA</t>
        </is>
      </c>
      <c r="AW28" s="1" t="inlineStr">
        <is>
          <t>NA</t>
        </is>
      </c>
      <c r="AX28" s="1" t="inlineStr">
        <is>
          <t>NA</t>
        </is>
      </c>
      <c r="AY28" s="1" t="inlineStr">
        <is>
          <t>Concluído</t>
        </is>
      </c>
      <c r="AZ28" s="1" t="inlineStr">
        <is>
          <t>Concluído</t>
        </is>
      </c>
      <c r="BA28" s="1" t="inlineStr">
        <is>
          <t>Concluído</t>
        </is>
      </c>
      <c r="BB28" s="70" t="n">
        <v>1</v>
      </c>
      <c r="BC28" s="101" t="n">
        <v>42004</v>
      </c>
      <c r="BD28" s="1" t="inlineStr">
        <is>
          <t>NA</t>
        </is>
      </c>
      <c r="BE28" s="1" t="inlineStr">
        <is>
          <t>NA</t>
        </is>
      </c>
      <c r="BF28" s="1" t="inlineStr">
        <is>
          <t>NA</t>
        </is>
      </c>
      <c r="BG28" s="1" t="inlineStr">
        <is>
          <t>NA</t>
        </is>
      </c>
      <c r="BH28" s="1" t="inlineStr">
        <is>
          <t>NA</t>
        </is>
      </c>
      <c r="BI28" s="1" t="inlineStr">
        <is>
          <t>NA</t>
        </is>
      </c>
      <c r="BJ28" s="1" t="inlineStr">
        <is>
          <t>NA</t>
        </is>
      </c>
      <c r="BK28" s="1" t="inlineStr">
        <is>
          <t>NA</t>
        </is>
      </c>
      <c r="BL28" s="1" t="inlineStr">
        <is>
          <t>NA</t>
        </is>
      </c>
      <c r="BM28" s="1" t="inlineStr">
        <is>
          <t>NA</t>
        </is>
      </c>
      <c r="BN28" s="1" t="inlineStr">
        <is>
          <t>NA</t>
        </is>
      </c>
      <c r="BO28" s="1" t="inlineStr">
        <is>
          <t>NA</t>
        </is>
      </c>
      <c r="BP28" s="1" t="inlineStr">
        <is>
          <t>NA</t>
        </is>
      </c>
      <c r="BQ28" s="1" t="inlineStr">
        <is>
          <t>NA</t>
        </is>
      </c>
      <c r="BR28" s="1" t="inlineStr">
        <is>
          <t>NA</t>
        </is>
      </c>
      <c r="BS28" s="1" t="inlineStr">
        <is>
          <t>NA</t>
        </is>
      </c>
      <c r="BT28" s="101" t="n">
        <v>41515</v>
      </c>
      <c r="BU28" s="818" t="n">
        <v>3820000</v>
      </c>
    </row>
    <row r="29" ht="39.75" customFormat="1" customHeight="1" s="123">
      <c r="A29" s="1" t="inlineStr">
        <is>
          <t>SUDESTE</t>
        </is>
      </c>
      <c r="B29" s="1" t="inlineStr">
        <is>
          <t>MG</t>
        </is>
      </c>
      <c r="C29" s="1" t="inlineStr">
        <is>
          <t>PASSOS</t>
        </is>
      </c>
      <c r="D29" s="1" t="inlineStr">
        <is>
          <t>IRMANDADE DA SANTA CASA DE MISERICORDIA DE PASSOS</t>
        </is>
      </c>
      <c r="E29" s="124" t="inlineStr">
        <is>
          <t>23278898000160</t>
        </is>
      </c>
      <c r="F29" s="1" t="inlineStr">
        <is>
          <t>IRMANDADE DA SANTA CASA DE MISERICORDIA DE PASSOS</t>
        </is>
      </c>
      <c r="G29" s="1" t="n">
        <v>2775999</v>
      </c>
      <c r="H29" s="106" t="n">
        <v>-20713434</v>
      </c>
      <c r="I29" s="106" t="n">
        <v>-46612618</v>
      </c>
      <c r="J29" s="32" t="inlineStr">
        <is>
          <t>Radioterapia - Aquisição de Equipamentos</t>
        </is>
      </c>
      <c r="K29" s="31" t="inlineStr">
        <is>
          <t>NA</t>
        </is>
      </c>
      <c r="L29" s="31" t="inlineStr">
        <is>
          <t>NA</t>
        </is>
      </c>
      <c r="M29" s="1" t="inlineStr">
        <is>
          <t>Convênio</t>
        </is>
      </c>
      <c r="N29" s="1" t="n">
        <v>2011</v>
      </c>
      <c r="O29" s="1" t="n">
        <v>762122</v>
      </c>
      <c r="P29" s="1" t="inlineStr">
        <is>
          <t>NA</t>
        </is>
      </c>
      <c r="Q29" s="1" t="inlineStr">
        <is>
          <t>25000.196754/2011-48</t>
        </is>
      </c>
      <c r="R29" s="1" t="inlineStr">
        <is>
          <t>NA</t>
        </is>
      </c>
      <c r="S29" s="32" t="inlineStr">
        <is>
          <t>NA</t>
        </is>
      </c>
      <c r="T29" s="1" t="inlineStr">
        <is>
          <t>Acelerador Linear</t>
        </is>
      </c>
      <c r="U29" s="1" t="n">
        <v>1</v>
      </c>
      <c r="V29" s="1" t="n">
        <v>1</v>
      </c>
      <c r="W29" s="1" t="inlineStr">
        <is>
          <t>UND</t>
        </is>
      </c>
      <c r="X29" s="1" t="inlineStr">
        <is>
          <t>EQUIPAMENTO</t>
        </is>
      </c>
      <c r="Y29" s="1" t="inlineStr">
        <is>
          <t>NA</t>
        </is>
      </c>
      <c r="Z29" s="1" t="inlineStr">
        <is>
          <t>NA</t>
        </is>
      </c>
      <c r="AA29" s="1" t="inlineStr">
        <is>
          <t>NA</t>
        </is>
      </c>
      <c r="AB29" s="1" t="inlineStr">
        <is>
          <t>NA</t>
        </is>
      </c>
      <c r="AC29" s="1" t="inlineStr">
        <is>
          <t>NA</t>
        </is>
      </c>
      <c r="AD29" s="1" t="inlineStr">
        <is>
          <t>NA</t>
        </is>
      </c>
      <c r="AE29" s="1" t="inlineStr">
        <is>
          <t>NA</t>
        </is>
      </c>
      <c r="AF29" s="1" t="inlineStr">
        <is>
          <t>NA</t>
        </is>
      </c>
      <c r="AG29" s="818" t="n">
        <v>2003000</v>
      </c>
      <c r="AH29" s="818" t="n">
        <v>0</v>
      </c>
      <c r="AI29" s="1" t="inlineStr">
        <is>
          <t>NA</t>
        </is>
      </c>
      <c r="AJ29" s="1" t="inlineStr">
        <is>
          <t>NA</t>
        </is>
      </c>
      <c r="AK29" s="1" t="inlineStr">
        <is>
          <t>NA</t>
        </is>
      </c>
      <c r="AL29" s="1" t="inlineStr">
        <is>
          <t>NA</t>
        </is>
      </c>
      <c r="AM29" s="1" t="inlineStr">
        <is>
          <t>NA</t>
        </is>
      </c>
      <c r="AN29" s="1" t="inlineStr">
        <is>
          <t>NA</t>
        </is>
      </c>
      <c r="AO29" s="1" t="inlineStr">
        <is>
          <t>NA</t>
        </is>
      </c>
      <c r="AP29" s="1" t="inlineStr">
        <is>
          <t>NA</t>
        </is>
      </c>
      <c r="AQ29" s="1" t="inlineStr">
        <is>
          <t>NA</t>
        </is>
      </c>
      <c r="AR29" s="1" t="inlineStr">
        <is>
          <t>NA</t>
        </is>
      </c>
      <c r="AS29" s="1" t="inlineStr">
        <is>
          <t>NA</t>
        </is>
      </c>
      <c r="AT29" s="1" t="inlineStr">
        <is>
          <t>NA</t>
        </is>
      </c>
      <c r="AU29" s="1" t="inlineStr">
        <is>
          <t>NA</t>
        </is>
      </c>
      <c r="AV29" s="1" t="inlineStr">
        <is>
          <t>NA</t>
        </is>
      </c>
      <c r="AW29" s="1" t="inlineStr">
        <is>
          <t>NA</t>
        </is>
      </c>
      <c r="AX29" s="1" t="inlineStr">
        <is>
          <t>NA</t>
        </is>
      </c>
      <c r="AY29" s="1" t="inlineStr">
        <is>
          <t>Concluído</t>
        </is>
      </c>
      <c r="AZ29" s="1" t="inlineStr">
        <is>
          <t>Concluído</t>
        </is>
      </c>
      <c r="BA29" s="1" t="inlineStr">
        <is>
          <t>Concluído</t>
        </is>
      </c>
      <c r="BB29" s="70" t="n">
        <v>1</v>
      </c>
      <c r="BC29" s="101" t="n">
        <v>42993</v>
      </c>
      <c r="BD29" s="1" t="inlineStr">
        <is>
          <t>NA</t>
        </is>
      </c>
      <c r="BE29" s="1" t="inlineStr">
        <is>
          <t>NA</t>
        </is>
      </c>
      <c r="BF29" s="1" t="inlineStr">
        <is>
          <t>NA</t>
        </is>
      </c>
      <c r="BG29" s="1" t="inlineStr">
        <is>
          <t>NA</t>
        </is>
      </c>
      <c r="BH29" s="1" t="inlineStr">
        <is>
          <t>NA</t>
        </is>
      </c>
      <c r="BI29" s="1" t="inlineStr">
        <is>
          <t>NA</t>
        </is>
      </c>
      <c r="BJ29" s="1" t="inlineStr">
        <is>
          <t>NA</t>
        </is>
      </c>
      <c r="BK29" s="1" t="inlineStr">
        <is>
          <t>NA</t>
        </is>
      </c>
      <c r="BL29" s="1" t="inlineStr">
        <is>
          <t>NA</t>
        </is>
      </c>
      <c r="BM29" s="1" t="inlineStr">
        <is>
          <t>NA</t>
        </is>
      </c>
      <c r="BN29" s="1" t="inlineStr">
        <is>
          <t>NA</t>
        </is>
      </c>
      <c r="BO29" s="1" t="inlineStr">
        <is>
          <t>NA</t>
        </is>
      </c>
      <c r="BP29" s="1" t="inlineStr">
        <is>
          <t>NA</t>
        </is>
      </c>
      <c r="BQ29" s="1" t="inlineStr">
        <is>
          <t>NA</t>
        </is>
      </c>
      <c r="BR29" s="1" t="inlineStr">
        <is>
          <t>NA</t>
        </is>
      </c>
      <c r="BS29" s="1" t="inlineStr">
        <is>
          <t>NA</t>
        </is>
      </c>
      <c r="BT29" s="101" t="n">
        <v>42628</v>
      </c>
      <c r="BU29" s="818" t="n">
        <v>2003000</v>
      </c>
    </row>
    <row r="30" ht="39.75" customFormat="1" customHeight="1" s="123">
      <c r="A30" s="1" t="inlineStr">
        <is>
          <t>SUDESTE</t>
        </is>
      </c>
      <c r="B30" s="1" t="inlineStr">
        <is>
          <t>SP</t>
        </is>
      </c>
      <c r="C30" s="1" t="inlineStr">
        <is>
          <t>SAO PAULO</t>
        </is>
      </c>
      <c r="D30" s="1" t="inlineStr">
        <is>
          <t>INSTITUTO BRASILEIRO DE CONTROLE DO CANCER</t>
        </is>
      </c>
      <c r="E30" s="124" t="inlineStr">
        <is>
          <t>62932942000165</t>
        </is>
      </c>
      <c r="F30" s="1" t="inlineStr">
        <is>
          <t>IBCC - HOSPITAL PROFESSOR DR JAO SAMPAIO GOES</t>
        </is>
      </c>
      <c r="G30" s="1" t="n">
        <v>2077590</v>
      </c>
      <c r="H30" s="106" t="n">
        <v>-2.35471970429225e+16</v>
      </c>
      <c r="I30" s="106" t="n">
        <v>-4660032592842180</v>
      </c>
      <c r="J30" s="32" t="inlineStr">
        <is>
          <t>Radioterapia - Aquisição de Equipamentos</t>
        </is>
      </c>
      <c r="K30" s="31" t="inlineStr">
        <is>
          <t>NA</t>
        </is>
      </c>
      <c r="L30" s="31" t="inlineStr">
        <is>
          <t>NA</t>
        </is>
      </c>
      <c r="M30" s="1" t="inlineStr">
        <is>
          <t>Convênio</t>
        </is>
      </c>
      <c r="N30" s="1" t="n">
        <v>2011</v>
      </c>
      <c r="O30" s="1" t="n">
        <v>765389</v>
      </c>
      <c r="P30" s="1" t="inlineStr">
        <is>
          <t>NA</t>
        </is>
      </c>
      <c r="Q30" s="1" t="inlineStr">
        <is>
          <t>25000.220961/2011-21</t>
        </is>
      </c>
      <c r="R30" s="1" t="inlineStr">
        <is>
          <t>NA</t>
        </is>
      </c>
      <c r="S30" s="32" t="inlineStr">
        <is>
          <t>NA</t>
        </is>
      </c>
      <c r="T30" s="1" t="inlineStr">
        <is>
          <t>Acelerador Linear</t>
        </is>
      </c>
      <c r="U30" s="1" t="n">
        <v>1</v>
      </c>
      <c r="V30" s="1" t="n">
        <v>1</v>
      </c>
      <c r="W30" s="1" t="inlineStr">
        <is>
          <t>UND</t>
        </is>
      </c>
      <c r="X30" s="1" t="inlineStr">
        <is>
          <t>EQUIPAMENTO</t>
        </is>
      </c>
      <c r="Y30" s="1" t="inlineStr">
        <is>
          <t>NA</t>
        </is>
      </c>
      <c r="Z30" s="1" t="inlineStr">
        <is>
          <t>NA</t>
        </is>
      </c>
      <c r="AA30" s="1" t="inlineStr">
        <is>
          <t>NA</t>
        </is>
      </c>
      <c r="AB30" s="1" t="inlineStr">
        <is>
          <t>NA</t>
        </is>
      </c>
      <c r="AC30" s="1" t="inlineStr">
        <is>
          <t>NA</t>
        </is>
      </c>
      <c r="AD30" s="1" t="inlineStr">
        <is>
          <t>NA</t>
        </is>
      </c>
      <c r="AE30" s="1" t="inlineStr">
        <is>
          <t>NA</t>
        </is>
      </c>
      <c r="AF30" s="1" t="inlineStr">
        <is>
          <t>NA</t>
        </is>
      </c>
      <c r="AG30" s="818" t="n">
        <v>1973859.22</v>
      </c>
      <c r="AH30" s="818" t="n">
        <v>0</v>
      </c>
      <c r="AI30" s="1" t="inlineStr">
        <is>
          <t>NA</t>
        </is>
      </c>
      <c r="AJ30" s="1" t="inlineStr">
        <is>
          <t>NA</t>
        </is>
      </c>
      <c r="AK30" s="1" t="inlineStr">
        <is>
          <t>NA</t>
        </is>
      </c>
      <c r="AL30" s="1" t="inlineStr">
        <is>
          <t>NA</t>
        </is>
      </c>
      <c r="AM30" s="1" t="inlineStr">
        <is>
          <t>NA</t>
        </is>
      </c>
      <c r="AN30" s="1" t="inlineStr">
        <is>
          <t>NA</t>
        </is>
      </c>
      <c r="AO30" s="1" t="inlineStr">
        <is>
          <t>NA</t>
        </is>
      </c>
      <c r="AP30" s="1" t="inlineStr">
        <is>
          <t>NA</t>
        </is>
      </c>
      <c r="AQ30" s="1" t="inlineStr">
        <is>
          <t>NA</t>
        </is>
      </c>
      <c r="AR30" s="1" t="inlineStr">
        <is>
          <t>NA</t>
        </is>
      </c>
      <c r="AS30" s="1" t="inlineStr">
        <is>
          <t>NA</t>
        </is>
      </c>
      <c r="AT30" s="1" t="inlineStr">
        <is>
          <t>NA</t>
        </is>
      </c>
      <c r="AU30" s="1" t="inlineStr">
        <is>
          <t>NA</t>
        </is>
      </c>
      <c r="AV30" s="1" t="inlineStr">
        <is>
          <t>NA</t>
        </is>
      </c>
      <c r="AW30" s="1" t="inlineStr">
        <is>
          <t>NA</t>
        </is>
      </c>
      <c r="AX30" s="1" t="inlineStr">
        <is>
          <t>NA</t>
        </is>
      </c>
      <c r="AY30" s="1" t="inlineStr">
        <is>
          <t>Concluído</t>
        </is>
      </c>
      <c r="AZ30" s="1" t="inlineStr">
        <is>
          <t>Concluído</t>
        </is>
      </c>
      <c r="BA30" s="1" t="inlineStr">
        <is>
          <t>Concluído</t>
        </is>
      </c>
      <c r="BB30" s="131" t="n">
        <v>1</v>
      </c>
      <c r="BC30" s="101" t="n">
        <v>42482</v>
      </c>
      <c r="BD30" s="1" t="inlineStr">
        <is>
          <t>NA</t>
        </is>
      </c>
      <c r="BE30" s="1" t="inlineStr">
        <is>
          <t>NA</t>
        </is>
      </c>
      <c r="BF30" s="1" t="inlineStr">
        <is>
          <t>NA</t>
        </is>
      </c>
      <c r="BG30" s="1" t="inlineStr">
        <is>
          <t>NA</t>
        </is>
      </c>
      <c r="BH30" s="1" t="inlineStr">
        <is>
          <t>NA</t>
        </is>
      </c>
      <c r="BI30" s="1" t="inlineStr">
        <is>
          <t>NA</t>
        </is>
      </c>
      <c r="BJ30" s="1" t="inlineStr">
        <is>
          <t>NA</t>
        </is>
      </c>
      <c r="BK30" s="1" t="inlineStr">
        <is>
          <t>NA</t>
        </is>
      </c>
      <c r="BL30" s="1" t="inlineStr">
        <is>
          <t>NA</t>
        </is>
      </c>
      <c r="BM30" s="1" t="inlineStr">
        <is>
          <t>NA</t>
        </is>
      </c>
      <c r="BN30" s="1" t="inlineStr">
        <is>
          <t>NA</t>
        </is>
      </c>
      <c r="BO30" s="1" t="inlineStr">
        <is>
          <t>NA</t>
        </is>
      </c>
      <c r="BP30" s="1" t="inlineStr">
        <is>
          <t>NA</t>
        </is>
      </c>
      <c r="BQ30" s="1" t="inlineStr">
        <is>
          <t>NA</t>
        </is>
      </c>
      <c r="BR30" s="1" t="inlineStr">
        <is>
          <t>NA</t>
        </is>
      </c>
      <c r="BS30" s="1" t="inlineStr">
        <is>
          <t>NA</t>
        </is>
      </c>
      <c r="BT30" s="101" t="n">
        <v>41341</v>
      </c>
      <c r="BU30" s="818" t="n">
        <v>1800000</v>
      </c>
    </row>
    <row r="31" ht="39.75" customFormat="1" customHeight="1" s="123">
      <c r="A31" s="1" t="inlineStr">
        <is>
          <t>SUL</t>
        </is>
      </c>
      <c r="B31" s="1" t="inlineStr">
        <is>
          <t>RS</t>
        </is>
      </c>
      <c r="C31" s="1" t="inlineStr">
        <is>
          <t>SANTA ROSA</t>
        </is>
      </c>
      <c r="D31" s="1" t="inlineStr">
        <is>
          <t>ASSOCIACAO HOSPITALAR SANTA ROSA</t>
        </is>
      </c>
      <c r="E31" s="124" t="inlineStr">
        <is>
          <t>95815668000101</t>
        </is>
      </c>
      <c r="F31" s="1" t="inlineStr">
        <is>
          <t>HOSPITAL VIDA SAUDE</t>
        </is>
      </c>
      <c r="G31" s="1" t="n">
        <v>2254611</v>
      </c>
      <c r="H31" s="106" t="n">
        <v>-2.78667369780506e+16</v>
      </c>
      <c r="I31" s="106" t="n">
        <v>-5448566436767570</v>
      </c>
      <c r="J31" s="32" t="inlineStr">
        <is>
          <t>Radioterapia - Aquisição de Equipamentos</t>
        </is>
      </c>
      <c r="K31" s="31" t="inlineStr">
        <is>
          <t>NA</t>
        </is>
      </c>
      <c r="L31" s="31" t="inlineStr">
        <is>
          <t>NA</t>
        </is>
      </c>
      <c r="M31" s="1" t="inlineStr">
        <is>
          <t>Convênio</t>
        </is>
      </c>
      <c r="N31" s="1" t="n">
        <v>2011</v>
      </c>
      <c r="O31" s="1" t="n">
        <v>765400</v>
      </c>
      <c r="P31" s="1" t="inlineStr">
        <is>
          <t>NA</t>
        </is>
      </c>
      <c r="Q31" s="1" t="inlineStr">
        <is>
          <t>25000.219131/2011-51</t>
        </is>
      </c>
      <c r="R31" s="1" t="inlineStr">
        <is>
          <t>NA</t>
        </is>
      </c>
      <c r="S31" s="32" t="inlineStr">
        <is>
          <t>NA</t>
        </is>
      </c>
      <c r="T31" s="1" t="inlineStr">
        <is>
          <t>Acelerador Linear</t>
        </is>
      </c>
      <c r="U31" s="1" t="n">
        <v>1</v>
      </c>
      <c r="V31" s="1" t="n">
        <v>1</v>
      </c>
      <c r="W31" s="1" t="inlineStr">
        <is>
          <t>UND</t>
        </is>
      </c>
      <c r="X31" s="1" t="inlineStr">
        <is>
          <t>EQUIPAMENTO</t>
        </is>
      </c>
      <c r="Y31" s="1" t="inlineStr">
        <is>
          <t>NA</t>
        </is>
      </c>
      <c r="Z31" s="1" t="inlineStr">
        <is>
          <t>NA</t>
        </is>
      </c>
      <c r="AA31" s="1" t="inlineStr">
        <is>
          <t>NA</t>
        </is>
      </c>
      <c r="AB31" s="1" t="inlineStr">
        <is>
          <t>NA</t>
        </is>
      </c>
      <c r="AC31" s="1" t="inlineStr">
        <is>
          <t>NA</t>
        </is>
      </c>
      <c r="AD31" s="1" t="inlineStr">
        <is>
          <t>NA</t>
        </is>
      </c>
      <c r="AE31" s="1" t="inlineStr">
        <is>
          <t>NA</t>
        </is>
      </c>
      <c r="AF31" s="1" t="inlineStr">
        <is>
          <t>NA</t>
        </is>
      </c>
      <c r="AG31" s="818" t="n">
        <v>2500000</v>
      </c>
      <c r="AH31" s="818" t="n">
        <v>0</v>
      </c>
      <c r="AI31" s="1" t="inlineStr">
        <is>
          <t>NA</t>
        </is>
      </c>
      <c r="AJ31" s="1" t="inlineStr">
        <is>
          <t>NA</t>
        </is>
      </c>
      <c r="AK31" s="1" t="inlineStr">
        <is>
          <t>NA</t>
        </is>
      </c>
      <c r="AL31" s="1" t="inlineStr">
        <is>
          <t>NA</t>
        </is>
      </c>
      <c r="AM31" s="1" t="inlineStr">
        <is>
          <t>NA</t>
        </is>
      </c>
      <c r="AN31" s="1" t="inlineStr">
        <is>
          <t>NA</t>
        </is>
      </c>
      <c r="AO31" s="1" t="inlineStr">
        <is>
          <t>NA</t>
        </is>
      </c>
      <c r="AP31" s="1" t="inlineStr">
        <is>
          <t>NA</t>
        </is>
      </c>
      <c r="AQ31" s="1" t="inlineStr">
        <is>
          <t>NA</t>
        </is>
      </c>
      <c r="AR31" s="1" t="inlineStr">
        <is>
          <t>NA</t>
        </is>
      </c>
      <c r="AS31" s="1" t="inlineStr">
        <is>
          <t>NA</t>
        </is>
      </c>
      <c r="AT31" s="1" t="inlineStr">
        <is>
          <t>NA</t>
        </is>
      </c>
      <c r="AU31" s="1" t="inlineStr">
        <is>
          <t>NA</t>
        </is>
      </c>
      <c r="AV31" s="1" t="inlineStr">
        <is>
          <t>NA</t>
        </is>
      </c>
      <c r="AW31" s="1" t="inlineStr">
        <is>
          <t>NA</t>
        </is>
      </c>
      <c r="AX31" s="1" t="inlineStr">
        <is>
          <t>NA</t>
        </is>
      </c>
      <c r="AY31" s="1" t="inlineStr">
        <is>
          <t>Concluído</t>
        </is>
      </c>
      <c r="AZ31" s="1" t="inlineStr">
        <is>
          <t>Concluído</t>
        </is>
      </c>
      <c r="BA31" s="1" t="inlineStr">
        <is>
          <t>Concluído</t>
        </is>
      </c>
      <c r="BB31" s="70" t="n">
        <v>1</v>
      </c>
      <c r="BC31" s="101" t="n">
        <v>42564</v>
      </c>
      <c r="BD31" s="1" t="inlineStr">
        <is>
          <t>NA</t>
        </is>
      </c>
      <c r="BE31" s="1" t="inlineStr">
        <is>
          <t>NA</t>
        </is>
      </c>
      <c r="BF31" s="1" t="inlineStr">
        <is>
          <t>NA</t>
        </is>
      </c>
      <c r="BG31" s="1" t="inlineStr">
        <is>
          <t>NA</t>
        </is>
      </c>
      <c r="BH31" s="1" t="inlineStr">
        <is>
          <t>NA</t>
        </is>
      </c>
      <c r="BI31" s="1" t="inlineStr">
        <is>
          <t>NA</t>
        </is>
      </c>
      <c r="BJ31" s="1" t="inlineStr">
        <is>
          <t>NA</t>
        </is>
      </c>
      <c r="BK31" s="1" t="inlineStr">
        <is>
          <t>NA</t>
        </is>
      </c>
      <c r="BL31" s="1" t="inlineStr">
        <is>
          <t>NA</t>
        </is>
      </c>
      <c r="BM31" s="1" t="inlineStr">
        <is>
          <t>NA</t>
        </is>
      </c>
      <c r="BN31" s="1" t="inlineStr">
        <is>
          <t>NA</t>
        </is>
      </c>
      <c r="BO31" s="1" t="inlineStr">
        <is>
          <t>NA</t>
        </is>
      </c>
      <c r="BP31" s="1" t="inlineStr">
        <is>
          <t>NA</t>
        </is>
      </c>
      <c r="BQ31" s="1" t="inlineStr">
        <is>
          <t>NA</t>
        </is>
      </c>
      <c r="BR31" s="1" t="inlineStr">
        <is>
          <t>NA</t>
        </is>
      </c>
      <c r="BS31" s="1" t="inlineStr">
        <is>
          <t>NA</t>
        </is>
      </c>
      <c r="BT31" s="101" t="n">
        <v>41102</v>
      </c>
      <c r="BU31" s="818" t="n">
        <v>2500000</v>
      </c>
    </row>
    <row r="32" ht="39.75" customFormat="1" customHeight="1" s="123">
      <c r="A32" s="1" t="inlineStr">
        <is>
          <t>SUDESTE</t>
        </is>
      </c>
      <c r="B32" s="1" t="inlineStr">
        <is>
          <t>RJ</t>
        </is>
      </c>
      <c r="C32" s="1" t="inlineStr">
        <is>
          <t>CAMPO DOS GOYTACAZES</t>
        </is>
      </c>
      <c r="D32" s="1" t="inlineStr">
        <is>
          <t>FUNDACAO BENEDITO PEREIRA NUNES</t>
        </is>
      </c>
      <c r="E32" s="124" t="inlineStr">
        <is>
          <t>28964252000150</t>
        </is>
      </c>
      <c r="F32" s="1" t="inlineStr">
        <is>
          <t>HOSPITAL ESCOLA ALVARO ALVIM</t>
        </is>
      </c>
      <c r="G32" s="1" t="n">
        <v>2287447</v>
      </c>
      <c r="H32" s="106" t="n">
        <v>-2.17562513040915e+16</v>
      </c>
      <c r="I32" s="106" t="n">
        <v>-4132404327392570</v>
      </c>
      <c r="J32" s="32" t="inlineStr">
        <is>
          <t>Radioterapia - Aquisição de Equipamentos</t>
        </is>
      </c>
      <c r="K32" s="31" t="inlineStr">
        <is>
          <t>NA</t>
        </is>
      </c>
      <c r="L32" s="31" t="inlineStr">
        <is>
          <t>NA</t>
        </is>
      </c>
      <c r="M32" s="1" t="inlineStr">
        <is>
          <t>Convênio</t>
        </is>
      </c>
      <c r="N32" s="1" t="n">
        <v>2011</v>
      </c>
      <c r="O32" s="1" t="n">
        <v>765414</v>
      </c>
      <c r="P32" s="1" t="inlineStr">
        <is>
          <t>NA</t>
        </is>
      </c>
      <c r="Q32" s="1" t="inlineStr">
        <is>
          <t>25000.218221/2011-24</t>
        </is>
      </c>
      <c r="R32" s="1" t="inlineStr">
        <is>
          <t>NA</t>
        </is>
      </c>
      <c r="S32" s="32" t="inlineStr">
        <is>
          <t>NA</t>
        </is>
      </c>
      <c r="T32" s="1" t="inlineStr">
        <is>
          <t>Acelerador Linear</t>
        </is>
      </c>
      <c r="U32" s="1" t="n">
        <v>1</v>
      </c>
      <c r="V32" s="1" t="n">
        <v>1</v>
      </c>
      <c r="W32" s="1" t="inlineStr">
        <is>
          <t>UND</t>
        </is>
      </c>
      <c r="X32" s="1" t="inlineStr">
        <is>
          <t>EQUIPAMENTO</t>
        </is>
      </c>
      <c r="Y32" s="1" t="inlineStr">
        <is>
          <t>NA</t>
        </is>
      </c>
      <c r="Z32" s="1" t="inlineStr">
        <is>
          <t>NA</t>
        </is>
      </c>
      <c r="AA32" s="1" t="inlineStr">
        <is>
          <t>NA</t>
        </is>
      </c>
      <c r="AB32" s="1" t="inlineStr">
        <is>
          <t>NA</t>
        </is>
      </c>
      <c r="AC32" s="1" t="inlineStr">
        <is>
          <t>NA</t>
        </is>
      </c>
      <c r="AD32" s="1" t="inlineStr">
        <is>
          <t>NA</t>
        </is>
      </c>
      <c r="AE32" s="1" t="inlineStr">
        <is>
          <t>NA</t>
        </is>
      </c>
      <c r="AF32" s="1" t="inlineStr">
        <is>
          <t>NA</t>
        </is>
      </c>
      <c r="AG32" s="818" t="n">
        <v>2500000</v>
      </c>
      <c r="AH32" s="818" t="n">
        <v>0</v>
      </c>
      <c r="AI32" s="1" t="inlineStr">
        <is>
          <t>NA</t>
        </is>
      </c>
      <c r="AJ32" s="1" t="inlineStr">
        <is>
          <t>NA</t>
        </is>
      </c>
      <c r="AK32" s="1" t="inlineStr">
        <is>
          <t>NA</t>
        </is>
      </c>
      <c r="AL32" s="1" t="inlineStr">
        <is>
          <t>NA</t>
        </is>
      </c>
      <c r="AM32" s="1" t="inlineStr">
        <is>
          <t>NA</t>
        </is>
      </c>
      <c r="AN32" s="1" t="inlineStr">
        <is>
          <t>NA</t>
        </is>
      </c>
      <c r="AO32" s="1" t="inlineStr">
        <is>
          <t>NA</t>
        </is>
      </c>
      <c r="AP32" s="1" t="inlineStr">
        <is>
          <t>NA</t>
        </is>
      </c>
      <c r="AQ32" s="1" t="inlineStr">
        <is>
          <t>NA</t>
        </is>
      </c>
      <c r="AR32" s="1" t="inlineStr">
        <is>
          <t>NA</t>
        </is>
      </c>
      <c r="AS32" s="1" t="inlineStr">
        <is>
          <t>NA</t>
        </is>
      </c>
      <c r="AT32" s="1" t="inlineStr">
        <is>
          <t>NA</t>
        </is>
      </c>
      <c r="AU32" s="1" t="inlineStr">
        <is>
          <t>NA</t>
        </is>
      </c>
      <c r="AV32" s="1" t="inlineStr">
        <is>
          <t>NA</t>
        </is>
      </c>
      <c r="AW32" s="1" t="inlineStr">
        <is>
          <t>NA</t>
        </is>
      </c>
      <c r="AX32" s="1" t="inlineStr">
        <is>
          <t>NA</t>
        </is>
      </c>
      <c r="AY32" s="1" t="inlineStr">
        <is>
          <t>Concluído</t>
        </is>
      </c>
      <c r="AZ32" s="1" t="inlineStr">
        <is>
          <t>Concluído</t>
        </is>
      </c>
      <c r="BA32" s="1" t="inlineStr">
        <is>
          <t>Concluído</t>
        </is>
      </c>
      <c r="BB32" s="70" t="n">
        <v>1</v>
      </c>
      <c r="BC32" s="101" t="n">
        <v>41879</v>
      </c>
      <c r="BD32" s="1" t="inlineStr">
        <is>
          <t>NA</t>
        </is>
      </c>
      <c r="BE32" s="1" t="inlineStr">
        <is>
          <t>NA</t>
        </is>
      </c>
      <c r="BF32" s="1" t="inlineStr">
        <is>
          <t>NA</t>
        </is>
      </c>
      <c r="BG32" s="1" t="inlineStr">
        <is>
          <t>NA</t>
        </is>
      </c>
      <c r="BH32" s="1" t="inlineStr">
        <is>
          <t>NA</t>
        </is>
      </c>
      <c r="BI32" s="1" t="inlineStr">
        <is>
          <t>NA</t>
        </is>
      </c>
      <c r="BJ32" s="1" t="inlineStr">
        <is>
          <t>NA</t>
        </is>
      </c>
      <c r="BK32" s="1" t="inlineStr">
        <is>
          <t>NA</t>
        </is>
      </c>
      <c r="BL32" s="1" t="inlineStr">
        <is>
          <t>NA</t>
        </is>
      </c>
      <c r="BM32" s="1" t="inlineStr">
        <is>
          <t>NA</t>
        </is>
      </c>
      <c r="BN32" s="1" t="inlineStr">
        <is>
          <t>NA</t>
        </is>
      </c>
      <c r="BO32" s="1" t="inlineStr">
        <is>
          <t>NA</t>
        </is>
      </c>
      <c r="BP32" s="1" t="inlineStr">
        <is>
          <t>NA</t>
        </is>
      </c>
      <c r="BQ32" s="1" t="inlineStr">
        <is>
          <t>NA</t>
        </is>
      </c>
      <c r="BR32" s="1" t="inlineStr">
        <is>
          <t>NA</t>
        </is>
      </c>
      <c r="BS32" s="1" t="inlineStr">
        <is>
          <t>NA</t>
        </is>
      </c>
      <c r="BT32" s="101" t="n">
        <v>41170</v>
      </c>
      <c r="BU32" s="818" t="n">
        <v>2500000</v>
      </c>
    </row>
    <row r="33" ht="39.75" customFormat="1" customHeight="1" s="123">
      <c r="A33" s="1" t="inlineStr">
        <is>
          <t>SUDESTE</t>
        </is>
      </c>
      <c r="B33" s="1" t="inlineStr">
        <is>
          <t>MG</t>
        </is>
      </c>
      <c r="C33" s="1" t="inlineStr">
        <is>
          <t>BELO HORIZONTE</t>
        </is>
      </c>
      <c r="D33" s="1" t="inlineStr">
        <is>
          <t>ASSOCIACAO MARIO PENNA</t>
        </is>
      </c>
      <c r="E33" s="124" t="inlineStr">
        <is>
          <t>17513235000180</t>
        </is>
      </c>
      <c r="F33" s="1" t="inlineStr">
        <is>
          <t>ASSOCIACAO MARIO PENNA HOSPITAL LUXEMBURGO</t>
        </is>
      </c>
      <c r="G33" s="1" t="n">
        <v>2200457</v>
      </c>
      <c r="H33" s="106" t="n">
        <v>-1995058</v>
      </c>
      <c r="I33" s="106" t="n">
        <v>-4395855</v>
      </c>
      <c r="J33" s="32" t="inlineStr">
        <is>
          <t>Radioterapia - Aquisição de Equipamentos</t>
        </is>
      </c>
      <c r="K33" s="31" t="inlineStr">
        <is>
          <t>NA</t>
        </is>
      </c>
      <c r="L33" s="31" t="inlineStr">
        <is>
          <t>NA</t>
        </is>
      </c>
      <c r="M33" s="1" t="inlineStr">
        <is>
          <t>Convênio</t>
        </is>
      </c>
      <c r="N33" s="1" t="n">
        <v>2011</v>
      </c>
      <c r="O33" s="1" t="n">
        <v>765426</v>
      </c>
      <c r="P33" s="1" t="inlineStr">
        <is>
          <t>NA</t>
        </is>
      </c>
      <c r="Q33" s="1" t="inlineStr">
        <is>
          <t>25000.218306/2011-11</t>
        </is>
      </c>
      <c r="R33" s="1" t="inlineStr">
        <is>
          <t>NA</t>
        </is>
      </c>
      <c r="S33" s="32" t="inlineStr">
        <is>
          <t>NA</t>
        </is>
      </c>
      <c r="T33" s="1" t="inlineStr">
        <is>
          <t>Acelerador Linear</t>
        </is>
      </c>
      <c r="U33" s="1" t="n">
        <v>2</v>
      </c>
      <c r="V33" s="1" t="n">
        <v>1</v>
      </c>
      <c r="W33" s="1" t="inlineStr">
        <is>
          <t>UND</t>
        </is>
      </c>
      <c r="X33" s="1" t="inlineStr">
        <is>
          <t>EQUIPAMENTO</t>
        </is>
      </c>
      <c r="Y33" s="1" t="inlineStr">
        <is>
          <t>NA</t>
        </is>
      </c>
      <c r="Z33" s="1" t="inlineStr">
        <is>
          <t>NA</t>
        </is>
      </c>
      <c r="AA33" s="1" t="inlineStr">
        <is>
          <t>NA</t>
        </is>
      </c>
      <c r="AB33" s="1" t="inlineStr">
        <is>
          <t>NA</t>
        </is>
      </c>
      <c r="AC33" s="1" t="inlineStr">
        <is>
          <t>NA</t>
        </is>
      </c>
      <c r="AD33" s="1" t="inlineStr">
        <is>
          <t>NA</t>
        </is>
      </c>
      <c r="AE33" s="1" t="inlineStr">
        <is>
          <t>NA</t>
        </is>
      </c>
      <c r="AF33" s="1" t="inlineStr">
        <is>
          <t>NA</t>
        </is>
      </c>
      <c r="AG33" s="818" t="n">
        <v>5138200</v>
      </c>
      <c r="AH33" s="818" t="n">
        <v>0</v>
      </c>
      <c r="AI33" s="1" t="inlineStr">
        <is>
          <t>NA</t>
        </is>
      </c>
      <c r="AJ33" s="1" t="inlineStr">
        <is>
          <t>NA</t>
        </is>
      </c>
      <c r="AK33" s="1" t="inlineStr">
        <is>
          <t>NA</t>
        </is>
      </c>
      <c r="AL33" s="1" t="inlineStr">
        <is>
          <t>NA</t>
        </is>
      </c>
      <c r="AM33" s="1" t="inlineStr">
        <is>
          <t>NA</t>
        </is>
      </c>
      <c r="AN33" s="1" t="inlineStr">
        <is>
          <t>NA</t>
        </is>
      </c>
      <c r="AO33" s="1" t="inlineStr">
        <is>
          <t>NA</t>
        </is>
      </c>
      <c r="AP33" s="1" t="inlineStr">
        <is>
          <t>NA</t>
        </is>
      </c>
      <c r="AQ33" s="1" t="inlineStr">
        <is>
          <t>NA</t>
        </is>
      </c>
      <c r="AR33" s="1" t="inlineStr">
        <is>
          <t>NA</t>
        </is>
      </c>
      <c r="AS33" s="1" t="inlineStr">
        <is>
          <t>NA</t>
        </is>
      </c>
      <c r="AT33" s="1" t="inlineStr">
        <is>
          <t>NA</t>
        </is>
      </c>
      <c r="AU33" s="1" t="inlineStr">
        <is>
          <t>NA</t>
        </is>
      </c>
      <c r="AV33" s="1" t="inlineStr">
        <is>
          <t>NA</t>
        </is>
      </c>
      <c r="AW33" s="1" t="inlineStr">
        <is>
          <t>NA</t>
        </is>
      </c>
      <c r="AX33" s="1" t="inlineStr">
        <is>
          <t>NA</t>
        </is>
      </c>
      <c r="AY33" s="1" t="inlineStr">
        <is>
          <t>Concluído</t>
        </is>
      </c>
      <c r="AZ33" s="1" t="inlineStr">
        <is>
          <t>Concluído</t>
        </is>
      </c>
      <c r="BA33" s="1" t="inlineStr">
        <is>
          <t>Concluído</t>
        </is>
      </c>
      <c r="BB33" s="70" t="n">
        <v>1</v>
      </c>
      <c r="BC33" s="101" t="n">
        <v>42735</v>
      </c>
      <c r="BD33" s="1" t="inlineStr">
        <is>
          <t>NA</t>
        </is>
      </c>
      <c r="BE33" s="1" t="inlineStr">
        <is>
          <t>NA</t>
        </is>
      </c>
      <c r="BF33" s="1" t="inlineStr">
        <is>
          <t>NA</t>
        </is>
      </c>
      <c r="BG33" s="1" t="inlineStr">
        <is>
          <t>NA</t>
        </is>
      </c>
      <c r="BH33" s="1" t="inlineStr">
        <is>
          <t>NA</t>
        </is>
      </c>
      <c r="BI33" s="1" t="inlineStr">
        <is>
          <t>NA</t>
        </is>
      </c>
      <c r="BJ33" s="1" t="inlineStr">
        <is>
          <t>NA</t>
        </is>
      </c>
      <c r="BK33" s="1" t="inlineStr">
        <is>
          <t>NA</t>
        </is>
      </c>
      <c r="BL33" s="1" t="inlineStr">
        <is>
          <t>NA</t>
        </is>
      </c>
      <c r="BM33" s="1" t="inlineStr">
        <is>
          <t>NA</t>
        </is>
      </c>
      <c r="BN33" s="1" t="inlineStr">
        <is>
          <t>NA</t>
        </is>
      </c>
      <c r="BO33" s="1" t="inlineStr">
        <is>
          <t>NA</t>
        </is>
      </c>
      <c r="BP33" s="1" t="inlineStr">
        <is>
          <t>NA</t>
        </is>
      </c>
      <c r="BQ33" s="1" t="inlineStr">
        <is>
          <t>NA</t>
        </is>
      </c>
      <c r="BR33" s="1" t="inlineStr">
        <is>
          <t>NA</t>
        </is>
      </c>
      <c r="BS33" s="1" t="inlineStr">
        <is>
          <t>NA</t>
        </is>
      </c>
      <c r="BT33" s="101" t="n">
        <v>41554</v>
      </c>
      <c r="BU33" s="818" t="n">
        <v>5138200</v>
      </c>
    </row>
    <row r="34" ht="39.75" customFormat="1" customHeight="1" s="123">
      <c r="A34" s="1" t="inlineStr">
        <is>
          <t>SUDESTE</t>
        </is>
      </c>
      <c r="B34" s="1" t="inlineStr">
        <is>
          <t>SP</t>
        </is>
      </c>
      <c r="C34" s="1" t="inlineStr">
        <is>
          <t>CATANDUVA</t>
        </is>
      </c>
      <c r="D34" s="1" t="inlineStr">
        <is>
          <t>FUNDACAO PADRE ALBINO</t>
        </is>
      </c>
      <c r="E34" s="124" t="inlineStr">
        <is>
          <t>47074851000908</t>
        </is>
      </c>
      <c r="F34" s="1" t="inlineStr">
        <is>
          <t>HOSPITAL ESCOLA EMILIO CARLOS CATANDUVA</t>
        </is>
      </c>
      <c r="G34" s="1" t="n">
        <v>2089335</v>
      </c>
      <c r="H34" s="106" t="n">
        <v>-21149379</v>
      </c>
      <c r="I34" s="106" t="n">
        <v>-48958702</v>
      </c>
      <c r="J34" s="32" t="inlineStr">
        <is>
          <t>Radioterapia - Aquisição de Equipamentos</t>
        </is>
      </c>
      <c r="K34" s="31" t="inlineStr">
        <is>
          <t>NA</t>
        </is>
      </c>
      <c r="L34" s="31" t="inlineStr">
        <is>
          <t>NA</t>
        </is>
      </c>
      <c r="M34" s="1" t="inlineStr">
        <is>
          <t>Convênio</t>
        </is>
      </c>
      <c r="N34" s="1" t="n">
        <v>2011</v>
      </c>
      <c r="O34" s="1" t="n">
        <v>765405</v>
      </c>
      <c r="P34" s="1" t="inlineStr">
        <is>
          <t>NA</t>
        </is>
      </c>
      <c r="Q34" s="1" t="inlineStr">
        <is>
          <t>25000.219318/2011-54</t>
        </is>
      </c>
      <c r="R34" s="1" t="inlineStr">
        <is>
          <t>NA</t>
        </is>
      </c>
      <c r="S34" s="32" t="inlineStr">
        <is>
          <t>NA</t>
        </is>
      </c>
      <c r="T34" s="1" t="inlineStr">
        <is>
          <t>Acelerador Linear</t>
        </is>
      </c>
      <c r="U34" s="1" t="n">
        <v>1</v>
      </c>
      <c r="V34" s="1" t="n">
        <v>1</v>
      </c>
      <c r="W34" s="1" t="inlineStr">
        <is>
          <t>UND</t>
        </is>
      </c>
      <c r="X34" s="1" t="inlineStr">
        <is>
          <t>EQUIPAMENTO</t>
        </is>
      </c>
      <c r="Y34" s="1" t="inlineStr">
        <is>
          <t>NA</t>
        </is>
      </c>
      <c r="Z34" s="1" t="inlineStr">
        <is>
          <t>NA</t>
        </is>
      </c>
      <c r="AA34" s="1" t="inlineStr">
        <is>
          <t>NA</t>
        </is>
      </c>
      <c r="AB34" s="1" t="inlineStr">
        <is>
          <t>NA</t>
        </is>
      </c>
      <c r="AC34" s="1" t="inlineStr">
        <is>
          <t>NA</t>
        </is>
      </c>
      <c r="AD34" s="1" t="inlineStr">
        <is>
          <t>NA</t>
        </is>
      </c>
      <c r="AE34" s="1" t="inlineStr">
        <is>
          <t>NA</t>
        </is>
      </c>
      <c r="AF34" s="1" t="inlineStr">
        <is>
          <t>NA</t>
        </is>
      </c>
      <c r="AG34" s="818" t="n">
        <v>3053430</v>
      </c>
      <c r="AH34" s="818" t="n">
        <v>499519.18</v>
      </c>
      <c r="AI34" s="1" t="inlineStr">
        <is>
          <t>NA</t>
        </is>
      </c>
      <c r="AJ34" s="1" t="inlineStr">
        <is>
          <t>NA</t>
        </is>
      </c>
      <c r="AK34" s="1" t="inlineStr">
        <is>
          <t>NA</t>
        </is>
      </c>
      <c r="AL34" s="1" t="inlineStr">
        <is>
          <t>NA</t>
        </is>
      </c>
      <c r="AM34" s="1" t="inlineStr">
        <is>
          <t>NA</t>
        </is>
      </c>
      <c r="AN34" s="1" t="inlineStr">
        <is>
          <t>NA</t>
        </is>
      </c>
      <c r="AO34" s="1" t="inlineStr">
        <is>
          <t>NA</t>
        </is>
      </c>
      <c r="AP34" s="1" t="inlineStr">
        <is>
          <t>NA</t>
        </is>
      </c>
      <c r="AQ34" s="1" t="inlineStr">
        <is>
          <t>NA</t>
        </is>
      </c>
      <c r="AR34" s="1" t="inlineStr">
        <is>
          <t>NA</t>
        </is>
      </c>
      <c r="AS34" s="1" t="inlineStr">
        <is>
          <t>NA</t>
        </is>
      </c>
      <c r="AT34" s="1" t="inlineStr">
        <is>
          <t>NA</t>
        </is>
      </c>
      <c r="AU34" s="1" t="inlineStr">
        <is>
          <t>NA</t>
        </is>
      </c>
      <c r="AV34" s="1" t="inlineStr">
        <is>
          <t>NA</t>
        </is>
      </c>
      <c r="AW34" s="1" t="inlineStr">
        <is>
          <t>NA</t>
        </is>
      </c>
      <c r="AX34" s="1" t="inlineStr">
        <is>
          <t>NA</t>
        </is>
      </c>
      <c r="AY34" s="1" t="inlineStr">
        <is>
          <t>Concluído</t>
        </is>
      </c>
      <c r="AZ34" s="1" t="inlineStr">
        <is>
          <t>Concluído</t>
        </is>
      </c>
      <c r="BA34" s="1" t="inlineStr">
        <is>
          <t>Concluído</t>
        </is>
      </c>
      <c r="BB34" s="70" t="n">
        <v>1</v>
      </c>
      <c r="BC34" s="101" t="n">
        <v>43097</v>
      </c>
      <c r="BD34" s="1" t="inlineStr">
        <is>
          <t>NA</t>
        </is>
      </c>
      <c r="BE34" s="1" t="inlineStr">
        <is>
          <t>NA</t>
        </is>
      </c>
      <c r="BF34" s="1" t="inlineStr">
        <is>
          <t>NA</t>
        </is>
      </c>
      <c r="BG34" s="1" t="inlineStr">
        <is>
          <t>NA</t>
        </is>
      </c>
      <c r="BH34" s="1" t="inlineStr">
        <is>
          <t>NA</t>
        </is>
      </c>
      <c r="BI34" s="1" t="inlineStr">
        <is>
          <t>NA</t>
        </is>
      </c>
      <c r="BJ34" s="1" t="inlineStr">
        <is>
          <t>NA</t>
        </is>
      </c>
      <c r="BK34" s="1" t="inlineStr">
        <is>
          <t>NA</t>
        </is>
      </c>
      <c r="BL34" s="1" t="inlineStr">
        <is>
          <t>NA</t>
        </is>
      </c>
      <c r="BM34" s="1" t="inlineStr">
        <is>
          <t>NA</t>
        </is>
      </c>
      <c r="BN34" s="1" t="inlineStr">
        <is>
          <t>NA</t>
        </is>
      </c>
      <c r="BO34" s="1" t="inlineStr">
        <is>
          <t>NA</t>
        </is>
      </c>
      <c r="BP34" s="1" t="inlineStr">
        <is>
          <t>NA</t>
        </is>
      </c>
      <c r="BQ34" s="1" t="inlineStr">
        <is>
          <t>NA</t>
        </is>
      </c>
      <c r="BR34" s="1" t="inlineStr">
        <is>
          <t>NA</t>
        </is>
      </c>
      <c r="BS34" s="1" t="inlineStr">
        <is>
          <t>NA</t>
        </is>
      </c>
      <c r="BT34" s="101" t="n">
        <v>42278</v>
      </c>
      <c r="BU34" s="818" t="n">
        <v>2142990</v>
      </c>
    </row>
    <row r="35" ht="39.75" customFormat="1" customHeight="1" s="123">
      <c r="A35" s="1" t="inlineStr">
        <is>
          <t>SUDESTE</t>
        </is>
      </c>
      <c r="B35" s="1" t="inlineStr">
        <is>
          <t>MG</t>
        </is>
      </c>
      <c r="C35" s="1" t="inlineStr">
        <is>
          <t>BARBACENA</t>
        </is>
      </c>
      <c r="D35" s="1" t="inlineStr">
        <is>
          <t>CENTRO BARBACENENSE DE ASSISTENCIA MEDICA E SOCIAL</t>
        </is>
      </c>
      <c r="E35" s="124" t="inlineStr">
        <is>
          <t>19557487000136</t>
        </is>
      </c>
      <c r="F35" s="1" t="inlineStr">
        <is>
          <t>HOSPITAL IBIAPABA CEBAMS</t>
        </is>
      </c>
      <c r="G35" s="1" t="n">
        <v>2098938</v>
      </c>
      <c r="H35" s="106" t="n">
        <v>-2.12209411397969e+16</v>
      </c>
      <c r="I35" s="106" t="n">
        <v>-4.37786507606506e+16</v>
      </c>
      <c r="J35" s="32" t="inlineStr">
        <is>
          <t>Radioterapia - Aquisição de Equipamentos</t>
        </is>
      </c>
      <c r="K35" s="31" t="inlineStr">
        <is>
          <t>NA</t>
        </is>
      </c>
      <c r="L35" s="31" t="inlineStr">
        <is>
          <t>NA</t>
        </is>
      </c>
      <c r="M35" s="1" t="inlineStr">
        <is>
          <t>Convênio</t>
        </is>
      </c>
      <c r="N35" s="1" t="n">
        <v>2011</v>
      </c>
      <c r="O35" s="1" t="n">
        <v>762119</v>
      </c>
      <c r="P35" s="1" t="inlineStr">
        <is>
          <t>NA</t>
        </is>
      </c>
      <c r="Q35" s="1" t="inlineStr">
        <is>
          <t>25000.210649/2011-29</t>
        </is>
      </c>
      <c r="R35" s="1" t="inlineStr">
        <is>
          <t>NA</t>
        </is>
      </c>
      <c r="S35" s="32" t="inlineStr">
        <is>
          <t>NA</t>
        </is>
      </c>
      <c r="T35" s="1" t="inlineStr">
        <is>
          <t>Acelerador Linear</t>
        </is>
      </c>
      <c r="U35" s="1" t="n">
        <v>1</v>
      </c>
      <c r="V35" s="1" t="n">
        <v>1</v>
      </c>
      <c r="W35" s="1" t="inlineStr">
        <is>
          <t>UND</t>
        </is>
      </c>
      <c r="X35" s="1" t="inlineStr">
        <is>
          <t>EQUIPAMENTO</t>
        </is>
      </c>
      <c r="Y35" s="1" t="inlineStr">
        <is>
          <t>NA</t>
        </is>
      </c>
      <c r="Z35" s="1" t="inlineStr">
        <is>
          <t>NA</t>
        </is>
      </c>
      <c r="AA35" s="1" t="inlineStr">
        <is>
          <t>NA</t>
        </is>
      </c>
      <c r="AB35" s="1" t="inlineStr">
        <is>
          <t>NA</t>
        </is>
      </c>
      <c r="AC35" s="1" t="inlineStr">
        <is>
          <t>NA</t>
        </is>
      </c>
      <c r="AD35" s="1" t="inlineStr">
        <is>
          <t>NA</t>
        </is>
      </c>
      <c r="AE35" s="1" t="inlineStr">
        <is>
          <t>NA</t>
        </is>
      </c>
      <c r="AF35" s="1" t="inlineStr">
        <is>
          <t>NA</t>
        </is>
      </c>
      <c r="AG35" s="818" t="n">
        <v>2600000</v>
      </c>
      <c r="AH35" s="818" t="n">
        <v>0</v>
      </c>
      <c r="AI35" s="1" t="inlineStr">
        <is>
          <t>NA</t>
        </is>
      </c>
      <c r="AJ35" s="1" t="inlineStr">
        <is>
          <t>NA</t>
        </is>
      </c>
      <c r="AK35" s="1" t="inlineStr">
        <is>
          <t>NA</t>
        </is>
      </c>
      <c r="AL35" s="1" t="inlineStr">
        <is>
          <t>NA</t>
        </is>
      </c>
      <c r="AM35" s="1" t="inlineStr">
        <is>
          <t>NA</t>
        </is>
      </c>
      <c r="AN35" s="1" t="inlineStr">
        <is>
          <t>NA</t>
        </is>
      </c>
      <c r="AO35" s="1" t="inlineStr">
        <is>
          <t>NA</t>
        </is>
      </c>
      <c r="AP35" s="1" t="inlineStr">
        <is>
          <t>NA</t>
        </is>
      </c>
      <c r="AQ35" s="1" t="inlineStr">
        <is>
          <t>NA</t>
        </is>
      </c>
      <c r="AR35" s="1" t="inlineStr">
        <is>
          <t>NA</t>
        </is>
      </c>
      <c r="AS35" s="1" t="inlineStr">
        <is>
          <t>NA</t>
        </is>
      </c>
      <c r="AT35" s="1" t="inlineStr">
        <is>
          <t>NA</t>
        </is>
      </c>
      <c r="AU35" s="1" t="inlineStr">
        <is>
          <t>NA</t>
        </is>
      </c>
      <c r="AV35" s="1" t="inlineStr">
        <is>
          <t>NA</t>
        </is>
      </c>
      <c r="AW35" s="1" t="inlineStr">
        <is>
          <t>NA</t>
        </is>
      </c>
      <c r="AX35" s="1" t="inlineStr">
        <is>
          <t>NA</t>
        </is>
      </c>
      <c r="AY35" s="1" t="inlineStr">
        <is>
          <t>Concluído</t>
        </is>
      </c>
      <c r="AZ35" s="1" t="inlineStr">
        <is>
          <t>Concluído</t>
        </is>
      </c>
      <c r="BA35" s="1" t="inlineStr">
        <is>
          <t>Concluído</t>
        </is>
      </c>
      <c r="BB35" s="70" t="n">
        <v>1</v>
      </c>
      <c r="BC35" s="101" t="n">
        <v>43462</v>
      </c>
      <c r="BD35" s="1" t="inlineStr">
        <is>
          <t>NA</t>
        </is>
      </c>
      <c r="BE35" s="1" t="inlineStr">
        <is>
          <t>NA</t>
        </is>
      </c>
      <c r="BF35" s="1" t="inlineStr">
        <is>
          <t>NA</t>
        </is>
      </c>
      <c r="BG35" s="1" t="inlineStr">
        <is>
          <t>NA</t>
        </is>
      </c>
      <c r="BH35" s="1" t="inlineStr">
        <is>
          <t>Execução integral, com prestação de contas atrasada</t>
        </is>
      </c>
      <c r="BI35" s="1" t="inlineStr">
        <is>
          <t>NA</t>
        </is>
      </c>
      <c r="BJ35" s="1" t="inlineStr">
        <is>
          <t>NA</t>
        </is>
      </c>
      <c r="BK35" s="1" t="inlineStr">
        <is>
          <t>NA</t>
        </is>
      </c>
      <c r="BL35" s="1" t="inlineStr">
        <is>
          <t>NA</t>
        </is>
      </c>
      <c r="BM35" s="1" t="inlineStr">
        <is>
          <t>NA</t>
        </is>
      </c>
      <c r="BN35" s="1" t="inlineStr">
        <is>
          <t>NA</t>
        </is>
      </c>
      <c r="BO35" s="1" t="inlineStr">
        <is>
          <t>NA</t>
        </is>
      </c>
      <c r="BP35" s="1" t="inlineStr">
        <is>
          <t>NA</t>
        </is>
      </c>
      <c r="BQ35" s="1" t="inlineStr">
        <is>
          <t>NA</t>
        </is>
      </c>
      <c r="BR35" s="1" t="inlineStr">
        <is>
          <t>NA</t>
        </is>
      </c>
      <c r="BS35" s="1" t="inlineStr">
        <is>
          <t>NA</t>
        </is>
      </c>
      <c r="BT35" s="101" t="n">
        <v>41227</v>
      </c>
      <c r="BU35" s="818" t="n">
        <v>2600000</v>
      </c>
    </row>
    <row r="36" ht="39.75" customFormat="1" customHeight="1" s="123">
      <c r="A36" s="1" t="inlineStr">
        <is>
          <t>SUDESTE</t>
        </is>
      </c>
      <c r="B36" s="1" t="inlineStr">
        <is>
          <t>SP</t>
        </is>
      </c>
      <c r="C36" s="1" t="inlineStr">
        <is>
          <t>SANTOS</t>
        </is>
      </c>
      <c r="D36" s="1" t="inlineStr">
        <is>
          <t>IRMANDADE DA SANTA CASA DA MISERICORDIA DE SANTOS</t>
        </is>
      </c>
      <c r="E36" s="124" t="inlineStr">
        <is>
          <t>58198524000119</t>
        </is>
      </c>
      <c r="F36" s="1" t="inlineStr">
        <is>
          <t>SANTA CASA DE SANTOS</t>
        </is>
      </c>
      <c r="G36" s="1" t="n">
        <v>2025752</v>
      </c>
      <c r="H36" s="106" t="n">
        <v>-239453045</v>
      </c>
      <c r="I36" s="106" t="n">
        <v>-4633651151391550</v>
      </c>
      <c r="J36" s="32" t="inlineStr">
        <is>
          <t>Radioterapia - Aquisição de Equipamentos</t>
        </is>
      </c>
      <c r="K36" s="31" t="inlineStr">
        <is>
          <t>NA</t>
        </is>
      </c>
      <c r="L36" s="31" t="inlineStr">
        <is>
          <t>NA</t>
        </is>
      </c>
      <c r="M36" s="1" t="inlineStr">
        <is>
          <t>Convênio</t>
        </is>
      </c>
      <c r="N36" s="1" t="n">
        <v>2011</v>
      </c>
      <c r="O36" s="1" t="n">
        <v>765399</v>
      </c>
      <c r="P36" s="1" t="inlineStr">
        <is>
          <t>NA</t>
        </is>
      </c>
      <c r="Q36" s="1" t="inlineStr">
        <is>
          <t>25000.219288/2011-86</t>
        </is>
      </c>
      <c r="R36" s="1" t="inlineStr">
        <is>
          <t>NA</t>
        </is>
      </c>
      <c r="S36" s="32" t="inlineStr">
        <is>
          <t>NA</t>
        </is>
      </c>
      <c r="T36" s="1" t="inlineStr">
        <is>
          <t>Acelerador Linear</t>
        </is>
      </c>
      <c r="U36" s="1" t="n">
        <v>1</v>
      </c>
      <c r="V36" s="1" t="n">
        <v>1</v>
      </c>
      <c r="W36" s="1" t="inlineStr">
        <is>
          <t>UND</t>
        </is>
      </c>
      <c r="X36" s="1" t="inlineStr">
        <is>
          <t>EQUIPAMENTO</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818" t="n">
        <v>5835987.08</v>
      </c>
      <c r="AH36" s="818" t="n">
        <v>471093.05</v>
      </c>
      <c r="AI36" s="1" t="inlineStr">
        <is>
          <t>NA</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NA</t>
        </is>
      </c>
      <c r="AS36" s="1" t="inlineStr">
        <is>
          <t>NA</t>
        </is>
      </c>
      <c r="AT36" s="1" t="inlineStr">
        <is>
          <t>NA</t>
        </is>
      </c>
      <c r="AU36" s="1" t="inlineStr">
        <is>
          <t>NA</t>
        </is>
      </c>
      <c r="AV36" s="1" t="inlineStr">
        <is>
          <t>NA</t>
        </is>
      </c>
      <c r="AW36" s="1" t="inlineStr">
        <is>
          <t>NA</t>
        </is>
      </c>
      <c r="AX36" s="1" t="inlineStr">
        <is>
          <t>NA</t>
        </is>
      </c>
      <c r="AY36" s="1" t="inlineStr">
        <is>
          <t>Concluído</t>
        </is>
      </c>
      <c r="AZ36" s="1" t="inlineStr">
        <is>
          <t>Concluído</t>
        </is>
      </c>
      <c r="BA36" s="1" t="inlineStr">
        <is>
          <t>Concluído</t>
        </is>
      </c>
      <c r="BB36" s="70" t="n">
        <v>1</v>
      </c>
      <c r="BC36" s="101" t="n">
        <v>44561</v>
      </c>
      <c r="BD36" s="1" t="inlineStr">
        <is>
          <t>NA</t>
        </is>
      </c>
      <c r="BE36" s="1" t="inlineStr">
        <is>
          <t>NA</t>
        </is>
      </c>
      <c r="BF36" s="1" t="inlineStr">
        <is>
          <t>NA</t>
        </is>
      </c>
      <c r="BG36" s="1" t="inlineStr">
        <is>
          <t>NA</t>
        </is>
      </c>
      <c r="BH36" s="1" t="inlineStr">
        <is>
          <t>NA</t>
        </is>
      </c>
      <c r="BI36" s="1" t="inlineStr">
        <is>
          <t>NA</t>
        </is>
      </c>
      <c r="BJ36" s="1" t="inlineStr">
        <is>
          <t>NA</t>
        </is>
      </c>
      <c r="BK36" s="1" t="inlineStr">
        <is>
          <t>NA</t>
        </is>
      </c>
      <c r="BL36" s="1" t="inlineStr">
        <is>
          <t>NA</t>
        </is>
      </c>
      <c r="BM36" s="1" t="inlineStr">
        <is>
          <t>NA</t>
        </is>
      </c>
      <c r="BN36" s="1" t="inlineStr">
        <is>
          <t>NA</t>
        </is>
      </c>
      <c r="BO36" s="1" t="inlineStr">
        <is>
          <t>NA</t>
        </is>
      </c>
      <c r="BP36" s="1" t="inlineStr">
        <is>
          <t>NA</t>
        </is>
      </c>
      <c r="BQ36" s="1" t="inlineStr">
        <is>
          <t>NA</t>
        </is>
      </c>
      <c r="BR36" s="1" t="inlineStr">
        <is>
          <t>NA</t>
        </is>
      </c>
      <c r="BS36" s="1" t="inlineStr">
        <is>
          <t>NA</t>
        </is>
      </c>
      <c r="BT36" s="101" t="n">
        <v>41502</v>
      </c>
      <c r="BU36" s="818" t="n">
        <v>2900000</v>
      </c>
    </row>
    <row r="37" ht="39.75" customFormat="1" customHeight="1" s="123">
      <c r="A37" s="1" t="inlineStr">
        <is>
          <t>NORDESTE</t>
        </is>
      </c>
      <c r="B37" s="1" t="inlineStr">
        <is>
          <t>SE</t>
        </is>
      </c>
      <c r="C37" s="1" t="inlineStr">
        <is>
          <t>ARACAJU</t>
        </is>
      </c>
      <c r="D37" s="1" t="inlineStr">
        <is>
          <t>FUNDACAO DE BENEFICENCIA HOSPITAL DE CIRURGIA</t>
        </is>
      </c>
      <c r="E37" s="124" t="inlineStr">
        <is>
          <t>13016332000106</t>
        </is>
      </c>
      <c r="F37" s="1" t="inlineStr">
        <is>
          <t>HOSPITAL DE CIRURGIA</t>
        </is>
      </c>
      <c r="G37" s="122" t="inlineStr">
        <is>
          <t>0002283</t>
        </is>
      </c>
      <c r="H37" s="106" t="n">
        <v>-1.09184800235664e+16</v>
      </c>
      <c r="I37" s="106" t="n">
        <v>-3707058548927300</v>
      </c>
      <c r="J37" s="32" t="inlineStr">
        <is>
          <t>Radioterapia - Aquisição de Equipamentos</t>
        </is>
      </c>
      <c r="K37" s="31" t="inlineStr">
        <is>
          <t>NA</t>
        </is>
      </c>
      <c r="L37" s="31" t="inlineStr">
        <is>
          <t>NA</t>
        </is>
      </c>
      <c r="M37" s="1" t="inlineStr">
        <is>
          <t>Convênio</t>
        </is>
      </c>
      <c r="N37" s="1" t="n">
        <v>2011</v>
      </c>
      <c r="O37" s="1" t="n">
        <v>765777</v>
      </c>
      <c r="P37" s="1" t="inlineStr">
        <is>
          <t>NA</t>
        </is>
      </c>
      <c r="Q37" s="1" t="inlineStr">
        <is>
          <t>25000.221093/2011-04</t>
        </is>
      </c>
      <c r="R37" s="1" t="inlineStr">
        <is>
          <t>NA</t>
        </is>
      </c>
      <c r="S37" s="32" t="inlineStr">
        <is>
          <t>NA</t>
        </is>
      </c>
      <c r="T37" s="1" t="inlineStr">
        <is>
          <t>Acelerador Linear</t>
        </is>
      </c>
      <c r="U37" s="1" t="n">
        <v>4</v>
      </c>
      <c r="V37" s="1" t="n">
        <v>1</v>
      </c>
      <c r="W37" s="1" t="inlineStr">
        <is>
          <t>UND</t>
        </is>
      </c>
      <c r="X37" s="1" t="inlineStr">
        <is>
          <t>EQUIPAMENTO</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818" t="n">
        <v>5964216.25</v>
      </c>
      <c r="AH37" s="818" t="n">
        <v>0</v>
      </c>
      <c r="AI37" s="1" t="inlineStr">
        <is>
          <t>NA</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NA</t>
        </is>
      </c>
      <c r="AS37" s="1" t="inlineStr">
        <is>
          <t>NA</t>
        </is>
      </c>
      <c r="AT37" s="1" t="inlineStr">
        <is>
          <t>NA</t>
        </is>
      </c>
      <c r="AU37" s="1" t="inlineStr">
        <is>
          <t>NA</t>
        </is>
      </c>
      <c r="AV37" s="1" t="inlineStr">
        <is>
          <t>NA</t>
        </is>
      </c>
      <c r="AW37" s="1" t="inlineStr">
        <is>
          <t>NA</t>
        </is>
      </c>
      <c r="AX37" s="1" t="inlineStr">
        <is>
          <t>NA</t>
        </is>
      </c>
      <c r="AY37" s="1" t="inlineStr">
        <is>
          <t>Concluído</t>
        </is>
      </c>
      <c r="AZ37" s="1" t="inlineStr">
        <is>
          <t>Concluído</t>
        </is>
      </c>
      <c r="BA37" s="1" t="inlineStr">
        <is>
          <t>Concluído</t>
        </is>
      </c>
      <c r="BB37" s="70" t="n">
        <v>1</v>
      </c>
      <c r="BC37" s="101" t="n">
        <v>44286</v>
      </c>
      <c r="BD37" s="1" t="inlineStr">
        <is>
          <t>NA</t>
        </is>
      </c>
      <c r="BE37" s="1" t="inlineStr">
        <is>
          <t>NA</t>
        </is>
      </c>
      <c r="BF37" s="1" t="inlineStr">
        <is>
          <t>NA</t>
        </is>
      </c>
      <c r="BG37" s="1" t="inlineStr">
        <is>
          <t>NA</t>
        </is>
      </c>
      <c r="BH37" s="1" t="inlineStr">
        <is>
          <t>Execução integral, objetivos cumpridos, com falhas na execução financeira</t>
        </is>
      </c>
      <c r="BI37" s="1" t="inlineStr">
        <is>
          <t>NA</t>
        </is>
      </c>
      <c r="BJ37" s="1" t="inlineStr">
        <is>
          <t>NA</t>
        </is>
      </c>
      <c r="BK37" s="1" t="inlineStr">
        <is>
          <t>NA</t>
        </is>
      </c>
      <c r="BL37" s="1" t="inlineStr">
        <is>
          <t>NA</t>
        </is>
      </c>
      <c r="BM37" s="1" t="inlineStr">
        <is>
          <t>NA</t>
        </is>
      </c>
      <c r="BN37" s="1" t="inlineStr">
        <is>
          <t>NA</t>
        </is>
      </c>
      <c r="BO37" s="1" t="inlineStr">
        <is>
          <t>NA</t>
        </is>
      </c>
      <c r="BP37" s="1" t="inlineStr">
        <is>
          <t>NA</t>
        </is>
      </c>
      <c r="BQ37" s="1" t="inlineStr">
        <is>
          <t>NA</t>
        </is>
      </c>
      <c r="BR37" s="1" t="inlineStr">
        <is>
          <t>NA</t>
        </is>
      </c>
      <c r="BS37" s="1" t="inlineStr">
        <is>
          <t>NA</t>
        </is>
      </c>
      <c r="BT37" s="101" t="n">
        <v>41467</v>
      </c>
      <c r="BU37" s="818" t="n">
        <v>5535558.78</v>
      </c>
    </row>
    <row r="38" ht="39.75" customFormat="1" customHeight="1" s="123">
      <c r="A38" s="1" t="inlineStr">
        <is>
          <t>SUDESTE</t>
        </is>
      </c>
      <c r="B38" s="1" t="inlineStr">
        <is>
          <t>SP</t>
        </is>
      </c>
      <c r="C38" s="1" t="inlineStr">
        <is>
          <t>SAO JOSE DO RIO PRETO</t>
        </is>
      </c>
      <c r="D38" s="1" t="inlineStr">
        <is>
          <t>FUNDACAO FACULDADE REGIONAL DE MEDICINA DE SAO JOSE DO RIO PRETO</t>
        </is>
      </c>
      <c r="E38" s="124" t="inlineStr">
        <is>
          <t>60003761000129</t>
        </is>
      </c>
      <c r="F38" s="1" t="inlineStr">
        <is>
          <t>HOSPITAL DE BASE DE SAO JOSE DO RIO PRETO</t>
        </is>
      </c>
      <c r="G38" s="1" t="n">
        <v>2077396</v>
      </c>
      <c r="H38" s="106" t="n">
        <v>-20828151</v>
      </c>
      <c r="I38" s="106" t="n">
        <v>-49397609</v>
      </c>
      <c r="J38" s="32" t="inlineStr">
        <is>
          <t>Radioterapia - Aquisição de Equipamentos</t>
        </is>
      </c>
      <c r="K38" s="31" t="inlineStr">
        <is>
          <t>NA</t>
        </is>
      </c>
      <c r="L38" s="31" t="inlineStr">
        <is>
          <t>NA</t>
        </is>
      </c>
      <c r="M38" s="1" t="inlineStr">
        <is>
          <t>Convênio</t>
        </is>
      </c>
      <c r="N38" s="1" t="n">
        <v>2012</v>
      </c>
      <c r="O38" s="1" t="n">
        <v>775494</v>
      </c>
      <c r="P38" s="1" t="inlineStr">
        <is>
          <t>NA</t>
        </is>
      </c>
      <c r="Q38" s="1" t="inlineStr">
        <is>
          <t>25000.140072/2012-61</t>
        </is>
      </c>
      <c r="R38" s="1" t="inlineStr">
        <is>
          <t>NA</t>
        </is>
      </c>
      <c r="S38" s="32" t="inlineStr">
        <is>
          <t>NA</t>
        </is>
      </c>
      <c r="T38" s="1" t="inlineStr">
        <is>
          <t>Acelerador Linear</t>
        </is>
      </c>
      <c r="U38" s="1" t="n">
        <v>1</v>
      </c>
      <c r="V38" s="1" t="n">
        <v>1</v>
      </c>
      <c r="W38" s="1" t="inlineStr">
        <is>
          <t>UND</t>
        </is>
      </c>
      <c r="X38" s="1" t="inlineStr">
        <is>
          <t>EQUIPAMENTO</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818" t="n">
        <v>4000000</v>
      </c>
      <c r="AH38" s="818" t="n">
        <v>0</v>
      </c>
      <c r="AI38" s="1" t="inlineStr">
        <is>
          <t>NA</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NA</t>
        </is>
      </c>
      <c r="AS38" s="1" t="inlineStr">
        <is>
          <t>NA</t>
        </is>
      </c>
      <c r="AT38" s="1" t="inlineStr">
        <is>
          <t>NA</t>
        </is>
      </c>
      <c r="AU38" s="1" t="inlineStr">
        <is>
          <t>NA</t>
        </is>
      </c>
      <c r="AV38" s="1" t="inlineStr">
        <is>
          <t>NA</t>
        </is>
      </c>
      <c r="AW38" s="1" t="inlineStr">
        <is>
          <t>NA</t>
        </is>
      </c>
      <c r="AX38" s="1" t="inlineStr">
        <is>
          <t>NA</t>
        </is>
      </c>
      <c r="AY38" s="1" t="inlineStr">
        <is>
          <t>Concluído</t>
        </is>
      </c>
      <c r="AZ38" s="1" t="inlineStr">
        <is>
          <t>Concluído</t>
        </is>
      </c>
      <c r="BA38" s="1" t="inlineStr">
        <is>
          <t>Concluído</t>
        </is>
      </c>
      <c r="BB38" s="70" t="n">
        <v>1</v>
      </c>
      <c r="BC38" s="101" t="n">
        <v>42564</v>
      </c>
      <c r="BD38" s="1" t="inlineStr">
        <is>
          <t>NA</t>
        </is>
      </c>
      <c r="BE38" s="1" t="inlineStr">
        <is>
          <t>NA</t>
        </is>
      </c>
      <c r="BF38" s="1" t="inlineStr">
        <is>
          <t>NA</t>
        </is>
      </c>
      <c r="BG38" s="1" t="inlineStr">
        <is>
          <t>NA</t>
        </is>
      </c>
      <c r="BH38" s="1" t="inlineStr">
        <is>
          <t>NA</t>
        </is>
      </c>
      <c r="BI38" s="1" t="inlineStr">
        <is>
          <t>NA</t>
        </is>
      </c>
      <c r="BJ38" s="1" t="inlineStr">
        <is>
          <t>NA</t>
        </is>
      </c>
      <c r="BK38" s="1" t="inlineStr">
        <is>
          <t>NA</t>
        </is>
      </c>
      <c r="BL38" s="1" t="inlineStr">
        <is>
          <t>NA</t>
        </is>
      </c>
      <c r="BM38" s="1" t="inlineStr">
        <is>
          <t>NA</t>
        </is>
      </c>
      <c r="BN38" s="1" t="inlineStr">
        <is>
          <t>NA</t>
        </is>
      </c>
      <c r="BO38" s="1" t="inlineStr">
        <is>
          <t>NA</t>
        </is>
      </c>
      <c r="BP38" s="1" t="inlineStr">
        <is>
          <t>NA</t>
        </is>
      </c>
      <c r="BQ38" s="1" t="inlineStr">
        <is>
          <t>NA</t>
        </is>
      </c>
      <c r="BR38" s="1" t="inlineStr">
        <is>
          <t>NA</t>
        </is>
      </c>
      <c r="BS38" s="1" t="inlineStr">
        <is>
          <t>NA</t>
        </is>
      </c>
      <c r="BT38" s="101" t="n">
        <v>41474</v>
      </c>
      <c r="BU38" s="818" t="n">
        <v>4000000</v>
      </c>
    </row>
    <row r="39" ht="39.75" customFormat="1" customHeight="1" s="123">
      <c r="A39" s="1" t="inlineStr">
        <is>
          <t>SUDESTE</t>
        </is>
      </c>
      <c r="B39" s="1" t="inlineStr">
        <is>
          <t>MG</t>
        </is>
      </c>
      <c r="C39" s="1" t="inlineStr">
        <is>
          <t>IPATINGA</t>
        </is>
      </c>
      <c r="D39" s="1" t="inlineStr">
        <is>
          <t>FUNDACAO SAO FRANCISCO XAVIER</t>
        </is>
      </c>
      <c r="E39" s="124" t="inlineStr">
        <is>
          <t>19878404000100</t>
        </is>
      </c>
      <c r="F39" s="1" t="inlineStr">
        <is>
          <t>HOSPITAL MARCIO CUNHA</t>
        </is>
      </c>
      <c r="G39" s="1" t="n">
        <v>2205440</v>
      </c>
      <c r="H39" s="106" t="n">
        <v>-19496577</v>
      </c>
      <c r="I39" s="106" t="n">
        <v>-42538291</v>
      </c>
      <c r="J39" s="32" t="inlineStr">
        <is>
          <t>Radioterapia - Aquisição de Equipamentos</t>
        </is>
      </c>
      <c r="K39" s="31" t="inlineStr">
        <is>
          <t>NA</t>
        </is>
      </c>
      <c r="L39" s="31" t="inlineStr">
        <is>
          <t>NA</t>
        </is>
      </c>
      <c r="M39" s="1" t="inlineStr">
        <is>
          <t>Convênio</t>
        </is>
      </c>
      <c r="N39" s="1" t="n">
        <v>2012</v>
      </c>
      <c r="O39" s="1" t="n">
        <v>775501</v>
      </c>
      <c r="P39" s="1" t="inlineStr">
        <is>
          <t>NA</t>
        </is>
      </c>
      <c r="Q39" s="1" t="inlineStr">
        <is>
          <t>25000.141344/2012-41</t>
        </is>
      </c>
      <c r="R39" s="1" t="inlineStr">
        <is>
          <t>NA</t>
        </is>
      </c>
      <c r="S39" s="32" t="inlineStr">
        <is>
          <t>NA</t>
        </is>
      </c>
      <c r="T39" s="1" t="inlineStr">
        <is>
          <t>Acelerador Linear</t>
        </is>
      </c>
      <c r="U39" s="1" t="n">
        <v>1</v>
      </c>
      <c r="V39" s="1" t="n">
        <v>1</v>
      </c>
      <c r="W39" s="1" t="inlineStr">
        <is>
          <t>UND</t>
        </is>
      </c>
      <c r="X39" s="1" t="inlineStr">
        <is>
          <t>EQUIPAMENTO</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818" t="n">
        <v>2039265.63</v>
      </c>
      <c r="AH39" s="818" t="n">
        <v>0</v>
      </c>
      <c r="AI39" s="1" t="inlineStr">
        <is>
          <t>NA</t>
        </is>
      </c>
      <c r="AJ39" s="1" t="inlineStr">
        <is>
          <t>NA</t>
        </is>
      </c>
      <c r="AK39" s="1" t="inlineStr">
        <is>
          <t>NA</t>
        </is>
      </c>
      <c r="AL39" s="1" t="inlineStr">
        <is>
          <t>NA</t>
        </is>
      </c>
      <c r="AM39" s="1" t="inlineStr">
        <is>
          <t>NA</t>
        </is>
      </c>
      <c r="AN39" s="1" t="inlineStr">
        <is>
          <t>NA</t>
        </is>
      </c>
      <c r="AO39" s="1" t="inlineStr">
        <is>
          <t>NA</t>
        </is>
      </c>
      <c r="AP39" s="1" t="inlineStr">
        <is>
          <t>NA</t>
        </is>
      </c>
      <c r="AQ39" s="1" t="inlineStr">
        <is>
          <t>NA</t>
        </is>
      </c>
      <c r="AR39" s="1" t="inlineStr">
        <is>
          <t>NA</t>
        </is>
      </c>
      <c r="AS39" s="1" t="inlineStr">
        <is>
          <t>NA</t>
        </is>
      </c>
      <c r="AT39" s="1" t="inlineStr">
        <is>
          <t>NA</t>
        </is>
      </c>
      <c r="AU39" s="1" t="inlineStr">
        <is>
          <t>NA</t>
        </is>
      </c>
      <c r="AV39" s="1" t="inlineStr">
        <is>
          <t>NA</t>
        </is>
      </c>
      <c r="AW39" s="1" t="inlineStr">
        <is>
          <t>NA</t>
        </is>
      </c>
      <c r="AX39" s="1" t="inlineStr">
        <is>
          <t>NA</t>
        </is>
      </c>
      <c r="AY39" s="1" t="inlineStr">
        <is>
          <t>Concluído</t>
        </is>
      </c>
      <c r="AZ39" s="1" t="inlineStr">
        <is>
          <t>Concluído</t>
        </is>
      </c>
      <c r="BA39" s="1" t="inlineStr">
        <is>
          <t>Concluído</t>
        </is>
      </c>
      <c r="BB39" s="70" t="n">
        <v>1</v>
      </c>
      <c r="BC39" s="101" t="n">
        <v>41901</v>
      </c>
      <c r="BD39" s="1" t="inlineStr">
        <is>
          <t>NA</t>
        </is>
      </c>
      <c r="BE39" s="1" t="inlineStr">
        <is>
          <t>NA</t>
        </is>
      </c>
      <c r="BF39" s="1" t="inlineStr">
        <is>
          <t>NA</t>
        </is>
      </c>
      <c r="BG39" s="1" t="inlineStr">
        <is>
          <t>NA</t>
        </is>
      </c>
      <c r="BH39" s="1" t="inlineStr">
        <is>
          <t>NA</t>
        </is>
      </c>
      <c r="BI39" s="1" t="inlineStr">
        <is>
          <t>NA</t>
        </is>
      </c>
      <c r="BJ39" s="1" t="inlineStr">
        <is>
          <t>NA</t>
        </is>
      </c>
      <c r="BK39" s="1" t="inlineStr">
        <is>
          <t>NA</t>
        </is>
      </c>
      <c r="BL39" s="1" t="inlineStr">
        <is>
          <t>NA</t>
        </is>
      </c>
      <c r="BM39" s="1" t="inlineStr">
        <is>
          <t>NA</t>
        </is>
      </c>
      <c r="BN39" s="1" t="inlineStr">
        <is>
          <t>NA</t>
        </is>
      </c>
      <c r="BO39" s="1" t="inlineStr">
        <is>
          <t>NA</t>
        </is>
      </c>
      <c r="BP39" s="1" t="inlineStr">
        <is>
          <t>NA</t>
        </is>
      </c>
      <c r="BQ39" s="1" t="inlineStr">
        <is>
          <t>NA</t>
        </is>
      </c>
      <c r="BR39" s="1" t="inlineStr">
        <is>
          <t>NA</t>
        </is>
      </c>
      <c r="BS39" s="1" t="inlineStr">
        <is>
          <t>NA</t>
        </is>
      </c>
      <c r="BT39" s="101" t="n">
        <v>41536</v>
      </c>
      <c r="BU39" s="818" t="n">
        <v>2000000</v>
      </c>
    </row>
    <row r="40" ht="39.75" customFormat="1" customHeight="1" s="123">
      <c r="A40" s="1" t="inlineStr">
        <is>
          <t>SUDESTE</t>
        </is>
      </c>
      <c r="B40" s="1" t="inlineStr">
        <is>
          <t>MG</t>
        </is>
      </c>
      <c r="C40" s="1" t="inlineStr">
        <is>
          <t>MONTES CLAROS</t>
        </is>
      </c>
      <c r="D40" s="1" t="inlineStr">
        <is>
          <t>FUNDACAO DE SAUDE DILSON DE QUADROS GODINHO</t>
        </is>
      </c>
      <c r="E40" s="124" t="inlineStr">
        <is>
          <t>00991591000106</t>
        </is>
      </c>
      <c r="F40" s="1" t="inlineStr">
        <is>
          <t>HOSPITAL DILSON GODINHO</t>
        </is>
      </c>
      <c r="G40" s="1" t="n">
        <v>2219646</v>
      </c>
      <c r="H40" s="106" t="n">
        <v>-1.67169941979756e+16</v>
      </c>
      <c r="I40" s="106" t="n">
        <v>-4385847330093380</v>
      </c>
      <c r="J40" s="32" t="inlineStr">
        <is>
          <t>Radioterapia - Aquisição de Equipamentos</t>
        </is>
      </c>
      <c r="K40" s="31" t="inlineStr">
        <is>
          <t>NA</t>
        </is>
      </c>
      <c r="L40" s="31" t="inlineStr">
        <is>
          <t>NA</t>
        </is>
      </c>
      <c r="M40" s="1" t="inlineStr">
        <is>
          <t>Convênio</t>
        </is>
      </c>
      <c r="N40" s="1" t="n">
        <v>2012</v>
      </c>
      <c r="O40" s="1" t="n">
        <v>775526</v>
      </c>
      <c r="P40" s="1" t="inlineStr">
        <is>
          <t>NA</t>
        </is>
      </c>
      <c r="Q40" s="1" t="inlineStr">
        <is>
          <t>25000.121166/2012-31</t>
        </is>
      </c>
      <c r="R40" s="1" t="inlineStr">
        <is>
          <t>NA</t>
        </is>
      </c>
      <c r="S40" s="32" t="inlineStr">
        <is>
          <t>NA</t>
        </is>
      </c>
      <c r="T40" s="1" t="inlineStr">
        <is>
          <t>Acelerador Linear</t>
        </is>
      </c>
      <c r="U40" s="1" t="n">
        <v>2</v>
      </c>
      <c r="V40" s="1" t="n">
        <v>1</v>
      </c>
      <c r="W40" s="1" t="inlineStr">
        <is>
          <t>UND</t>
        </is>
      </c>
      <c r="X40" s="1" t="inlineStr">
        <is>
          <t>EQUIPAMENTO</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818" t="n">
        <v>4353025.29</v>
      </c>
      <c r="AH40" s="818" t="n">
        <v>0</v>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Concluído</t>
        </is>
      </c>
      <c r="AZ40" s="1" t="inlineStr">
        <is>
          <t>Concluído</t>
        </is>
      </c>
      <c r="BA40" s="1" t="inlineStr">
        <is>
          <t>Concluído</t>
        </is>
      </c>
      <c r="BB40" s="70" t="n">
        <v>1</v>
      </c>
      <c r="BC40" s="101" t="n">
        <v>44286</v>
      </c>
      <c r="BD40" s="1" t="inlineStr">
        <is>
          <t>NA</t>
        </is>
      </c>
      <c r="BE40" s="1" t="inlineStr">
        <is>
          <t>NA</t>
        </is>
      </c>
      <c r="BF40" s="1" t="inlineStr">
        <is>
          <t>NA</t>
        </is>
      </c>
      <c r="BG40" s="1" t="inlineStr">
        <is>
          <t>NA</t>
        </is>
      </c>
      <c r="BH40" s="1" t="inlineStr">
        <is>
          <t>Execução integral, objetivos cumpridos, com falhas na execução financeira</t>
        </is>
      </c>
      <c r="BI40" s="1" t="inlineStr">
        <is>
          <t>NA</t>
        </is>
      </c>
      <c r="BJ40" s="1" t="inlineStr">
        <is>
          <t>NA</t>
        </is>
      </c>
      <c r="BK40" s="1" t="inlineStr">
        <is>
          <t>NA</t>
        </is>
      </c>
      <c r="BL40" s="1" t="inlineStr">
        <is>
          <t>NA</t>
        </is>
      </c>
      <c r="BM40" s="1" t="inlineStr">
        <is>
          <t>NA</t>
        </is>
      </c>
      <c r="BN40" s="1" t="inlineStr">
        <is>
          <t>NA</t>
        </is>
      </c>
      <c r="BO40" s="1" t="inlineStr">
        <is>
          <t>NA</t>
        </is>
      </c>
      <c r="BP40" s="1" t="inlineStr">
        <is>
          <t>NA</t>
        </is>
      </c>
      <c r="BQ40" s="1" t="inlineStr">
        <is>
          <t>NA</t>
        </is>
      </c>
      <c r="BR40" s="1" t="inlineStr">
        <is>
          <t>NA</t>
        </is>
      </c>
      <c r="BS40" s="1" t="inlineStr">
        <is>
          <t>NA</t>
        </is>
      </c>
      <c r="BT40" s="101" t="n">
        <v>41534</v>
      </c>
      <c r="BU40" s="818" t="n">
        <v>3000000</v>
      </c>
    </row>
    <row r="41" ht="39.75" customFormat="1" customHeight="1" s="123">
      <c r="A41" s="1" t="inlineStr">
        <is>
          <t>SUDESTE</t>
        </is>
      </c>
      <c r="B41" s="1" t="inlineStr">
        <is>
          <t>SP</t>
        </is>
      </c>
      <c r="C41" s="1" t="inlineStr">
        <is>
          <t>SAO PAULO</t>
        </is>
      </c>
      <c r="D41" s="1" t="inlineStr">
        <is>
          <t>INSTITUTO DO CANCER ARNALDO VIEIRA DE CARVALHO</t>
        </is>
      </c>
      <c r="E41" s="124" t="inlineStr">
        <is>
          <t>60945854000172</t>
        </is>
      </c>
      <c r="F41" s="1" t="inlineStr">
        <is>
          <t>INSTITUTO DO CANCER ARNALDO VIEIRA DE CARVALHO</t>
        </is>
      </c>
      <c r="G41" s="1" t="n">
        <v>2080125</v>
      </c>
      <c r="H41" s="106" t="n">
        <v>-235431724</v>
      </c>
      <c r="I41" s="106" t="n">
        <v>-4664990518769830</v>
      </c>
      <c r="J41" s="32" t="inlineStr">
        <is>
          <t>Radioterapia - Aquisição de Equipamentos</t>
        </is>
      </c>
      <c r="K41" s="31" t="inlineStr">
        <is>
          <t>NA</t>
        </is>
      </c>
      <c r="L41" s="31" t="inlineStr">
        <is>
          <t>NA</t>
        </is>
      </c>
      <c r="M41" s="1" t="inlineStr">
        <is>
          <t>Convênio</t>
        </is>
      </c>
      <c r="N41" s="1" t="n">
        <v>2012</v>
      </c>
      <c r="O41" s="1" t="n">
        <v>777928</v>
      </c>
      <c r="P41" s="1" t="inlineStr">
        <is>
          <t>NA</t>
        </is>
      </c>
      <c r="Q41" s="1" t="inlineStr">
        <is>
          <t>25000.216953/2012-61</t>
        </is>
      </c>
      <c r="R41" s="1" t="inlineStr">
        <is>
          <t>NA</t>
        </is>
      </c>
      <c r="S41" s="32" t="inlineStr">
        <is>
          <t>NA</t>
        </is>
      </c>
      <c r="T41" s="1" t="inlineStr">
        <is>
          <t>Acelerador Linear</t>
        </is>
      </c>
      <c r="U41" s="1" t="n">
        <v>1</v>
      </c>
      <c r="V41" s="1" t="n">
        <v>1</v>
      </c>
      <c r="W41" s="1" t="inlineStr">
        <is>
          <t>UND</t>
        </is>
      </c>
      <c r="X41" s="1" t="inlineStr">
        <is>
          <t>EQUIPAMENTO</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818" t="n">
        <v>1900000</v>
      </c>
      <c r="AH41" s="818" t="n">
        <v>0</v>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Concluído</t>
        </is>
      </c>
      <c r="AZ41" s="1" t="inlineStr">
        <is>
          <t>Concluído</t>
        </is>
      </c>
      <c r="BA41" s="1" t="inlineStr">
        <is>
          <t>Concluído</t>
        </is>
      </c>
      <c r="BB41" s="70" t="n">
        <v>1</v>
      </c>
      <c r="BC41" s="101" t="n">
        <v>42093</v>
      </c>
      <c r="BD41" s="1" t="inlineStr">
        <is>
          <t>NA</t>
        </is>
      </c>
      <c r="BE41" s="1" t="inlineStr">
        <is>
          <t>NA</t>
        </is>
      </c>
      <c r="BF41" s="1" t="inlineStr">
        <is>
          <t>NA</t>
        </is>
      </c>
      <c r="BG41" s="1" t="inlineStr">
        <is>
          <t>NA</t>
        </is>
      </c>
      <c r="BH41" s="1" t="inlineStr">
        <is>
          <t>NA</t>
        </is>
      </c>
      <c r="BI41" s="1" t="inlineStr">
        <is>
          <t>NA</t>
        </is>
      </c>
      <c r="BJ41" s="1" t="inlineStr">
        <is>
          <t>NA</t>
        </is>
      </c>
      <c r="BK41" s="1" t="inlineStr">
        <is>
          <t>NA</t>
        </is>
      </c>
      <c r="BL41" s="1" t="inlineStr">
        <is>
          <t>NA</t>
        </is>
      </c>
      <c r="BM41" s="1" t="inlineStr">
        <is>
          <t>NA</t>
        </is>
      </c>
      <c r="BN41" s="1" t="inlineStr">
        <is>
          <t>NA</t>
        </is>
      </c>
      <c r="BO41" s="1" t="inlineStr">
        <is>
          <t>NA</t>
        </is>
      </c>
      <c r="BP41" s="1" t="inlineStr">
        <is>
          <t>NA</t>
        </is>
      </c>
      <c r="BQ41" s="1" t="inlineStr">
        <is>
          <t>NA</t>
        </is>
      </c>
      <c r="BR41" s="1" t="inlineStr">
        <is>
          <t>NA</t>
        </is>
      </c>
      <c r="BS41" s="1" t="inlineStr">
        <is>
          <t>NA</t>
        </is>
      </c>
      <c r="BT41" s="101" t="n">
        <v>41486</v>
      </c>
      <c r="BU41" s="818" t="n">
        <v>1900000</v>
      </c>
    </row>
    <row r="42" ht="39.75" customFormat="1" customHeight="1" s="123">
      <c r="A42" s="1" t="inlineStr">
        <is>
          <t>NORDESTE</t>
        </is>
      </c>
      <c r="B42" s="1" t="inlineStr">
        <is>
          <t>BA</t>
        </is>
      </c>
      <c r="C42" s="1" t="inlineStr">
        <is>
          <t>SALVADOR</t>
        </is>
      </c>
      <c r="D42" s="1" t="inlineStr">
        <is>
          <t>ASSOCIACAO OBRAS SOCIAIS IRMA DULCE</t>
        </is>
      </c>
      <c r="E42" s="124" t="inlineStr">
        <is>
          <t>15178551000117</t>
        </is>
      </c>
      <c r="F42" s="1" t="inlineStr">
        <is>
          <t>HOSPITAL SANTO ANTONIO</t>
        </is>
      </c>
      <c r="G42" s="1" t="n">
        <v>2802104</v>
      </c>
      <c r="H42" s="106" t="n">
        <v>-13014771</v>
      </c>
      <c r="I42" s="106" t="n">
        <v>-38488061</v>
      </c>
      <c r="J42" s="32" t="inlineStr">
        <is>
          <t>Radioterapia - Aquisição de Equipamentos</t>
        </is>
      </c>
      <c r="K42" s="31" t="inlineStr">
        <is>
          <t>NA</t>
        </is>
      </c>
      <c r="L42" s="31" t="inlineStr">
        <is>
          <t>NA</t>
        </is>
      </c>
      <c r="M42" s="1" t="inlineStr">
        <is>
          <t>Convênio</t>
        </is>
      </c>
      <c r="N42" s="1" t="n">
        <v>2012</v>
      </c>
      <c r="O42" s="1" t="n">
        <v>778082</v>
      </c>
      <c r="P42" s="1" t="inlineStr">
        <is>
          <t>NA</t>
        </is>
      </c>
      <c r="Q42" s="1" t="inlineStr">
        <is>
          <t>25000.216913/2012-19</t>
        </is>
      </c>
      <c r="R42" s="1" t="inlineStr">
        <is>
          <t>NA</t>
        </is>
      </c>
      <c r="S42" s="32" t="inlineStr">
        <is>
          <t>NA</t>
        </is>
      </c>
      <c r="T42" s="1" t="inlineStr">
        <is>
          <t>Acelerador Linear</t>
        </is>
      </c>
      <c r="U42" s="1" t="n">
        <v>2</v>
      </c>
      <c r="V42" s="1" t="n">
        <v>1</v>
      </c>
      <c r="W42" s="1" t="inlineStr">
        <is>
          <t>UND</t>
        </is>
      </c>
      <c r="X42" s="1" t="inlineStr">
        <is>
          <t>EQUIPAMENTO</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818" t="n">
        <v>3000000</v>
      </c>
      <c r="AH42" s="818" t="n">
        <v>0</v>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Concluído</t>
        </is>
      </c>
      <c r="AZ42" s="1" t="inlineStr">
        <is>
          <t>Concluído</t>
        </is>
      </c>
      <c r="BA42" s="1" t="inlineStr">
        <is>
          <t>Concluído</t>
        </is>
      </c>
      <c r="BB42" s="70" t="n">
        <v>1</v>
      </c>
      <c r="BC42" s="101" t="n">
        <v>42173</v>
      </c>
      <c r="BD42" s="1" t="inlineStr">
        <is>
          <t>NA</t>
        </is>
      </c>
      <c r="BE42" s="1" t="inlineStr">
        <is>
          <t>NA</t>
        </is>
      </c>
      <c r="BF42" s="1" t="inlineStr">
        <is>
          <t>NA</t>
        </is>
      </c>
      <c r="BG42" s="1" t="inlineStr">
        <is>
          <t>NA</t>
        </is>
      </c>
      <c r="BH42" s="1" t="inlineStr">
        <is>
          <t>NA</t>
        </is>
      </c>
      <c r="BI42" s="1" t="inlineStr">
        <is>
          <t>NA</t>
        </is>
      </c>
      <c r="BJ42" s="1" t="inlineStr">
        <is>
          <t>NA</t>
        </is>
      </c>
      <c r="BK42" s="1" t="inlineStr">
        <is>
          <t>NA</t>
        </is>
      </c>
      <c r="BL42" s="1" t="inlineStr">
        <is>
          <t>NA</t>
        </is>
      </c>
      <c r="BM42" s="1" t="inlineStr">
        <is>
          <t>NA</t>
        </is>
      </c>
      <c r="BN42" s="1" t="inlineStr">
        <is>
          <t>NA</t>
        </is>
      </c>
      <c r="BO42" s="1" t="inlineStr">
        <is>
          <t>NA</t>
        </is>
      </c>
      <c r="BP42" s="1" t="inlineStr">
        <is>
          <t>NA</t>
        </is>
      </c>
      <c r="BQ42" s="1" t="inlineStr">
        <is>
          <t>NA</t>
        </is>
      </c>
      <c r="BR42" s="1" t="inlineStr">
        <is>
          <t>NA</t>
        </is>
      </c>
      <c r="BS42" s="1" t="inlineStr">
        <is>
          <t>NA</t>
        </is>
      </c>
      <c r="BT42" s="101" t="n">
        <v>41501</v>
      </c>
      <c r="BU42" s="818" t="n">
        <v>3000000</v>
      </c>
    </row>
    <row r="43" ht="39.75" customFormat="1" customHeight="1" s="123">
      <c r="A43" s="1" t="inlineStr">
        <is>
          <t>SUDESTE</t>
        </is>
      </c>
      <c r="B43" s="1" t="inlineStr">
        <is>
          <t>RJ</t>
        </is>
      </c>
      <c r="C43" s="1" t="inlineStr">
        <is>
          <t>RIO DE JANEIRO</t>
        </is>
      </c>
      <c r="D43" s="1" t="inlineStr">
        <is>
          <t>ASSOCIACAO BRASILEIRA DE ASSISTENCIA AOS CANCEROSOS</t>
        </is>
      </c>
      <c r="E43" s="124" t="inlineStr">
        <is>
          <t>33816794000115</t>
        </is>
      </c>
      <c r="F43" s="1" t="inlineStr">
        <is>
          <t>HOSPITAL MARIO KROEFF</t>
        </is>
      </c>
      <c r="G43" s="1" t="n">
        <v>2269899</v>
      </c>
      <c r="H43" s="106" t="n">
        <v>-2.28387785276861e+16</v>
      </c>
      <c r="I43" s="106" t="n">
        <v>-4328492838519500</v>
      </c>
      <c r="J43" s="32" t="inlineStr">
        <is>
          <t>Radioterapia - Aquisição de Equipamentos</t>
        </is>
      </c>
      <c r="K43" s="31" t="inlineStr">
        <is>
          <t>NA</t>
        </is>
      </c>
      <c r="L43" s="31" t="inlineStr">
        <is>
          <t>NA</t>
        </is>
      </c>
      <c r="M43" s="1" t="inlineStr">
        <is>
          <t>Convênio</t>
        </is>
      </c>
      <c r="N43" s="1" t="n">
        <v>2012</v>
      </c>
      <c r="O43" s="1" t="n">
        <v>781906</v>
      </c>
      <c r="P43" s="1" t="inlineStr">
        <is>
          <t>NA</t>
        </is>
      </c>
      <c r="Q43" s="1" t="inlineStr">
        <is>
          <t xml:space="preserve">	25000.229199/2012-29</t>
        </is>
      </c>
      <c r="R43" s="1" t="inlineStr">
        <is>
          <t>NA</t>
        </is>
      </c>
      <c r="S43" s="32" t="inlineStr">
        <is>
          <t>NA</t>
        </is>
      </c>
      <c r="T43" s="1" t="inlineStr">
        <is>
          <t>Acelerador Linear</t>
        </is>
      </c>
      <c r="U43" s="1" t="n">
        <v>1</v>
      </c>
      <c r="V43" s="1" t="n">
        <v>1</v>
      </c>
      <c r="W43" s="1" t="inlineStr">
        <is>
          <t>UND</t>
        </is>
      </c>
      <c r="X43" s="1" t="inlineStr">
        <is>
          <t>EQUIPAMENTO</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818" t="n">
        <v>2145000</v>
      </c>
      <c r="AH43" s="818" t="n">
        <v>0</v>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Concluído</t>
        </is>
      </c>
      <c r="AZ43" s="1" t="inlineStr">
        <is>
          <t>Concluído</t>
        </is>
      </c>
      <c r="BA43" s="1" t="inlineStr">
        <is>
          <t>Concluído</t>
        </is>
      </c>
      <c r="BB43" s="70" t="n">
        <v>1</v>
      </c>
      <c r="BC43" s="101" t="n">
        <v>42369</v>
      </c>
      <c r="BD43" s="1" t="inlineStr">
        <is>
          <t>NA</t>
        </is>
      </c>
      <c r="BE43" s="1" t="inlineStr">
        <is>
          <t>NA</t>
        </is>
      </c>
      <c r="BF43" s="1" t="inlineStr">
        <is>
          <t>NA</t>
        </is>
      </c>
      <c r="BG43" s="1" t="inlineStr">
        <is>
          <t>NA</t>
        </is>
      </c>
      <c r="BH43" s="1" t="inlineStr">
        <is>
          <t>NA</t>
        </is>
      </c>
      <c r="BI43" s="1" t="inlineStr">
        <is>
          <t>NA</t>
        </is>
      </c>
      <c r="BJ43" s="1" t="inlineStr">
        <is>
          <t>NA</t>
        </is>
      </c>
      <c r="BK43" s="1" t="inlineStr">
        <is>
          <t>NA</t>
        </is>
      </c>
      <c r="BL43" s="1" t="inlineStr">
        <is>
          <t>NA</t>
        </is>
      </c>
      <c r="BM43" s="1" t="inlineStr">
        <is>
          <t>NA</t>
        </is>
      </c>
      <c r="BN43" s="1" t="inlineStr">
        <is>
          <t>NA</t>
        </is>
      </c>
      <c r="BO43" s="1" t="inlineStr">
        <is>
          <t>NA</t>
        </is>
      </c>
      <c r="BP43" s="1" t="inlineStr">
        <is>
          <t>NA</t>
        </is>
      </c>
      <c r="BQ43" s="1" t="inlineStr">
        <is>
          <t>NA</t>
        </is>
      </c>
      <c r="BR43" s="1" t="inlineStr">
        <is>
          <t>NA</t>
        </is>
      </c>
      <c r="BS43" s="1" t="inlineStr">
        <is>
          <t>NA</t>
        </is>
      </c>
      <c r="BT43" s="101" t="n">
        <v>41754</v>
      </c>
      <c r="BU43" s="818" t="n">
        <v>2125000</v>
      </c>
    </row>
    <row r="44" ht="39.75" customFormat="1" customHeight="1" s="123">
      <c r="A44" s="1" t="inlineStr">
        <is>
          <t>SUDESTE</t>
        </is>
      </c>
      <c r="B44" s="1" t="inlineStr">
        <is>
          <t>MG</t>
        </is>
      </c>
      <c r="C44" s="1" t="inlineStr">
        <is>
          <t>MONTES CLAROS</t>
        </is>
      </c>
      <c r="D44" s="1" t="inlineStr">
        <is>
          <t xml:space="preserve">IRMANDADE NOSSA SENHORA DAS MERCES DE MONTES CLAROS </t>
        </is>
      </c>
      <c r="E44" s="124" t="inlineStr">
        <is>
          <t>22669931000110</t>
        </is>
      </c>
      <c r="F44" s="1" t="inlineStr">
        <is>
          <t>HOSPITAL SANTA CASA DE MONTES CLAROS</t>
        </is>
      </c>
      <c r="G44" s="1" t="n">
        <v>2149990</v>
      </c>
      <c r="H44" s="106" t="n">
        <v>-16725263</v>
      </c>
      <c r="I44" s="106" t="n">
        <v>-43870150</v>
      </c>
      <c r="J44" s="32" t="inlineStr">
        <is>
          <t>Radioterapia - Aquisição de Equipamentos</t>
        </is>
      </c>
      <c r="K44" s="31" t="inlineStr">
        <is>
          <t>NA</t>
        </is>
      </c>
      <c r="L44" s="31" t="inlineStr">
        <is>
          <t>NA</t>
        </is>
      </c>
      <c r="M44" s="1" t="inlineStr">
        <is>
          <t>Convênio</t>
        </is>
      </c>
      <c r="N44" s="1" t="n">
        <v>2012</v>
      </c>
      <c r="O44" s="1" t="n">
        <v>780603</v>
      </c>
      <c r="P44" s="1" t="inlineStr">
        <is>
          <t>NA</t>
        </is>
      </c>
      <c r="Q44" s="1" t="inlineStr">
        <is>
          <t>25000.226786/2012-66</t>
        </is>
      </c>
      <c r="R44" s="1" t="inlineStr">
        <is>
          <t>NA</t>
        </is>
      </c>
      <c r="S44" s="32" t="inlineStr">
        <is>
          <t>NA</t>
        </is>
      </c>
      <c r="T44" s="1" t="inlineStr">
        <is>
          <t>Acelerador Linear</t>
        </is>
      </c>
      <c r="U44" s="1" t="n">
        <v>2</v>
      </c>
      <c r="V44" s="1" t="n">
        <v>1</v>
      </c>
      <c r="W44" s="1" t="inlineStr">
        <is>
          <t>UND</t>
        </is>
      </c>
      <c r="X44" s="1" t="inlineStr">
        <is>
          <t>EQUIPAMENTO</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818" t="n">
        <v>3732558</v>
      </c>
      <c r="AH44" s="818" t="n">
        <v>469679.57</v>
      </c>
      <c r="AI44" s="1" t="inlineStr">
        <is>
          <t>NA</t>
        </is>
      </c>
      <c r="AJ44" s="1" t="inlineStr">
        <is>
          <t>NA</t>
        </is>
      </c>
      <c r="AK44" s="1" t="inlineStr">
        <is>
          <t>NA</t>
        </is>
      </c>
      <c r="AL44" s="1" t="inlineStr">
        <is>
          <t>NA</t>
        </is>
      </c>
      <c r="AM44" s="1" t="inlineStr">
        <is>
          <t>NA</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Concluído</t>
        </is>
      </c>
      <c r="AZ44" s="1" t="inlineStr">
        <is>
          <t>Concluído</t>
        </is>
      </c>
      <c r="BA44" s="1" t="inlineStr">
        <is>
          <t>Concluído</t>
        </is>
      </c>
      <c r="BB44" s="70" t="n">
        <v>1</v>
      </c>
      <c r="BC44" s="101" t="n">
        <v>43799</v>
      </c>
      <c r="BD44" s="1" t="inlineStr">
        <is>
          <t>NA</t>
        </is>
      </c>
      <c r="BE44" s="1" t="inlineStr">
        <is>
          <t>NA</t>
        </is>
      </c>
      <c r="BF44" s="1" t="inlineStr">
        <is>
          <t>NA</t>
        </is>
      </c>
      <c r="BG44" s="1" t="inlineStr">
        <is>
          <t>NA</t>
        </is>
      </c>
      <c r="BH44" s="1" t="inlineStr">
        <is>
          <t>NA</t>
        </is>
      </c>
      <c r="BI44" s="1" t="inlineStr">
        <is>
          <t>NA</t>
        </is>
      </c>
      <c r="BJ44" s="1" t="inlineStr">
        <is>
          <t>NA</t>
        </is>
      </c>
      <c r="BK44" s="1" t="inlineStr">
        <is>
          <t>NA</t>
        </is>
      </c>
      <c r="BL44" s="1" t="inlineStr">
        <is>
          <t>NA</t>
        </is>
      </c>
      <c r="BM44" s="1" t="inlineStr">
        <is>
          <t>NA</t>
        </is>
      </c>
      <c r="BN44" s="1" t="inlineStr">
        <is>
          <t>NA</t>
        </is>
      </c>
      <c r="BO44" s="1" t="inlineStr">
        <is>
          <t>NA</t>
        </is>
      </c>
      <c r="BP44" s="1" t="inlineStr">
        <is>
          <t>NA</t>
        </is>
      </c>
      <c r="BQ44" s="1" t="inlineStr">
        <is>
          <t>NA</t>
        </is>
      </c>
      <c r="BR44" s="1" t="inlineStr">
        <is>
          <t>NA</t>
        </is>
      </c>
      <c r="BS44" s="1" t="inlineStr">
        <is>
          <t>NA</t>
        </is>
      </c>
      <c r="BT44" s="101" t="n">
        <v>41697</v>
      </c>
      <c r="BU44" s="818" t="n">
        <v>2645000</v>
      </c>
    </row>
    <row r="45" ht="39.75" customFormat="1" customHeight="1" s="123">
      <c r="A45" s="1" t="inlineStr">
        <is>
          <t>NORDESTE</t>
        </is>
      </c>
      <c r="B45" s="1" t="inlineStr">
        <is>
          <t>AL</t>
        </is>
      </c>
      <c r="C45" s="1" t="inlineStr">
        <is>
          <t>MACEIO</t>
        </is>
      </c>
      <c r="D45" s="1" t="inlineStr">
        <is>
          <t>SANTA CASA DE MISERICORDIA DE MACEIO</t>
        </is>
      </c>
      <c r="E45" s="124" t="inlineStr">
        <is>
          <t>12307187000150</t>
        </is>
      </c>
      <c r="F45" s="1" t="inlineStr">
        <is>
          <t>SANTA CASA DE MISERICORDIA DE MACEIO</t>
        </is>
      </c>
      <c r="G45" s="1" t="n">
        <v>2007037</v>
      </c>
      <c r="H45" s="106" t="n">
        <v>-9665825</v>
      </c>
      <c r="I45" s="106" t="n">
        <v>-357413631</v>
      </c>
      <c r="J45" s="32" t="inlineStr">
        <is>
          <t>Radioterapia - Aquisição de Equipamentos</t>
        </is>
      </c>
      <c r="K45" s="31" t="inlineStr">
        <is>
          <t>NA</t>
        </is>
      </c>
      <c r="L45" s="31" t="inlineStr">
        <is>
          <t>NA</t>
        </is>
      </c>
      <c r="M45" s="1" t="inlineStr">
        <is>
          <t>Convênio</t>
        </is>
      </c>
      <c r="N45" s="1" t="n">
        <v>2012</v>
      </c>
      <c r="O45" s="1" t="n">
        <v>777371</v>
      </c>
      <c r="P45" s="1" t="inlineStr">
        <is>
          <t>NA</t>
        </is>
      </c>
      <c r="Q45" s="1" t="inlineStr">
        <is>
          <t>25000.213699/2012-49</t>
        </is>
      </c>
      <c r="R45" s="1" t="inlineStr">
        <is>
          <t>NA</t>
        </is>
      </c>
      <c r="S45" s="32" t="inlineStr">
        <is>
          <t>NA</t>
        </is>
      </c>
      <c r="T45" s="1" t="inlineStr">
        <is>
          <t>Acelerador Linear</t>
        </is>
      </c>
      <c r="U45" s="1" t="n">
        <v>1</v>
      </c>
      <c r="V45" s="1" t="n">
        <v>1</v>
      </c>
      <c r="W45" s="1" t="inlineStr">
        <is>
          <t>UND</t>
        </is>
      </c>
      <c r="X45" s="1" t="inlineStr">
        <is>
          <t>EQUIPAMENTO</t>
        </is>
      </c>
      <c r="Y45" s="1" t="inlineStr">
        <is>
          <t>NA</t>
        </is>
      </c>
      <c r="Z45" s="1" t="inlineStr">
        <is>
          <t>NA</t>
        </is>
      </c>
      <c r="AA45" s="1" t="inlineStr">
        <is>
          <t>NA</t>
        </is>
      </c>
      <c r="AB45" s="1" t="inlineStr">
        <is>
          <t>NA</t>
        </is>
      </c>
      <c r="AC45" s="1" t="inlineStr">
        <is>
          <t>NA</t>
        </is>
      </c>
      <c r="AD45" s="1" t="inlineStr">
        <is>
          <t>NA</t>
        </is>
      </c>
      <c r="AE45" s="1" t="inlineStr">
        <is>
          <t>NA</t>
        </is>
      </c>
      <c r="AF45" s="1" t="inlineStr">
        <is>
          <t>NA</t>
        </is>
      </c>
      <c r="AG45" s="818" t="n">
        <v>3049977.29</v>
      </c>
      <c r="AH45" s="818" t="n">
        <v>0</v>
      </c>
      <c r="AI45" s="1" t="inlineStr">
        <is>
          <t>NA</t>
        </is>
      </c>
      <c r="AJ45" s="1" t="inlineStr">
        <is>
          <t>NA</t>
        </is>
      </c>
      <c r="AK45" s="1" t="inlineStr">
        <is>
          <t>NA</t>
        </is>
      </c>
      <c r="AL45" s="1" t="inlineStr">
        <is>
          <t>NA</t>
        </is>
      </c>
      <c r="AM45" s="1" t="inlineStr">
        <is>
          <t>NA</t>
        </is>
      </c>
      <c r="AN45" s="1" t="inlineStr">
        <is>
          <t>NA</t>
        </is>
      </c>
      <c r="AO45" s="1" t="inlineStr">
        <is>
          <t>NA</t>
        </is>
      </c>
      <c r="AP45" s="1" t="inlineStr">
        <is>
          <t>NA</t>
        </is>
      </c>
      <c r="AQ45" s="1" t="inlineStr">
        <is>
          <t>NA</t>
        </is>
      </c>
      <c r="AR45" s="1" t="inlineStr">
        <is>
          <t>NA</t>
        </is>
      </c>
      <c r="AS45" s="1" t="inlineStr">
        <is>
          <t>NA</t>
        </is>
      </c>
      <c r="AT45" s="1" t="inlineStr">
        <is>
          <t>NA</t>
        </is>
      </c>
      <c r="AU45" s="1" t="inlineStr">
        <is>
          <t>NA</t>
        </is>
      </c>
      <c r="AV45" s="1" t="inlineStr">
        <is>
          <t>NA</t>
        </is>
      </c>
      <c r="AW45" s="1" t="inlineStr">
        <is>
          <t>NA</t>
        </is>
      </c>
      <c r="AX45" s="1" t="inlineStr">
        <is>
          <t>NA</t>
        </is>
      </c>
      <c r="AY45" s="1" t="inlineStr">
        <is>
          <t>Concluído</t>
        </is>
      </c>
      <c r="AZ45" s="1" t="inlineStr">
        <is>
          <t>Concluído</t>
        </is>
      </c>
      <c r="BA45" s="1" t="inlineStr">
        <is>
          <t>Concluído</t>
        </is>
      </c>
      <c r="BB45" s="70" t="n">
        <v>1</v>
      </c>
      <c r="BC45" s="101" t="n">
        <v>44742</v>
      </c>
      <c r="BD45" s="1" t="inlineStr">
        <is>
          <t>NA</t>
        </is>
      </c>
      <c r="BE45" s="1" t="inlineStr">
        <is>
          <t>NA</t>
        </is>
      </c>
      <c r="BF45" s="1" t="inlineStr">
        <is>
          <t>NA</t>
        </is>
      </c>
      <c r="BG45" s="1" t="inlineStr">
        <is>
          <t>NA</t>
        </is>
      </c>
      <c r="BH45" s="1" t="inlineStr">
        <is>
          <t>NA</t>
        </is>
      </c>
      <c r="BI45" s="1" t="inlineStr">
        <is>
          <t>NA</t>
        </is>
      </c>
      <c r="BJ45" s="1" t="inlineStr">
        <is>
          <t>NA</t>
        </is>
      </c>
      <c r="BK45" s="1" t="inlineStr">
        <is>
          <t>NA</t>
        </is>
      </c>
      <c r="BL45" s="1" t="inlineStr">
        <is>
          <t>NA</t>
        </is>
      </c>
      <c r="BM45" s="1" t="inlineStr">
        <is>
          <t>NA</t>
        </is>
      </c>
      <c r="BN45" s="1" t="inlineStr">
        <is>
          <t>NA</t>
        </is>
      </c>
      <c r="BO45" s="1" t="inlineStr">
        <is>
          <t>NA</t>
        </is>
      </c>
      <c r="BP45" s="1" t="inlineStr">
        <is>
          <t>NA</t>
        </is>
      </c>
      <c r="BQ45" s="1" t="inlineStr">
        <is>
          <t>NA</t>
        </is>
      </c>
      <c r="BR45" s="1" t="inlineStr">
        <is>
          <t>NA</t>
        </is>
      </c>
      <c r="BS45" s="1" t="inlineStr">
        <is>
          <t>NA</t>
        </is>
      </c>
      <c r="BT45" s="101" t="n">
        <v>42025</v>
      </c>
      <c r="BU45" s="818" t="n">
        <v>2500000</v>
      </c>
    </row>
    <row r="46" ht="39.75" customFormat="1" customHeight="1" s="123">
      <c r="A46" s="1" t="inlineStr">
        <is>
          <t>SUL</t>
        </is>
      </c>
      <c r="B46" s="1" t="inlineStr">
        <is>
          <t>PR</t>
        </is>
      </c>
      <c r="C46" s="1" t="inlineStr">
        <is>
          <t>CURITIBA</t>
        </is>
      </c>
      <c r="D46" s="1" t="inlineStr">
        <is>
          <t>LIGA PARANAENSE DE COMBATE AO CANCER</t>
        </is>
      </c>
      <c r="E46" s="124" t="inlineStr">
        <is>
          <t>76591049000128</t>
        </is>
      </c>
      <c r="F46" s="1" t="inlineStr">
        <is>
          <t>HOSPITAL ERASTO GAERTNER</t>
        </is>
      </c>
      <c r="G46" s="122" t="inlineStr">
        <is>
          <t>0015644</t>
        </is>
      </c>
      <c r="H46" s="106" t="n">
        <v>-254534641</v>
      </c>
      <c r="I46" s="106" t="n">
        <v>-492399001</v>
      </c>
      <c r="J46" s="32" t="inlineStr">
        <is>
          <t>Radioterapia - Aquisição de Equipamentos</t>
        </is>
      </c>
      <c r="K46" s="31" t="inlineStr">
        <is>
          <t>NA</t>
        </is>
      </c>
      <c r="L46" s="31" t="inlineStr">
        <is>
          <t>NA</t>
        </is>
      </c>
      <c r="M46" s="1" t="inlineStr">
        <is>
          <t>Convênio</t>
        </is>
      </c>
      <c r="N46" s="1" t="n">
        <v>2012</v>
      </c>
      <c r="O46" s="1" t="n">
        <v>780609</v>
      </c>
      <c r="P46" s="1" t="inlineStr">
        <is>
          <t>NA</t>
        </is>
      </c>
      <c r="Q46" s="1" t="inlineStr">
        <is>
          <t>25000.224617/2012-91</t>
        </is>
      </c>
      <c r="R46" s="1" t="inlineStr">
        <is>
          <t>NA</t>
        </is>
      </c>
      <c r="S46" s="32" t="inlineStr">
        <is>
          <t>NA</t>
        </is>
      </c>
      <c r="T46" s="1" t="inlineStr">
        <is>
          <t>Acelerador Linear</t>
        </is>
      </c>
      <c r="U46" s="1" t="n">
        <v>1</v>
      </c>
      <c r="V46" s="1" t="n">
        <v>1</v>
      </c>
      <c r="W46" s="1" t="inlineStr">
        <is>
          <t>UND</t>
        </is>
      </c>
      <c r="X46" s="1" t="inlineStr">
        <is>
          <t>EQUIPAMENTO</t>
        </is>
      </c>
      <c r="Y46" s="1" t="inlineStr">
        <is>
          <t>NA</t>
        </is>
      </c>
      <c r="Z46" s="1" t="inlineStr">
        <is>
          <t>NA</t>
        </is>
      </c>
      <c r="AA46" s="1" t="inlineStr">
        <is>
          <t>NA</t>
        </is>
      </c>
      <c r="AB46" s="1" t="inlineStr">
        <is>
          <t>NA</t>
        </is>
      </c>
      <c r="AC46" s="1" t="inlineStr">
        <is>
          <t>NA</t>
        </is>
      </c>
      <c r="AD46" s="1" t="inlineStr">
        <is>
          <t>NA</t>
        </is>
      </c>
      <c r="AE46" s="1" t="inlineStr">
        <is>
          <t>NA</t>
        </is>
      </c>
      <c r="AF46" s="1" t="inlineStr">
        <is>
          <t>NA</t>
        </is>
      </c>
      <c r="AG46" s="818" t="n">
        <v>3238143.36</v>
      </c>
      <c r="AH46" s="818" t="n">
        <v>0</v>
      </c>
      <c r="AI46" s="1" t="inlineStr">
        <is>
          <t>NA</t>
        </is>
      </c>
      <c r="AJ46" s="1" t="inlineStr">
        <is>
          <t>NA</t>
        </is>
      </c>
      <c r="AK46" s="1" t="inlineStr">
        <is>
          <t>NA</t>
        </is>
      </c>
      <c r="AL46" s="1" t="inlineStr">
        <is>
          <t>NA</t>
        </is>
      </c>
      <c r="AM46" s="1" t="inlineStr">
        <is>
          <t>NA</t>
        </is>
      </c>
      <c r="AN46" s="1" t="inlineStr">
        <is>
          <t>NA</t>
        </is>
      </c>
      <c r="AO46" s="1" t="inlineStr">
        <is>
          <t>NA</t>
        </is>
      </c>
      <c r="AP46" s="1" t="inlineStr">
        <is>
          <t>NA</t>
        </is>
      </c>
      <c r="AQ46" s="1" t="inlineStr">
        <is>
          <t>NA</t>
        </is>
      </c>
      <c r="AR46" s="1" t="inlineStr">
        <is>
          <t>NA</t>
        </is>
      </c>
      <c r="AS46" s="1" t="inlineStr">
        <is>
          <t>NA</t>
        </is>
      </c>
      <c r="AT46" s="1" t="inlineStr">
        <is>
          <t>NA</t>
        </is>
      </c>
      <c r="AU46" s="1" t="inlineStr">
        <is>
          <t>NA</t>
        </is>
      </c>
      <c r="AV46" s="1" t="inlineStr">
        <is>
          <t>NA</t>
        </is>
      </c>
      <c r="AW46" s="1" t="inlineStr">
        <is>
          <t>NA</t>
        </is>
      </c>
      <c r="AX46" s="1" t="inlineStr">
        <is>
          <t>NA</t>
        </is>
      </c>
      <c r="AY46" s="1" t="inlineStr">
        <is>
          <t>Concluído</t>
        </is>
      </c>
      <c r="AZ46" s="1" t="inlineStr">
        <is>
          <t>Concluído</t>
        </is>
      </c>
      <c r="BA46" s="1" t="inlineStr">
        <is>
          <t>Concluído</t>
        </is>
      </c>
      <c r="BB46" s="70" t="n">
        <v>1</v>
      </c>
      <c r="BC46" s="101" t="n">
        <v>43465</v>
      </c>
      <c r="BD46" s="1" t="inlineStr">
        <is>
          <t>NA</t>
        </is>
      </c>
      <c r="BE46" s="1" t="inlineStr">
        <is>
          <t>NA</t>
        </is>
      </c>
      <c r="BF46" s="1" t="inlineStr">
        <is>
          <t>NA</t>
        </is>
      </c>
      <c r="BG46" s="1" t="inlineStr">
        <is>
          <t>NA</t>
        </is>
      </c>
      <c r="BH46" s="1" t="inlineStr">
        <is>
          <t>NA</t>
        </is>
      </c>
      <c r="BI46" s="1" t="inlineStr">
        <is>
          <t>NA</t>
        </is>
      </c>
      <c r="BJ46" s="1" t="inlineStr">
        <is>
          <t>NA</t>
        </is>
      </c>
      <c r="BK46" s="1" t="inlineStr">
        <is>
          <t>NA</t>
        </is>
      </c>
      <c r="BL46" s="1" t="inlineStr">
        <is>
          <t>NA</t>
        </is>
      </c>
      <c r="BM46" s="1" t="inlineStr">
        <is>
          <t>NA</t>
        </is>
      </c>
      <c r="BN46" s="1" t="inlineStr">
        <is>
          <t>NA</t>
        </is>
      </c>
      <c r="BO46" s="1" t="inlineStr">
        <is>
          <t>NA</t>
        </is>
      </c>
      <c r="BP46" s="1" t="inlineStr">
        <is>
          <t>NA</t>
        </is>
      </c>
      <c r="BQ46" s="1" t="inlineStr">
        <is>
          <t>NA</t>
        </is>
      </c>
      <c r="BR46" s="1" t="inlineStr">
        <is>
          <t>NA</t>
        </is>
      </c>
      <c r="BS46" s="1" t="inlineStr">
        <is>
          <t>NA</t>
        </is>
      </c>
      <c r="BT46" s="101" t="n">
        <v>41687</v>
      </c>
      <c r="BU46" s="818" t="n">
        <v>2500000</v>
      </c>
    </row>
    <row r="47" ht="39.75" customFormat="1" customHeight="1" s="123">
      <c r="A47" s="1" t="inlineStr">
        <is>
          <t>SUDESTE</t>
        </is>
      </c>
      <c r="B47" s="1" t="inlineStr">
        <is>
          <t>MG</t>
        </is>
      </c>
      <c r="C47" s="1" t="inlineStr">
        <is>
          <t>SAO JOAO DEL REI</t>
        </is>
      </c>
      <c r="D47" s="1" t="inlineStr">
        <is>
          <t>SANTA CASA DA MISERICORDIA DE SAO JOAO DEL REI</t>
        </is>
      </c>
      <c r="E47" s="124" t="inlineStr">
        <is>
          <t>24729097000136</t>
        </is>
      </c>
      <c r="F47" s="1" t="inlineStr">
        <is>
          <t>SANTA CASA DA MISERICORDIA DE SAO JOAO DEL REI</t>
        </is>
      </c>
      <c r="G47" s="1" t="n">
        <v>2161354</v>
      </c>
      <c r="H47" s="106" t="n">
        <v>-211352151</v>
      </c>
      <c r="I47" s="106" t="n">
        <v>-4.42572882131229e+16</v>
      </c>
      <c r="J47" s="32" t="inlineStr">
        <is>
          <t>Radioterapia - Aquisição de Equipamentos</t>
        </is>
      </c>
      <c r="K47" s="31" t="inlineStr">
        <is>
          <t>NA</t>
        </is>
      </c>
      <c r="L47" s="31" t="inlineStr">
        <is>
          <t>NA</t>
        </is>
      </c>
      <c r="M47" s="1" t="inlineStr">
        <is>
          <t>Convênio</t>
        </is>
      </c>
      <c r="N47" s="1" t="n">
        <v>2013</v>
      </c>
      <c r="O47" s="1" t="n">
        <v>797863</v>
      </c>
      <c r="P47" s="1" t="inlineStr">
        <is>
          <t>NA</t>
        </is>
      </c>
      <c r="Q47" s="1" t="inlineStr">
        <is>
          <t>25000.229882/2013-47</t>
        </is>
      </c>
      <c r="R47" s="1" t="inlineStr">
        <is>
          <t>NA</t>
        </is>
      </c>
      <c r="S47" s="32" t="inlineStr">
        <is>
          <t>NA</t>
        </is>
      </c>
      <c r="T47" s="1" t="inlineStr">
        <is>
          <t>Acelerador Linear</t>
        </is>
      </c>
      <c r="U47" s="1" t="n">
        <v>2</v>
      </c>
      <c r="V47" s="1" t="n">
        <v>1</v>
      </c>
      <c r="W47" s="1" t="inlineStr">
        <is>
          <t>UND</t>
        </is>
      </c>
      <c r="X47" s="1" t="inlineStr">
        <is>
          <t>EQUIPAMENTO</t>
        </is>
      </c>
      <c r="Y47" s="1" t="inlineStr">
        <is>
          <t>NA</t>
        </is>
      </c>
      <c r="Z47" s="1" t="inlineStr">
        <is>
          <t>NA</t>
        </is>
      </c>
      <c r="AA47" s="1" t="inlineStr">
        <is>
          <t>NA</t>
        </is>
      </c>
      <c r="AB47" s="1" t="inlineStr">
        <is>
          <t>NA</t>
        </is>
      </c>
      <c r="AC47" s="1" t="inlineStr">
        <is>
          <t>NA</t>
        </is>
      </c>
      <c r="AD47" s="1" t="inlineStr">
        <is>
          <t>NA</t>
        </is>
      </c>
      <c r="AE47" s="1" t="inlineStr">
        <is>
          <t>NA</t>
        </is>
      </c>
      <c r="AF47" s="1" t="inlineStr">
        <is>
          <t>NA</t>
        </is>
      </c>
      <c r="AG47" s="818" t="n">
        <v>5354700</v>
      </c>
      <c r="AH47" s="818" t="n">
        <v>1112504.34</v>
      </c>
      <c r="AI47" s="1" t="inlineStr">
        <is>
          <t>NA</t>
        </is>
      </c>
      <c r="AJ47" s="1" t="inlineStr">
        <is>
          <t>NA</t>
        </is>
      </c>
      <c r="AK47" s="1" t="inlineStr">
        <is>
          <t>NA</t>
        </is>
      </c>
      <c r="AL47" s="1" t="inlineStr">
        <is>
          <t>NA</t>
        </is>
      </c>
      <c r="AM47" s="1" t="inlineStr">
        <is>
          <t>NA</t>
        </is>
      </c>
      <c r="AN47" s="1" t="inlineStr">
        <is>
          <t>NA</t>
        </is>
      </c>
      <c r="AO47" s="1" t="inlineStr">
        <is>
          <t>NA</t>
        </is>
      </c>
      <c r="AP47" s="1" t="inlineStr">
        <is>
          <t>NA</t>
        </is>
      </c>
      <c r="AQ47" s="1" t="inlineStr">
        <is>
          <t>NA</t>
        </is>
      </c>
      <c r="AR47" s="1" t="inlineStr">
        <is>
          <t>NA</t>
        </is>
      </c>
      <c r="AS47" s="1" t="inlineStr">
        <is>
          <t>NA</t>
        </is>
      </c>
      <c r="AT47" s="1" t="inlineStr">
        <is>
          <t>NA</t>
        </is>
      </c>
      <c r="AU47" s="1" t="inlineStr">
        <is>
          <t>NA</t>
        </is>
      </c>
      <c r="AV47" s="1" t="inlineStr">
        <is>
          <t>NA</t>
        </is>
      </c>
      <c r="AW47" s="1" t="inlineStr">
        <is>
          <t>NA</t>
        </is>
      </c>
      <c r="AX47" s="1" t="inlineStr">
        <is>
          <t>NA</t>
        </is>
      </c>
      <c r="AY47" s="1" t="inlineStr">
        <is>
          <t>Concluído</t>
        </is>
      </c>
      <c r="AZ47" s="1" t="inlineStr">
        <is>
          <t>Concluído</t>
        </is>
      </c>
      <c r="BA47" s="1" t="inlineStr">
        <is>
          <t>Concluído</t>
        </is>
      </c>
      <c r="BB47" s="70" t="n">
        <v>1</v>
      </c>
      <c r="BC47" s="101" t="n">
        <v>43312</v>
      </c>
      <c r="BD47" s="1" t="inlineStr">
        <is>
          <t>NA</t>
        </is>
      </c>
      <c r="BE47" s="1" t="inlineStr">
        <is>
          <t>NA</t>
        </is>
      </c>
      <c r="BF47" s="1" t="inlineStr">
        <is>
          <t>NA</t>
        </is>
      </c>
      <c r="BG47" s="1" t="inlineStr">
        <is>
          <t>NA</t>
        </is>
      </c>
      <c r="BH47" s="1" t="inlineStr">
        <is>
          <t>NA</t>
        </is>
      </c>
      <c r="BI47" s="1" t="inlineStr">
        <is>
          <t>NA</t>
        </is>
      </c>
      <c r="BJ47" s="1" t="inlineStr">
        <is>
          <t>NA</t>
        </is>
      </c>
      <c r="BK47" s="1" t="inlineStr">
        <is>
          <t>NA</t>
        </is>
      </c>
      <c r="BL47" s="1" t="inlineStr">
        <is>
          <t>NA</t>
        </is>
      </c>
      <c r="BM47" s="1" t="inlineStr">
        <is>
          <t>NA</t>
        </is>
      </c>
      <c r="BN47" s="1" t="inlineStr">
        <is>
          <t>NA</t>
        </is>
      </c>
      <c r="BO47" s="1" t="inlineStr">
        <is>
          <t>NA</t>
        </is>
      </c>
      <c r="BP47" s="1" t="inlineStr">
        <is>
          <t>NA</t>
        </is>
      </c>
      <c r="BQ47" s="1" t="inlineStr">
        <is>
          <t>NA</t>
        </is>
      </c>
      <c r="BR47" s="1" t="inlineStr">
        <is>
          <t>NA</t>
        </is>
      </c>
      <c r="BS47" s="1" t="inlineStr">
        <is>
          <t>NA</t>
        </is>
      </c>
      <c r="BT47" s="101" t="n">
        <v>41803</v>
      </c>
      <c r="BU47" s="818" t="n">
        <v>3800000</v>
      </c>
    </row>
    <row r="48" ht="39.75" customFormat="1" customHeight="1" s="123">
      <c r="A48" s="1" t="inlineStr">
        <is>
          <t>SUDESTE</t>
        </is>
      </c>
      <c r="B48" s="1" t="inlineStr">
        <is>
          <t>SP</t>
        </is>
      </c>
      <c r="C48" s="1" t="inlineStr">
        <is>
          <t>CAMPINAS</t>
        </is>
      </c>
      <c r="D48" s="1" t="inlineStr">
        <is>
          <t>UNIVERSIDADE ESTADUAL DE CAMPINAS</t>
        </is>
      </c>
      <c r="E48" s="124" t="inlineStr">
        <is>
          <t>46068425000133</t>
        </is>
      </c>
      <c r="F48" s="1" t="inlineStr">
        <is>
          <t>HOSPITAL DE CLINICAS DA UNIVERSIDADE ESTADUAL DE CAMPINAS</t>
        </is>
      </c>
      <c r="G48" s="1" t="n">
        <v>2079798</v>
      </c>
      <c r="H48" s="106" t="n">
        <v>-22906</v>
      </c>
      <c r="I48" s="106" t="n">
        <v>-47061</v>
      </c>
      <c r="J48" s="32" t="inlineStr">
        <is>
          <t>Radioterapia - Aquisição de Equipamentos</t>
        </is>
      </c>
      <c r="K48" s="31" t="inlineStr">
        <is>
          <t>NA</t>
        </is>
      </c>
      <c r="L48" s="31" t="inlineStr">
        <is>
          <t>NA</t>
        </is>
      </c>
      <c r="M48" s="1" t="inlineStr">
        <is>
          <t>Convênio</t>
        </is>
      </c>
      <c r="N48" s="1" t="n">
        <v>2013</v>
      </c>
      <c r="O48" s="1" t="n">
        <v>792992</v>
      </c>
      <c r="P48" s="1" t="inlineStr">
        <is>
          <t>NA</t>
        </is>
      </c>
      <c r="Q48" s="1" t="inlineStr">
        <is>
          <t>25000.218565/2013-03</t>
        </is>
      </c>
      <c r="R48" s="1" t="inlineStr">
        <is>
          <t>NA</t>
        </is>
      </c>
      <c r="S48" s="32" t="inlineStr">
        <is>
          <t>NA</t>
        </is>
      </c>
      <c r="T48" s="1" t="inlineStr">
        <is>
          <t>Acelerador Linear</t>
        </is>
      </c>
      <c r="U48" s="1" t="n">
        <v>1</v>
      </c>
      <c r="V48" s="1" t="n">
        <v>1</v>
      </c>
      <c r="W48" s="1" t="inlineStr">
        <is>
          <t>UND</t>
        </is>
      </c>
      <c r="X48" s="1" t="inlineStr">
        <is>
          <t>EQUIPAMENTO</t>
        </is>
      </c>
      <c r="Y48" s="1" t="inlineStr">
        <is>
          <t>NA</t>
        </is>
      </c>
      <c r="Z48" s="1" t="inlineStr">
        <is>
          <t>NA</t>
        </is>
      </c>
      <c r="AA48" s="1" t="inlineStr">
        <is>
          <t>NA</t>
        </is>
      </c>
      <c r="AB48" s="1" t="inlineStr">
        <is>
          <t>NA</t>
        </is>
      </c>
      <c r="AC48" s="1" t="inlineStr">
        <is>
          <t>NA</t>
        </is>
      </c>
      <c r="AD48" s="1" t="inlineStr">
        <is>
          <t>NA</t>
        </is>
      </c>
      <c r="AE48" s="1" t="inlineStr">
        <is>
          <t>NA</t>
        </is>
      </c>
      <c r="AF48" s="1" t="inlineStr">
        <is>
          <t>NA</t>
        </is>
      </c>
      <c r="AG48" s="818" t="n">
        <v>5908388.47</v>
      </c>
      <c r="AH48" s="818" t="n">
        <v>775612.4</v>
      </c>
      <c r="AI48" s="1" t="inlineStr">
        <is>
          <t>NA</t>
        </is>
      </c>
      <c r="AJ48" s="1" t="inlineStr">
        <is>
          <t>NA</t>
        </is>
      </c>
      <c r="AK48" s="1" t="inlineStr">
        <is>
          <t>NA</t>
        </is>
      </c>
      <c r="AL48" s="1" t="inlineStr">
        <is>
          <t>NA</t>
        </is>
      </c>
      <c r="AM48" s="1" t="inlineStr">
        <is>
          <t>NA</t>
        </is>
      </c>
      <c r="AN48" s="1" t="inlineStr">
        <is>
          <t>NA</t>
        </is>
      </c>
      <c r="AO48" s="1" t="inlineStr">
        <is>
          <t>NA</t>
        </is>
      </c>
      <c r="AP48" s="1" t="inlineStr">
        <is>
          <t>NA</t>
        </is>
      </c>
      <c r="AQ48" s="1" t="inlineStr">
        <is>
          <t>NA</t>
        </is>
      </c>
      <c r="AR48" s="1" t="inlineStr">
        <is>
          <t>NA</t>
        </is>
      </c>
      <c r="AS48" s="1" t="inlineStr">
        <is>
          <t>NA</t>
        </is>
      </c>
      <c r="AT48" s="1" t="inlineStr">
        <is>
          <t>NA</t>
        </is>
      </c>
      <c r="AU48" s="1" t="inlineStr">
        <is>
          <t>NA</t>
        </is>
      </c>
      <c r="AV48" s="1" t="inlineStr">
        <is>
          <t>NA</t>
        </is>
      </c>
      <c r="AW48" s="1" t="inlineStr">
        <is>
          <t>NA</t>
        </is>
      </c>
      <c r="AX48" s="1" t="inlineStr">
        <is>
          <t>NA</t>
        </is>
      </c>
      <c r="AY48" s="1" t="inlineStr">
        <is>
          <t>Concluído</t>
        </is>
      </c>
      <c r="AZ48" s="1" t="inlineStr">
        <is>
          <t>Concluído</t>
        </is>
      </c>
      <c r="BA48" s="1" t="inlineStr">
        <is>
          <t>Concluído</t>
        </is>
      </c>
      <c r="BB48" s="70" t="n">
        <v>1</v>
      </c>
      <c r="BC48" s="101" t="n">
        <v>45382</v>
      </c>
      <c r="BD48" s="1" t="inlineStr">
        <is>
          <t>NA</t>
        </is>
      </c>
      <c r="BE48" s="1" t="inlineStr">
        <is>
          <t>NA</t>
        </is>
      </c>
      <c r="BF48" s="1" t="inlineStr">
        <is>
          <t>NA</t>
        </is>
      </c>
      <c r="BG48" s="1" t="inlineStr">
        <is>
          <t>NA</t>
        </is>
      </c>
      <c r="BH48" s="1" t="inlineStr">
        <is>
          <t>Executado integralmente, mas o tempo de execução foi muito longo, a prestação de contas ainda está em análise.</t>
        </is>
      </c>
      <c r="BI48" s="1" t="inlineStr">
        <is>
          <t>NA</t>
        </is>
      </c>
      <c r="BJ48" s="1" t="inlineStr">
        <is>
          <t>NA</t>
        </is>
      </c>
      <c r="BK48" s="1" t="inlineStr">
        <is>
          <t>NA</t>
        </is>
      </c>
      <c r="BL48" s="1" t="inlineStr">
        <is>
          <t>NA</t>
        </is>
      </c>
      <c r="BM48" s="1" t="inlineStr">
        <is>
          <t>NA</t>
        </is>
      </c>
      <c r="BN48" s="1" t="inlineStr">
        <is>
          <t>NA</t>
        </is>
      </c>
      <c r="BO48" s="1" t="inlineStr">
        <is>
          <t>NA</t>
        </is>
      </c>
      <c r="BP48" s="1" t="inlineStr">
        <is>
          <t>NA</t>
        </is>
      </c>
      <c r="BQ48" s="1" t="inlineStr">
        <is>
          <t>NA</t>
        </is>
      </c>
      <c r="BR48" s="1" t="inlineStr">
        <is>
          <t>NA</t>
        </is>
      </c>
      <c r="BS48" s="1" t="inlineStr">
        <is>
          <t>NA</t>
        </is>
      </c>
      <c r="BT48" s="101" t="n">
        <v>41684</v>
      </c>
      <c r="BU48" s="818" t="n">
        <v>3000000</v>
      </c>
    </row>
    <row r="49" ht="39.75" customFormat="1" customHeight="1" s="123">
      <c r="A49" s="1" t="inlineStr">
        <is>
          <t>SUDESTE</t>
        </is>
      </c>
      <c r="B49" s="1" t="inlineStr">
        <is>
          <t>MG</t>
        </is>
      </c>
      <c r="C49" s="1" t="inlineStr">
        <is>
          <t>PONTE NOVA</t>
        </is>
      </c>
      <c r="D49" s="1" t="inlineStr">
        <is>
          <t>IRMANDADE DO HOSPITAL NOSSA SENHORA DAS DORES</t>
        </is>
      </c>
      <c r="E49" s="124" t="inlineStr">
        <is>
          <t>23798846000114</t>
        </is>
      </c>
      <c r="F49" s="1" t="inlineStr">
        <is>
          <t>HOSPITAL NOSSA SENHORA DAS DORES</t>
        </is>
      </c>
      <c r="G49" s="1" t="n">
        <v>2111640</v>
      </c>
      <c r="H49" s="106" t="n">
        <v>-2.04162150499999e+16</v>
      </c>
      <c r="I49" s="106" t="n">
        <v>-4290507704742870</v>
      </c>
      <c r="J49" s="32" t="inlineStr">
        <is>
          <t>Radioterapia - Aquisição de Equipamentos</t>
        </is>
      </c>
      <c r="K49" s="31" t="inlineStr">
        <is>
          <t>NA</t>
        </is>
      </c>
      <c r="L49" s="31" t="inlineStr">
        <is>
          <t>NA</t>
        </is>
      </c>
      <c r="M49" s="1" t="inlineStr">
        <is>
          <t>Convênio</t>
        </is>
      </c>
      <c r="N49" s="1" t="n">
        <v>2014</v>
      </c>
      <c r="O49" s="1" t="n">
        <v>801974</v>
      </c>
      <c r="P49" s="1" t="inlineStr">
        <is>
          <t>NA</t>
        </is>
      </c>
      <c r="Q49" s="1" t="inlineStr">
        <is>
          <t xml:space="preserve">	25000.070069/2014-35</t>
        </is>
      </c>
      <c r="R49" s="1" t="inlineStr">
        <is>
          <t>NA</t>
        </is>
      </c>
      <c r="S49" s="32" t="inlineStr">
        <is>
          <t>NA</t>
        </is>
      </c>
      <c r="T49" s="1" t="inlineStr">
        <is>
          <t>Acelerador Linear</t>
        </is>
      </c>
      <c r="U49" s="1" t="n">
        <v>1</v>
      </c>
      <c r="V49" s="1" t="n">
        <v>1</v>
      </c>
      <c r="W49" s="1" t="inlineStr">
        <is>
          <t>UND</t>
        </is>
      </c>
      <c r="X49" s="1" t="inlineStr">
        <is>
          <t>EQUIPAMENTO</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818" t="n">
        <v>3811926.14</v>
      </c>
      <c r="AH49" s="818" t="n">
        <v>0</v>
      </c>
      <c r="AI49" s="1" t="inlineStr">
        <is>
          <t>NA</t>
        </is>
      </c>
      <c r="AJ49" s="1" t="inlineStr">
        <is>
          <t>NA</t>
        </is>
      </c>
      <c r="AK49" s="1" t="inlineStr">
        <is>
          <t>NA</t>
        </is>
      </c>
      <c r="AL49" s="1" t="inlineStr">
        <is>
          <t>NA</t>
        </is>
      </c>
      <c r="AM49" s="1" t="inlineStr">
        <is>
          <t>NA</t>
        </is>
      </c>
      <c r="AN49" s="1" t="inlineStr">
        <is>
          <t>NA</t>
        </is>
      </c>
      <c r="AO49" s="1" t="inlineStr">
        <is>
          <t>NA</t>
        </is>
      </c>
      <c r="AP49" s="1" t="inlineStr">
        <is>
          <t>NA</t>
        </is>
      </c>
      <c r="AQ49" s="1" t="inlineStr">
        <is>
          <t>NA</t>
        </is>
      </c>
      <c r="AR49" s="1" t="inlineStr">
        <is>
          <t>NA</t>
        </is>
      </c>
      <c r="AS49" s="1" t="inlineStr">
        <is>
          <t>NA</t>
        </is>
      </c>
      <c r="AT49" s="1" t="inlineStr">
        <is>
          <t>NA</t>
        </is>
      </c>
      <c r="AU49" s="1" t="inlineStr">
        <is>
          <t>NA</t>
        </is>
      </c>
      <c r="AV49" s="1" t="inlineStr">
        <is>
          <t>NA</t>
        </is>
      </c>
      <c r="AW49" s="1" t="inlineStr">
        <is>
          <t>NA</t>
        </is>
      </c>
      <c r="AX49" s="1" t="inlineStr">
        <is>
          <t>NA</t>
        </is>
      </c>
      <c r="AY49" s="1" t="inlineStr">
        <is>
          <t>Concluído</t>
        </is>
      </c>
      <c r="AZ49" s="1" t="inlineStr">
        <is>
          <t>Concluído</t>
        </is>
      </c>
      <c r="BA49" s="1" t="inlineStr">
        <is>
          <t>Concluído</t>
        </is>
      </c>
      <c r="BB49" s="70" t="n">
        <v>1</v>
      </c>
      <c r="BC49" s="101" t="n">
        <v>44561</v>
      </c>
      <c r="BD49" s="1" t="inlineStr">
        <is>
          <t>NA</t>
        </is>
      </c>
      <c r="BE49" s="1" t="inlineStr">
        <is>
          <t>NA</t>
        </is>
      </c>
      <c r="BF49" s="1" t="inlineStr">
        <is>
          <t>NA</t>
        </is>
      </c>
      <c r="BG49" s="1" t="inlineStr">
        <is>
          <t>NA</t>
        </is>
      </c>
      <c r="BH49" s="1" t="inlineStr">
        <is>
          <t>Executado integralmente, mas o tempo de execução foi muito longo, a prestação de contas ainda está em complementação.</t>
        </is>
      </c>
      <c r="BI49" s="1" t="inlineStr">
        <is>
          <t>NA</t>
        </is>
      </c>
      <c r="BJ49" s="1" t="inlineStr">
        <is>
          <t>NA</t>
        </is>
      </c>
      <c r="BK49" s="1" t="inlineStr">
        <is>
          <t>NA</t>
        </is>
      </c>
      <c r="BL49" s="1" t="inlineStr">
        <is>
          <t>NA</t>
        </is>
      </c>
      <c r="BM49" s="1" t="inlineStr">
        <is>
          <t>NA</t>
        </is>
      </c>
      <c r="BN49" s="1" t="inlineStr">
        <is>
          <t>NA</t>
        </is>
      </c>
      <c r="BO49" s="1" t="inlineStr">
        <is>
          <t>NA</t>
        </is>
      </c>
      <c r="BP49" s="1" t="inlineStr">
        <is>
          <t>NA</t>
        </is>
      </c>
      <c r="BQ49" s="1" t="inlineStr">
        <is>
          <t>NA</t>
        </is>
      </c>
      <c r="BR49" s="1" t="inlineStr">
        <is>
          <t>NA</t>
        </is>
      </c>
      <c r="BS49" s="1" t="inlineStr">
        <is>
          <t>NA</t>
        </is>
      </c>
      <c r="BT49" s="101" t="n">
        <v>42278</v>
      </c>
      <c r="BU49" s="818" t="n">
        <v>3097795</v>
      </c>
    </row>
  </sheetData>
  <autoFilter ref="A1:BL49"/>
  <conditionalFormatting sqref="BB1">
    <cfRule type="expression" priority="6" dxfId="5">
      <formula>$AY1="Concluído"</formula>
    </cfRule>
    <cfRule type="expression" priority="5" dxfId="4">
      <formula>$AY1="Em execução"</formula>
    </cfRule>
    <cfRule type="expression" priority="4" dxfId="3">
      <formula>$AY1="Em licitação"</formula>
    </cfRule>
    <cfRule type="expression" priority="3" dxfId="2">
      <formula>$AY1="Em ação preparatória"</formula>
    </cfRule>
    <cfRule type="expression" priority="2" dxfId="1">
      <formula>$AY1="Em andamento"</formula>
    </cfRule>
    <cfRule type="expression" priority="1" dxfId="0">
      <formula>$AY1="Instrumento formalizado"</formula>
    </cfRule>
  </conditionalFormatting>
  <dataValidations count="2">
    <dataValidation sqref="AZ1:AZ11" showDropDown="0" showInputMessage="1" showErrorMessage="1" allowBlank="1" type="list">
      <formula1>DV_Fase</formula1>
    </dataValidation>
    <dataValidation sqref="AY1:AY11" showDropDown="0" showInputMessage="1" showErrorMessage="1" allowBlank="1" type="list">
      <formula1>"Concluído, Em execução, Em andamento, Em ação preparatória, Em licitação, Instrumento formalizado, Não iniciado"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Q172"/>
  <sheetViews>
    <sheetView tabSelected="1" topLeftCell="D123" workbookViewId="0">
      <selection activeCell="I2" sqref="I2"/>
    </sheetView>
  </sheetViews>
  <sheetFormatPr baseColWidth="8" defaultColWidth="9.140625" defaultRowHeight="15"/>
  <cols>
    <col width="15" customWidth="1" style="83" min="1" max="1"/>
    <col width="7.28515625" bestFit="1" customWidth="1" style="83" min="2" max="2"/>
    <col width="17.5703125" customWidth="1" style="83" min="3" max="3"/>
    <col width="30.28515625" customWidth="1" style="83" min="4" max="4"/>
    <col outlineLevel="1" width="20.42578125" customWidth="1" style="140" min="5" max="5"/>
    <col outlineLevel="1" width="12.5703125" customWidth="1" style="140" min="6" max="6"/>
    <col outlineLevel="1" width="16.140625" customWidth="1" style="83" min="7" max="7"/>
    <col outlineLevel="1" width="10.85546875" customWidth="1" style="83" min="8" max="8"/>
    <col width="22.85546875" customWidth="1" style="140" min="9" max="9"/>
    <col width="30.28515625" customWidth="1" style="140" min="10" max="10"/>
    <col width="23.42578125" customWidth="1" style="140" min="11" max="11"/>
    <col outlineLevel="1" width="23.42578125" customWidth="1" style="83" min="12" max="12"/>
    <col outlineLevel="1" width="10.85546875" customWidth="1" style="83" min="13" max="13"/>
    <col width="12.42578125" customWidth="1" style="83" min="14" max="14"/>
    <col outlineLevel="1" width="10.85546875" customWidth="1" style="83" min="15" max="16"/>
    <col outlineLevel="1" width="20.5703125" customWidth="1" style="83" min="17" max="17"/>
    <col outlineLevel="1" collapsed="1" width="10.85546875" customWidth="1" style="141" min="18" max="18"/>
    <col outlineLevel="1" width="10.85546875" customWidth="1" style="141" min="19" max="20"/>
    <col outlineLevel="1" width="13" customWidth="1" style="300" min="21" max="21"/>
    <col width="18.7109375" customWidth="1" style="300" min="22" max="22"/>
    <col width="16" customWidth="1" style="300" min="23" max="23"/>
    <col width="15.7109375" customWidth="1" style="300" min="24" max="24"/>
    <col outlineLevel="1" width="17.5703125" customWidth="1" style="83" min="25" max="25"/>
    <col outlineLevel="1" width="11.42578125" customWidth="1" style="141" min="26" max="26"/>
    <col outlineLevel="1" width="10.85546875" customWidth="1" style="83" min="27" max="27"/>
    <col outlineLevel="1" collapsed="1" width="14.140625" customWidth="1" style="83" min="28" max="28"/>
    <col outlineLevel="1" width="16.140625" customWidth="1" style="83" min="29" max="29"/>
    <col width="10.85546875" bestFit="1" customWidth="1" style="300" min="30" max="30"/>
    <col outlineLevel="1" width="10.85546875" customWidth="1" style="83" min="31" max="32"/>
    <col outlineLevel="1" width="14.5703125" customWidth="1" style="83" min="33" max="33"/>
    <col outlineLevel="1" width="12.5703125" customWidth="1" style="83" min="34" max="34"/>
    <col outlineLevel="1" width="10.85546875" customWidth="1" style="471" min="35" max="35"/>
    <col width="10.85546875" bestFit="1" customWidth="1" style="83" min="36" max="36"/>
    <col outlineLevel="1" width="10.85546875" customWidth="1" style="83" min="37" max="38"/>
    <col outlineLevel="1" width="15.140625" customWidth="1" style="83" min="39" max="39"/>
    <col outlineLevel="1" width="14.28515625" customWidth="1" style="83" min="40" max="40"/>
    <col outlineLevel="1" width="14.7109375" customWidth="1" style="83" min="41" max="41"/>
    <col width="19.140625" customWidth="1" style="83" min="42" max="42"/>
    <col outlineLevel="1" width="15.28515625" customWidth="1" style="83" min="43" max="43"/>
    <col outlineLevel="1" width="120" customWidth="1" style="83" min="44" max="44"/>
    <col outlineLevel="1" width="12.28515625" customWidth="1" style="83" min="45" max="45"/>
    <col outlineLevel="1" width="18" customWidth="1" style="470" min="46" max="46"/>
    <col width="12.7109375" customWidth="1" style="141" min="47" max="47"/>
    <col outlineLevel="1" width="10.85546875" bestFit="1" customWidth="1" style="141" min="48" max="52"/>
    <col width="10.85546875" bestFit="1" customWidth="1" style="83" min="53" max="53"/>
    <col outlineLevel="1" width="10.85546875" bestFit="1" customWidth="1" style="83" min="54" max="56"/>
    <col outlineLevel="1" width="13.7109375" customWidth="1" style="470" min="57" max="57"/>
    <col width="10.85546875" bestFit="1" customWidth="1" style="83" min="58" max="58"/>
    <col outlineLevel="1" width="13.85546875" bestFit="1" customWidth="1" style="83" min="59" max="59"/>
    <col outlineLevel="1" width="10.85546875" bestFit="1" customWidth="1" style="83" min="60" max="60"/>
    <col outlineLevel="1" width="14.28515625" bestFit="1" customWidth="1" style="83" min="61" max="61"/>
    <col outlineLevel="1" width="10.85546875" bestFit="1" customWidth="1" style="83" min="62" max="62"/>
    <col outlineLevel="1" width="13.85546875" bestFit="1" customWidth="1" style="83" min="63" max="63"/>
    <col outlineLevel="1" width="10.85546875" bestFit="1" customWidth="1" style="83" min="64" max="64"/>
    <col outlineLevel="1" width="10.85546875" bestFit="1" customWidth="1" style="141" min="65" max="65"/>
    <col width="10.85546875" bestFit="1" customWidth="1" style="83" min="66" max="69"/>
    <col width="9.140625" customWidth="1" style="83" min="70" max="16384"/>
  </cols>
  <sheetData>
    <row r="1" ht="122.25" customFormat="1" customHeight="1" s="480">
      <c r="A1" s="89" t="inlineStr">
        <is>
          <t>REGIÃO</t>
        </is>
      </c>
      <c r="B1" s="89" t="inlineStr">
        <is>
          <t>UF</t>
        </is>
      </c>
      <c r="C1" s="89" t="inlineStr">
        <is>
          <t>MUNICIPIO</t>
        </is>
      </c>
      <c r="D1" s="89" t="inlineStr">
        <is>
          <t>PROPONENTE / ENTIDADE</t>
        </is>
      </c>
      <c r="E1" s="303" t="inlineStr">
        <is>
          <t>CNPJ</t>
        </is>
      </c>
      <c r="F1" s="303" t="inlineStr">
        <is>
          <t>CNES</t>
        </is>
      </c>
      <c r="G1" s="89" t="inlineStr">
        <is>
          <t>NOME DE SISTEMA FONTE</t>
        </is>
      </c>
      <c r="H1" s="89" t="inlineStr">
        <is>
          <t>TIPO DE CONTRATAÇÃO</t>
        </is>
      </c>
      <c r="I1" s="303" t="inlineStr">
        <is>
          <t>REGISTRO/CÓDIGO NO SISTEMA TRANSFEREGOV</t>
        </is>
      </c>
      <c r="J1" s="303" t="inlineStr">
        <is>
          <t>N° PROPOSTA SISPRO</t>
        </is>
      </c>
      <c r="K1" s="303" t="inlineStr">
        <is>
          <t>NUP SEI</t>
        </is>
      </c>
      <c r="L1" s="89" t="inlineStr">
        <is>
          <t>COMPONENTES DE FINANCIAMENTO - INVESTUSUS</t>
        </is>
      </c>
      <c r="M1" s="89" t="inlineStr">
        <is>
          <t>META FÍSICA INSTRUMENTO</t>
        </is>
      </c>
      <c r="N1" s="89" t="inlineStr">
        <is>
          <t>ANO DO INSTRUMENTO</t>
        </is>
      </c>
      <c r="O1" s="89" t="inlineStr">
        <is>
          <t>META FÍSICA EQUIPAMENTO</t>
        </is>
      </c>
      <c r="P1" s="89" t="inlineStr">
        <is>
          <t>UNIDADE DE MEDIDA</t>
        </is>
      </c>
      <c r="Q1" s="89" t="inlineStr">
        <is>
          <t>ID MODELO NO SIGEM/TRANSFEREGOV</t>
        </is>
      </c>
      <c r="R1" s="305" t="inlineStr">
        <is>
          <t>DATA DE ASSINATURA DO INSTRUMENTO (SISPRO /TRANSFEREGOV)</t>
        </is>
      </c>
      <c r="S1" s="305" t="inlineStr">
        <is>
          <t>TÉRMINO DA VIGÊNCIA DO INSTRUMENTO (SISPRO /TRANSFEREGOV)</t>
        </is>
      </c>
      <c r="T1" s="305" t="inlineStr">
        <is>
          <t>DATA LIMITE PARA PRESTAÇÃO DE CONTAS DO INSTRUMENTO (SISPRO /TRANSFEREGOV)</t>
        </is>
      </c>
      <c r="U1" s="304" t="inlineStr">
        <is>
          <t>ORIGEM DO RECURSO</t>
        </is>
      </c>
      <c r="V1" s="304" t="inlineStr">
        <is>
          <t>VALOR TOTAL DE INVESTIMENTO (VALOR GLOBAL)</t>
        </is>
      </c>
      <c r="W1" s="304" t="inlineStr">
        <is>
          <t>VALOR REPASSE FNS</t>
        </is>
      </c>
      <c r="X1" s="304" t="inlineStr">
        <is>
          <t>VALOR CONTRAPARTIDA</t>
        </is>
      </c>
      <c r="Y1" s="304" t="inlineStr">
        <is>
          <t>DATA DO ACEITE</t>
        </is>
      </c>
      <c r="Z1" s="306" t="inlineStr">
        <is>
          <t>DATA REPASSE FNS/INSTITUIÇÃO</t>
        </is>
      </c>
      <c r="AA1" s="304" t="inlineStr">
        <is>
          <t>DATA DO INVOICE INSTITUIÇÃO (NF)/ EMPRESA</t>
        </is>
      </c>
      <c r="AB1" s="304" t="inlineStr">
        <is>
          <t>VENCEDORA DA LICITAÇÃO</t>
        </is>
      </c>
      <c r="AC1" s="304" t="inlineStr">
        <is>
          <t>MARCA/MODELO</t>
        </is>
      </c>
      <c r="AD1" s="727" t="inlineStr">
        <is>
          <t>PAC OU NÃO PAC</t>
        </is>
      </c>
      <c r="AE1" s="727" t="inlineStr">
        <is>
          <t>ID CASA CIVIL</t>
        </is>
      </c>
      <c r="AF1" s="727" t="inlineStr">
        <is>
          <t>SITUAÇÃO</t>
        </is>
      </c>
      <c r="AG1" s="727" t="inlineStr">
        <is>
          <t>FASE</t>
        </is>
      </c>
      <c r="AH1" s="726" t="inlineStr">
        <is>
          <t>SITUAÇÃO - SITE</t>
        </is>
      </c>
      <c r="AI1" s="725" t="inlineStr">
        <is>
          <t>EXECUÇÃO FÍSICA (%)</t>
        </is>
      </c>
      <c r="AJ1" s="724" t="inlineStr">
        <is>
          <t>TÉCNICO RESPONSÁVEL - TITULAR</t>
        </is>
      </c>
      <c r="AK1" s="724" t="inlineStr">
        <is>
          <t>TÉCNICO RESPONSÁVEL - SUPLENTE</t>
        </is>
      </c>
      <c r="AL1" s="724" t="inlineStr">
        <is>
          <t>NÍVEL DE MONITORAMENTO (ESTRATÉGICO, TÁTICO E SIMPLIFICADO)</t>
        </is>
      </c>
      <c r="AM1" s="724" t="inlineStr">
        <is>
          <t>STATUS DO MONITORAMENTO FÍSICO</t>
        </is>
      </c>
      <c r="AN1" s="723" t="inlineStr">
        <is>
          <t>FINALIDADE</t>
        </is>
      </c>
      <c r="AO1" s="723" t="inlineStr">
        <is>
          <t>MODALIDADE - ONCO</t>
        </is>
      </c>
      <c r="AP1" s="722" t="inlineStr">
        <is>
          <t>NOME DO RESPONSÁVEL TÉCNICO DA EXECUÇÃO / INSTITUIÇÃO</t>
        </is>
      </c>
      <c r="AQ1" s="722" t="inlineStr">
        <is>
          <t>CONTATO DO RESPONSÁVEL TÉCNICO DA EXECUÇÃO / INSITUIÇÃO</t>
        </is>
      </c>
      <c r="AR1" s="722" t="inlineStr">
        <is>
          <t>ÚLTIMA AÇÃO MONITORAMENTO</t>
        </is>
      </c>
      <c r="AS1" s="404" t="inlineStr">
        <is>
          <t>DATA DA ÚLTIMA AÇÃO/REUNIÃO VIRTUAL</t>
        </is>
      </c>
      <c r="AT1" s="745" t="inlineStr">
        <is>
          <t xml:space="preserve">PRÓXIMA REUNIÃO </t>
        </is>
      </c>
      <c r="AU1" s="721" t="inlineStr">
        <is>
          <t xml:space="preserve"> INÍCIO DA FABRICAÇÃO</t>
        </is>
      </c>
      <c r="AV1" s="721" t="inlineStr">
        <is>
          <t>CHEGADA NO BRASIL (PORTO)</t>
        </is>
      </c>
      <c r="AW1" s="721" t="inlineStr">
        <is>
          <t>ENTREGA</t>
        </is>
      </c>
      <c r="AX1" s="721" t="inlineStr">
        <is>
          <t>INSTALAÇÃO - INÍCIO</t>
        </is>
      </c>
      <c r="AY1" s="721" t="inlineStr">
        <is>
          <t>INSTALAÇÃO - FINAL</t>
        </is>
      </c>
      <c r="AZ1" s="721" t="inlineStr">
        <is>
          <t>COMISSIONAMENTO</t>
        </is>
      </c>
      <c r="BA1" s="720" t="inlineStr">
        <is>
          <t>Inico da Reforma/Obra</t>
        </is>
      </c>
      <c r="BB1" s="720" t="inlineStr">
        <is>
          <t>Ponto Crítico</t>
        </is>
      </c>
      <c r="BC1" s="720" t="inlineStr">
        <is>
          <t>Fim da reforma / Obra</t>
        </is>
      </c>
      <c r="BD1" s="720" t="inlineStr">
        <is>
          <t>Tempo médio</t>
        </is>
      </c>
      <c r="BE1" s="719" t="inlineStr">
        <is>
          <t>PREVISÃO DE INAUGURAÇÃO DO EMPREENDIMENTO / CONVENENTE</t>
        </is>
      </c>
      <c r="BF1" s="718" t="inlineStr">
        <is>
          <t>MATRÍCULA CNEN</t>
        </is>
      </c>
      <c r="BG1" s="717" t="inlineStr">
        <is>
          <t>SCRA PARA LICENÇA DE ALTERAÇÃO DE OPERAÇÃO (DESCOMISSIONAMENTO)</t>
        </is>
      </c>
      <c r="BH1" s="718" t="inlineStr">
        <is>
          <t>STATUS DESCOMISSIONAMENTO</t>
        </is>
      </c>
      <c r="BI1" s="717" t="inlineStr">
        <is>
          <t>SCRA PARA MODIFICAÇÃO/CASAMATA</t>
        </is>
      </c>
      <c r="BJ1" s="718" t="inlineStr">
        <is>
          <t>STATUS MOD. CASAMATA</t>
        </is>
      </c>
      <c r="BK1" s="717" t="inlineStr">
        <is>
          <t>LICENÇA DE OPERAÇÃO / ALTERAÇÃO DE OPERAÇÃO</t>
        </is>
      </c>
      <c r="BL1" s="718" t="inlineStr">
        <is>
          <t>STATUS LICENÇA DE OPERAÇÃO</t>
        </is>
      </c>
      <c r="BM1" s="716" t="inlineStr">
        <is>
          <t>DATA LICENÇA DE OPERAÇÃO</t>
        </is>
      </c>
      <c r="BN1" s="715" t="inlineStr">
        <is>
          <t>Tempo de execução do instrumento (do repasse à emissão da licença de operação CNEN)</t>
        </is>
      </c>
      <c r="BO1" s="715" t="inlineStr">
        <is>
          <t>Tempo de emissão da licença - Descomissionamento</t>
        </is>
      </c>
      <c r="BP1" s="405" t="inlineStr">
        <is>
          <t>Tempo de emissão da licença - Modificação da casamata</t>
        </is>
      </c>
      <c r="BQ1" s="715" t="inlineStr">
        <is>
          <t xml:space="preserve">Tempo de emissão da licença de operação renovada. </t>
        </is>
      </c>
    </row>
    <row r="2" ht="74.25" customFormat="1" customHeight="1" s="787">
      <c r="A2" s="768" t="inlineStr">
        <is>
          <t>NORDESTE</t>
        </is>
      </c>
      <c r="B2" s="768" t="inlineStr">
        <is>
          <t>BA</t>
        </is>
      </c>
      <c r="C2" s="768" t="inlineStr">
        <is>
          <t>SALVADOR</t>
        </is>
      </c>
      <c r="D2" s="768" t="inlineStr">
        <is>
          <t>LIGA BAHIANA CONTRA O CANCER</t>
        </is>
      </c>
      <c r="E2" s="769" t="inlineStr">
        <is>
          <t>15180961000100</t>
        </is>
      </c>
      <c r="F2" s="769" t="inlineStr">
        <is>
          <t>0003786</t>
        </is>
      </c>
      <c r="G2" s="769" t="inlineStr">
        <is>
          <t>Transferegov/SEI</t>
        </is>
      </c>
      <c r="H2" s="769" t="inlineStr">
        <is>
          <t>Convênio</t>
        </is>
      </c>
      <c r="I2" s="768" t="n">
        <v>948684</v>
      </c>
      <c r="J2" s="769" t="inlineStr">
        <is>
          <t>91518023004</t>
        </is>
      </c>
      <c r="K2" s="769" t="inlineStr">
        <is>
          <t>25000.151188/2023-89</t>
        </is>
      </c>
      <c r="L2" s="768" t="inlineStr">
        <is>
          <t>RADIOTERAPIA</t>
        </is>
      </c>
      <c r="M2" s="768" t="n">
        <v>1</v>
      </c>
      <c r="N2" s="769" t="inlineStr">
        <is>
          <t>2023</t>
        </is>
      </c>
      <c r="O2" s="768" t="n">
        <v>1</v>
      </c>
      <c r="P2" s="768" t="inlineStr">
        <is>
          <t>UND</t>
        </is>
      </c>
      <c r="Q2" s="770" t="inlineStr">
        <is>
          <t>011807-Acelerador Linear (Recursos Avançados com IGRT 3D)</t>
        </is>
      </c>
      <c r="R2" s="771" t="n">
        <v>45266</v>
      </c>
      <c r="S2" s="772" t="n">
        <v>46382</v>
      </c>
      <c r="T2" s="772" t="n">
        <v>46442</v>
      </c>
      <c r="U2" s="773" t="inlineStr">
        <is>
          <t>PROGRAMA</t>
        </is>
      </c>
      <c r="V2" s="774" t="n">
        <v>8673095</v>
      </c>
      <c r="W2" s="773" t="inlineStr">
        <is>
          <t>R$ 7.280.259,10</t>
        </is>
      </c>
      <c r="X2" s="774" t="n">
        <v>2281956.5</v>
      </c>
      <c r="Y2" s="774" t="inlineStr">
        <is>
          <t>HOMOLOGADA E PAGA</t>
        </is>
      </c>
      <c r="Z2" s="775" t="n">
        <v>45842</v>
      </c>
      <c r="AA2" s="776" t="n">
        <v>46055</v>
      </c>
      <c r="AB2" s="774" t="inlineStr">
        <is>
          <t>VARIAN MEDICAL SYSTEMS INC</t>
        </is>
      </c>
      <c r="AC2" s="774" t="inlineStr">
        <is>
          <t>Acelerador Linear Modelo VITALBEAM</t>
        </is>
      </c>
      <c r="AD2" s="773" t="inlineStr">
        <is>
          <t>PAC</t>
        </is>
      </c>
      <c r="AE2" s="777" t="n">
        <v>80106</v>
      </c>
      <c r="AF2" s="774" t="inlineStr">
        <is>
          <t>EM EXECUÇÃO</t>
        </is>
      </c>
      <c r="AG2" s="774" t="inlineStr">
        <is>
          <t>Em andamento</t>
        </is>
      </c>
      <c r="AH2" s="778">
        <f>IF(AF2="Em execução","Em execução",
IF(AF2="Em licitação","Em licitação / Leilão",
IF(AF2="Concluído","Concluído",)))</f>
        <v/>
      </c>
      <c r="AI2" s="779" t="n">
        <v>0.95</v>
      </c>
      <c r="AJ2" s="665" t="inlineStr">
        <is>
          <t>SAMUEL</t>
        </is>
      </c>
      <c r="AK2" s="665" t="inlineStr">
        <is>
          <t>PRISCILA</t>
        </is>
      </c>
      <c r="AL2" s="780" t="inlineStr">
        <is>
          <t>ESTRATÉGICO</t>
        </is>
      </c>
      <c r="AM2" s="781" t="inlineStr">
        <is>
          <t>Em monitoramento</t>
        </is>
      </c>
      <c r="AN2" s="768" t="inlineStr">
        <is>
          <t>Substituição</t>
        </is>
      </c>
      <c r="AO2" s="769" t="inlineStr">
        <is>
          <t>Tratamento</t>
        </is>
      </c>
      <c r="AP2" s="782" t="n"/>
      <c r="AQ2" s="782" t="n"/>
      <c r="AR2" s="783" t="inlineStr">
        <is>
          <t>PARECER TÉCNICO Nº 112/2026-CGPCAN/DECAN/SAES/MS emitido em 30/07. Reunião realizada em 28/08/2026, onde Convenente informou que o equipamento encontra-se instalado aguardando Licença para funcionamento, conforme scra 2026SCRA1869 (status aberto).</t>
        </is>
      </c>
      <c r="AS2" s="746" t="inlineStr">
        <is>
          <t>28/08/2026</t>
        </is>
      </c>
      <c r="AT2" s="746" t="n"/>
      <c r="AU2" s="784" t="inlineStr">
        <is>
          <t>09/06/2025 (21/11/2025 data infor. Empresa)</t>
        </is>
      </c>
      <c r="AV2" s="784" t="n">
        <v>46003</v>
      </c>
      <c r="AW2" s="784" t="inlineStr">
        <is>
          <t>17/01/2026 (23/02/2026 empresa)</t>
        </is>
      </c>
      <c r="AX2" s="784" t="n">
        <v>46024</v>
      </c>
      <c r="AY2" s="784" t="n">
        <v>46096</v>
      </c>
      <c r="AZ2" s="784" t="inlineStr">
        <is>
          <t>NI</t>
        </is>
      </c>
      <c r="BA2" s="785" t="n"/>
      <c r="BB2" s="785" t="n"/>
      <c r="BC2" s="785" t="n"/>
      <c r="BD2" s="785" t="n"/>
      <c r="BE2" s="746" t="inlineStr">
        <is>
          <t>30/10/2026</t>
        </is>
      </c>
      <c r="BF2" s="786" t="n">
        <v>11474</v>
      </c>
      <c r="BG2" s="786" t="inlineStr">
        <is>
          <t>NI</t>
        </is>
      </c>
      <c r="BH2" s="786" t="inlineStr">
        <is>
          <t>NI</t>
        </is>
      </c>
      <c r="BI2" s="786" t="inlineStr">
        <is>
          <t xml:space="preserve">2025SCRA0030 </t>
        </is>
      </c>
      <c r="BJ2" s="616" t="inlineStr">
        <is>
          <t>Deferido</t>
        </is>
      </c>
      <c r="BK2" s="617" t="inlineStr">
        <is>
          <t>NI</t>
        </is>
      </c>
      <c r="BL2" s="616" t="inlineStr">
        <is>
          <t>NI</t>
        </is>
      </c>
      <c r="BM2" s="773" t="inlineStr">
        <is>
          <t>NA</t>
        </is>
      </c>
      <c r="BN2" s="786" t="n"/>
      <c r="BO2" s="786" t="n"/>
      <c r="BP2" s="786" t="n"/>
      <c r="BQ2" s="786" t="n"/>
    </row>
    <row r="3" ht="66.75" customFormat="1" customHeight="1" s="479">
      <c r="A3" s="38" t="inlineStr">
        <is>
          <t>NORDESTE</t>
        </is>
      </c>
      <c r="B3" s="38" t="inlineStr">
        <is>
          <t>CE</t>
        </is>
      </c>
      <c r="C3" s="38" t="inlineStr">
        <is>
          <t>BARBALHA</t>
        </is>
      </c>
      <c r="D3" s="38" t="inlineStr">
        <is>
          <t>HOSPITAL MATERNIDADE SAO VICENTE DE PAULO</t>
        </is>
      </c>
      <c r="E3" s="46" t="inlineStr">
        <is>
          <t>03284505000113</t>
        </is>
      </c>
      <c r="F3" s="395" t="inlineStr">
        <is>
          <t>2564211</t>
        </is>
      </c>
      <c r="G3" s="46" t="inlineStr">
        <is>
          <t>Transferegov/SEI</t>
        </is>
      </c>
      <c r="H3" s="46" t="inlineStr">
        <is>
          <t>Convênio</t>
        </is>
      </c>
      <c r="I3" s="38" t="n">
        <v>947524</v>
      </c>
      <c r="J3" s="46" t="inlineStr">
        <is>
          <t>90328423002</t>
        </is>
      </c>
      <c r="K3" s="46" t="inlineStr">
        <is>
          <t>25000.151178/2023-43</t>
        </is>
      </c>
      <c r="L3" s="38" t="inlineStr">
        <is>
          <t>RADIOTERAPIA</t>
        </is>
      </c>
      <c r="M3" s="38" t="n">
        <v>1</v>
      </c>
      <c r="N3" s="46" t="inlineStr">
        <is>
          <t>2023</t>
        </is>
      </c>
      <c r="O3" s="38" t="n">
        <v>1</v>
      </c>
      <c r="P3" s="38" t="inlineStr">
        <is>
          <t>UND</t>
        </is>
      </c>
      <c r="Q3" s="396" t="inlineStr">
        <is>
          <t>011806-Acelerador Linear (Básico-Intermediário)</t>
        </is>
      </c>
      <c r="R3" s="338" t="n">
        <v>45089</v>
      </c>
      <c r="S3" s="100" t="n">
        <v>46178</v>
      </c>
      <c r="T3" s="100" t="n">
        <v>46149</v>
      </c>
      <c r="U3" s="323" t="inlineStr">
        <is>
          <t>PROGRAMA</t>
        </is>
      </c>
      <c r="V3" s="43" t="n">
        <v>8823709</v>
      </c>
      <c r="W3" s="43" t="n">
        <v>8823709</v>
      </c>
      <c r="X3" s="43" t="n">
        <v>0</v>
      </c>
      <c r="Y3" s="43" t="inlineStr">
        <is>
          <t>HOMOLOGADA E PAGA</t>
        </is>
      </c>
      <c r="Z3" s="338" t="n">
        <v>45863</v>
      </c>
      <c r="AA3" s="43" t="inlineStr">
        <is>
          <t>SIM</t>
        </is>
      </c>
      <c r="AB3" s="43" t="inlineStr">
        <is>
          <t>VARIAN MEDICAL SYSTEMS INC</t>
        </is>
      </c>
      <c r="AC3" s="43" t="inlineStr">
        <is>
          <t>Acelerador Linear Modelo HALCYON</t>
        </is>
      </c>
      <c r="AD3" s="323" t="inlineStr">
        <is>
          <t>PAC</t>
        </is>
      </c>
      <c r="AE3" s="44" t="n">
        <v>80107</v>
      </c>
      <c r="AF3" s="43" t="inlineStr">
        <is>
          <t>EM EXECUÇÃO</t>
        </is>
      </c>
      <c r="AG3" s="43" t="inlineStr">
        <is>
          <t>Contratado</t>
        </is>
      </c>
      <c r="AH3" s="706">
        <f>IF(AF3="Em execução","Em execução",
IF(AF3="Em licitação","Em licitação / Leilão",
IF(AF3="Concluído","Concluído",)))</f>
        <v/>
      </c>
      <c r="AI3" s="401" t="n">
        <v>0.5</v>
      </c>
      <c r="AJ3" s="665" t="inlineStr">
        <is>
          <t>SAMUEL</t>
        </is>
      </c>
      <c r="AK3" s="665" t="inlineStr">
        <is>
          <t>PRISCILA</t>
        </is>
      </c>
      <c r="AL3" s="710" t="inlineStr">
        <is>
          <t>ESTRATÉGICO</t>
        </is>
      </c>
      <c r="AM3" s="41" t="inlineStr">
        <is>
          <t>Em monitoramento</t>
        </is>
      </c>
      <c r="AN3" s="38" t="inlineStr">
        <is>
          <t>Substituição</t>
        </is>
      </c>
      <c r="AO3" s="46" t="inlineStr">
        <is>
          <t>Tratamento</t>
        </is>
      </c>
      <c r="AP3" s="464" t="n"/>
      <c r="AQ3" s="464" t="n"/>
      <c r="AR3" s="2" t="inlineStr">
        <is>
          <t>Parecer Técnico nº 130/2026-CGPCAN/DECAN/SAES/MS, emitido em 31/07. Reunião pré agendada para 20/08/2026.  Verificar resposta - atualizar planilha para reunião</t>
        </is>
      </c>
      <c r="AS3" s="407" t="n">
        <v>46358</v>
      </c>
      <c r="AT3" s="746" t="inlineStr">
        <is>
          <t>09/09/2026, 15h</t>
        </is>
      </c>
      <c r="AU3" s="705" t="n">
        <v>45975</v>
      </c>
      <c r="AV3" s="705" t="n"/>
      <c r="AW3" s="705" t="n">
        <v>46095</v>
      </c>
      <c r="AX3" s="705" t="n"/>
      <c r="AY3" s="705" t="n"/>
      <c r="AZ3" s="705" t="n"/>
      <c r="BA3" s="704" t="n"/>
      <c r="BB3" s="704" t="n"/>
      <c r="BC3" s="704" t="n"/>
      <c r="BD3" s="704" t="n"/>
      <c r="BE3" s="394" t="n">
        <v>46388</v>
      </c>
      <c r="BF3" s="703" t="n">
        <v>13535</v>
      </c>
      <c r="BG3" s="703" t="inlineStr">
        <is>
          <t>NI</t>
        </is>
      </c>
      <c r="BH3" s="703" t="inlineStr">
        <is>
          <t>NI</t>
        </is>
      </c>
      <c r="BI3" s="703" t="inlineStr">
        <is>
          <t>2025SCRA1973</t>
        </is>
      </c>
      <c r="BJ3" s="702" t="inlineStr">
        <is>
          <t xml:space="preserve">em análise </t>
        </is>
      </c>
      <c r="BK3" s="703" t="inlineStr">
        <is>
          <t>NI</t>
        </is>
      </c>
      <c r="BL3" s="702" t="inlineStr">
        <is>
          <t>NI</t>
        </is>
      </c>
      <c r="BM3" s="339" t="inlineStr">
        <is>
          <t>NA</t>
        </is>
      </c>
      <c r="BN3" s="703" t="n"/>
      <c r="BO3" s="703" t="n"/>
      <c r="BP3" s="703" t="n"/>
      <c r="BQ3" s="703" t="n"/>
    </row>
    <row r="4" ht="57" customFormat="1" customHeight="1" s="290">
      <c r="A4" s="38" t="inlineStr">
        <is>
          <t>NORDESTE</t>
        </is>
      </c>
      <c r="B4" s="38" t="inlineStr">
        <is>
          <t>CE</t>
        </is>
      </c>
      <c r="C4" s="38" t="inlineStr">
        <is>
          <t>FORTALEZA</t>
        </is>
      </c>
      <c r="D4" s="38" t="inlineStr">
        <is>
          <t>INSTITUTO DO CANCER DO CEARA</t>
        </is>
      </c>
      <c r="E4" s="46" t="inlineStr">
        <is>
          <t>07265515000162</t>
        </is>
      </c>
      <c r="F4" s="46" t="inlineStr">
        <is>
          <t>2723220</t>
        </is>
      </c>
      <c r="G4" s="46" t="inlineStr">
        <is>
          <t>Transferegov/SEI</t>
        </is>
      </c>
      <c r="H4" s="46" t="inlineStr">
        <is>
          <t>Convênio</t>
        </is>
      </c>
      <c r="I4" s="38" t="n">
        <v>948685</v>
      </c>
      <c r="J4" s="46" t="inlineStr">
        <is>
          <t>90726523004</t>
        </is>
      </c>
      <c r="K4" s="46" t="inlineStr">
        <is>
          <t>25000.151183/2023-56</t>
        </is>
      </c>
      <c r="L4" s="38" t="inlineStr">
        <is>
          <t>RADIOTERAPIA</t>
        </is>
      </c>
      <c r="M4" s="38" t="n">
        <v>1</v>
      </c>
      <c r="N4" s="46" t="inlineStr">
        <is>
          <t>2023</t>
        </is>
      </c>
      <c r="O4" s="38" t="n">
        <v>1</v>
      </c>
      <c r="P4" s="38" t="inlineStr">
        <is>
          <t>UND</t>
        </is>
      </c>
      <c r="Q4" s="396" t="inlineStr">
        <is>
          <t>11807- Acelerador Linear (Recursos avançados com IGRT 3D)</t>
        </is>
      </c>
      <c r="R4" s="338" t="n">
        <v>45089</v>
      </c>
      <c r="S4" s="100" t="n">
        <v>46158</v>
      </c>
      <c r="T4" s="100" t="n">
        <v>46218</v>
      </c>
      <c r="U4" s="323" t="inlineStr">
        <is>
          <t>PROGRAMA</t>
        </is>
      </c>
      <c r="V4" s="43" t="n">
        <v>8744495</v>
      </c>
      <c r="W4" s="339" t="inlineStr">
        <is>
          <t>R$ 8.466.000,00</t>
        </is>
      </c>
      <c r="X4" s="43" t="n">
        <v>0</v>
      </c>
      <c r="Y4" s="43" t="inlineStr">
        <is>
          <t>HOMOLOGADA E PAGA</t>
        </is>
      </c>
      <c r="Z4" s="338" t="n">
        <v>45618</v>
      </c>
      <c r="AA4" s="43" t="inlineStr">
        <is>
          <t xml:space="preserve">SIM </t>
        </is>
      </c>
      <c r="AB4" s="43" t="inlineStr">
        <is>
          <t>VARIAN MEDICAL SYSTEMS INC</t>
        </is>
      </c>
      <c r="AC4" s="43" t="inlineStr">
        <is>
          <t>Acelerador Linear TrueBeam</t>
        </is>
      </c>
      <c r="AD4" s="323" t="inlineStr">
        <is>
          <t>PAC</t>
        </is>
      </c>
      <c r="AE4" s="44" t="n">
        <v>80108</v>
      </c>
      <c r="AF4" s="43" t="inlineStr">
        <is>
          <t>EM EXECUÇÃO</t>
        </is>
      </c>
      <c r="AG4" s="43" t="inlineStr">
        <is>
          <t>Em andamento</t>
        </is>
      </c>
      <c r="AH4" s="706">
        <f>IF(AF4="Em execução","Em execução",
IF(AF4="Em licitação","Em licitação / Leilão",
IF(AF4="Concluído","Concluído",)))</f>
        <v/>
      </c>
      <c r="AI4" s="400" t="n">
        <v>0.8</v>
      </c>
      <c r="AJ4" s="701" t="inlineStr">
        <is>
          <t>BRUNA</t>
        </is>
      </c>
      <c r="AK4" s="701" t="inlineStr">
        <is>
          <t>LAYANE</t>
        </is>
      </c>
      <c r="AL4" s="710" t="inlineStr">
        <is>
          <t>ESTRATÉGICO</t>
        </is>
      </c>
      <c r="AM4" s="41" t="inlineStr">
        <is>
          <t>Em monitoramento</t>
        </is>
      </c>
      <c r="AN4" s="38" t="inlineStr">
        <is>
          <t>Substituição</t>
        </is>
      </c>
      <c r="AO4" s="46" t="inlineStr">
        <is>
          <t>Tratamento</t>
        </is>
      </c>
      <c r="AP4" s="46" t="n"/>
      <c r="AQ4" s="46" t="n"/>
      <c r="AR4" s="406" t="inlineStr">
        <is>
          <t>reunião agendada para 05/02/2026</t>
        </is>
      </c>
      <c r="AS4" s="414" t="inlineStr">
        <is>
          <t>29/10/2025</t>
        </is>
      </c>
      <c r="AT4" s="414" t="n"/>
      <c r="AU4" s="700" t="n">
        <v>45972</v>
      </c>
      <c r="AV4" s="700" t="n"/>
      <c r="AW4" s="700" t="n">
        <v>46142</v>
      </c>
      <c r="AX4" s="700" t="n"/>
      <c r="AY4" s="700" t="n"/>
      <c r="AZ4" s="700" t="n"/>
      <c r="BA4" s="699" t="n"/>
      <c r="BB4" s="699" t="n"/>
      <c r="BC4" s="699" t="n"/>
      <c r="BD4" s="699" t="n"/>
      <c r="BE4" s="394" t="inlineStr">
        <is>
          <t>30/12/2026</t>
        </is>
      </c>
      <c r="BF4" s="426" t="n">
        <v>11514</v>
      </c>
      <c r="BG4" s="426" t="inlineStr">
        <is>
          <t>NI</t>
        </is>
      </c>
      <c r="BH4" s="426" t="inlineStr">
        <is>
          <t>NI</t>
        </is>
      </c>
      <c r="BI4" s="698" t="inlineStr">
        <is>
          <t xml:space="preserve">2025SCRA1094 </t>
        </is>
      </c>
      <c r="BJ4" s="697" t="inlineStr">
        <is>
          <t>Deferido</t>
        </is>
      </c>
      <c r="BK4" s="426" t="inlineStr">
        <is>
          <t>NI</t>
        </is>
      </c>
      <c r="BL4" s="696" t="inlineStr">
        <is>
          <t>NI</t>
        </is>
      </c>
      <c r="BM4" s="339" t="inlineStr">
        <is>
          <t>NA</t>
        </is>
      </c>
      <c r="BN4" s="426" t="n"/>
      <c r="BO4" s="426" t="n"/>
      <c r="BP4" s="426" t="n"/>
      <c r="BQ4" s="426" t="n"/>
    </row>
    <row r="5" ht="78" customFormat="1" customHeight="1" s="479">
      <c r="A5" s="38" t="inlineStr">
        <is>
          <t>CENTRO-OESTE</t>
        </is>
      </c>
      <c r="B5" s="38" t="inlineStr">
        <is>
          <t>DF</t>
        </is>
      </c>
      <c r="C5" s="38" t="inlineStr">
        <is>
          <t>BRASILIA</t>
        </is>
      </c>
      <c r="D5" s="38" t="inlineStr">
        <is>
          <t>INSTITUTO DE GESTAO ESTRATEGICA DE SAUDE DO DISTRITO FEDERAL - IGESDF</t>
        </is>
      </c>
      <c r="E5" s="46" t="inlineStr">
        <is>
          <t>28481233000172</t>
        </is>
      </c>
      <c r="F5" s="46" t="inlineStr">
        <is>
          <t>0010456</t>
        </is>
      </c>
      <c r="G5" s="46" t="inlineStr">
        <is>
          <t>Transferegov/SEI</t>
        </is>
      </c>
      <c r="H5" s="46" t="inlineStr">
        <is>
          <t>Convênio</t>
        </is>
      </c>
      <c r="I5" s="38" t="n">
        <v>948686</v>
      </c>
      <c r="J5" s="46" t="inlineStr">
        <is>
          <t>92848123019</t>
        </is>
      </c>
      <c r="K5" s="46" t="inlineStr">
        <is>
          <t>25000.151198/2023-14</t>
        </is>
      </c>
      <c r="L5" s="38" t="inlineStr">
        <is>
          <t>RADIOTERAPIA</t>
        </is>
      </c>
      <c r="M5" s="38" t="n">
        <v>1</v>
      </c>
      <c r="N5" s="46" t="inlineStr">
        <is>
          <t>2023</t>
        </is>
      </c>
      <c r="O5" s="38" t="n">
        <v>1</v>
      </c>
      <c r="P5" s="38" t="inlineStr">
        <is>
          <t>UND</t>
        </is>
      </c>
      <c r="Q5" s="396" t="inlineStr">
        <is>
          <t>010911-Acelerador Linear só de Fótons (monoenergético 6 MV)</t>
        </is>
      </c>
      <c r="R5" s="338" t="n">
        <v>45281</v>
      </c>
      <c r="S5" s="100" t="n">
        <v>46403</v>
      </c>
      <c r="T5" s="100" t="n">
        <v>46463</v>
      </c>
      <c r="U5" s="323" t="inlineStr">
        <is>
          <t>PROGRAMA</t>
        </is>
      </c>
      <c r="V5" s="43" t="n">
        <v>9500000</v>
      </c>
      <c r="W5" s="323" t="inlineStr">
        <is>
          <t>R$ 9.003.200,00</t>
        </is>
      </c>
      <c r="X5" s="43" t="n">
        <v>0</v>
      </c>
      <c r="Y5" s="43" t="inlineStr">
        <is>
          <t>HOMOLOGADA E PAGA</t>
        </is>
      </c>
      <c r="Z5" s="338" t="n">
        <v>45863</v>
      </c>
      <c r="AA5" s="42" t="inlineStr">
        <is>
          <t>NÃO</t>
        </is>
      </c>
      <c r="AB5" s="43" t="inlineStr">
        <is>
          <t>VARIAN MEDICAL SYSTEMS INC</t>
        </is>
      </c>
      <c r="AC5" s="43" t="inlineStr">
        <is>
          <t>Acelerador Linear Modelo HALCYON</t>
        </is>
      </c>
      <c r="AD5" s="323" t="inlineStr">
        <is>
          <t>PAC</t>
        </is>
      </c>
      <c r="AE5" s="44" t="n">
        <v>80109</v>
      </c>
      <c r="AF5" s="695" t="inlineStr">
        <is>
          <t>EM EXECUÇÃO</t>
        </is>
      </c>
      <c r="AG5" s="43" t="inlineStr">
        <is>
          <t>Equipamento em aquisição</t>
        </is>
      </c>
      <c r="AH5" s="706">
        <f>IF(AF5="Em execução","Em execução",
IF(AF5="Em licitação","Em licitação / Leilão",
IF(AF5="Concluído","Concluído",)))</f>
        <v/>
      </c>
      <c r="AI5" s="402" t="n">
        <v>0.3</v>
      </c>
      <c r="AJ5" s="41" t="inlineStr">
        <is>
          <t>PRISCILA</t>
        </is>
      </c>
      <c r="AK5" s="41" t="inlineStr">
        <is>
          <t>BRUNA</t>
        </is>
      </c>
      <c r="AL5" s="710" t="inlineStr">
        <is>
          <t>ESTRATÉGICO</t>
        </is>
      </c>
      <c r="AM5" s="41" t="inlineStr">
        <is>
          <t>Em monitoramento</t>
        </is>
      </c>
      <c r="AN5" s="38" t="inlineStr">
        <is>
          <t>Substituição</t>
        </is>
      </c>
      <c r="AO5" s="46" t="inlineStr">
        <is>
          <t>Tratamento</t>
        </is>
      </c>
      <c r="AP5" s="46" t="n"/>
      <c r="AQ5" s="46" t="n"/>
      <c r="AR5" s="406" t="inlineStr">
        <is>
          <t>SOLICITAR INFORMAÇÕES SOBRE O ANDAMENTO DAS AÇÕES, DETALHAMENTO DO REMANEJAMENTO E INFORMAR A VISITA TÉCNICA - TIVEMOS INFORMAÇÕES POR TELEFONE QUE NENHUMA AÇÃO AONTECEU AINDA - NÃO TEM INVOICE -  Em 08/10/25 foi enviado solicitação de esclarecimento no transferegov e via SEI, para verificar se a instituição revisou o RPAS e deu entrada na CNEN, solicitando a autorização de modificação. Prazo de resposta: 13/10. A instituição respondeu em 13/10, enviando o SCRA (2025SCRA2197) de solicitação encaminhado para CNEN.</t>
        </is>
      </c>
      <c r="AS5" s="694" t="n"/>
      <c r="AT5" s="694" t="n"/>
      <c r="AU5" s="705" t="inlineStr">
        <is>
          <t>Sem previsão</t>
        </is>
      </c>
      <c r="AV5" s="705" t="inlineStr">
        <is>
          <t>Sem previsão</t>
        </is>
      </c>
      <c r="AW5" s="705" t="inlineStr">
        <is>
          <t>Sem previsão</t>
        </is>
      </c>
      <c r="AX5" s="705" t="inlineStr">
        <is>
          <t>Sem previsão</t>
        </is>
      </c>
      <c r="AY5" s="705" t="inlineStr">
        <is>
          <t>Sem previsão</t>
        </is>
      </c>
      <c r="AZ5" s="705" t="inlineStr">
        <is>
          <t>Sem previsão</t>
        </is>
      </c>
      <c r="BA5" s="693" t="n"/>
      <c r="BB5" s="693" t="n"/>
      <c r="BC5" s="693" t="n"/>
      <c r="BD5" s="693" t="n"/>
      <c r="BE5" s="394" t="inlineStr">
        <is>
          <t>NI</t>
        </is>
      </c>
      <c r="BF5" s="703" t="n">
        <v>16981</v>
      </c>
      <c r="BG5" s="703" t="inlineStr">
        <is>
          <t>NI</t>
        </is>
      </c>
      <c r="BH5" s="703" t="inlineStr">
        <is>
          <t>NI</t>
        </is>
      </c>
      <c r="BI5" s="692" t="inlineStr">
        <is>
          <t>2025SCRA2197</t>
        </is>
      </c>
      <c r="BJ5" s="691" t="inlineStr">
        <is>
          <t>Deferido</t>
        </is>
      </c>
      <c r="BK5" s="703" t="inlineStr">
        <is>
          <t>NI</t>
        </is>
      </c>
      <c r="BL5" s="702" t="inlineStr">
        <is>
          <t>NI</t>
        </is>
      </c>
      <c r="BM5" s="339" t="inlineStr">
        <is>
          <t>NA</t>
        </is>
      </c>
      <c r="BN5" s="703" t="n"/>
      <c r="BO5" s="703" t="n"/>
      <c r="BP5" s="703" t="n"/>
      <c r="BQ5" s="703" t="n"/>
    </row>
    <row r="6" ht="59.25" customFormat="1" customHeight="1" s="479">
      <c r="A6" s="38" t="inlineStr">
        <is>
          <t>SUDESTE</t>
        </is>
      </c>
      <c r="B6" s="38" t="inlineStr">
        <is>
          <t>ES</t>
        </is>
      </c>
      <c r="C6" s="38" t="inlineStr">
        <is>
          <t>CACHOEIRO DE ITAPEMIRIM</t>
        </is>
      </c>
      <c r="D6" s="38" t="inlineStr">
        <is>
          <t>HOSPITAL EVANGELICO DE CACHOEIRO DE ITAPEMIRIM</t>
        </is>
      </c>
      <c r="E6" s="46" t="inlineStr">
        <is>
          <t>27193705000129</t>
        </is>
      </c>
      <c r="F6" s="46" t="n">
        <v>2547821</v>
      </c>
      <c r="G6" s="46" t="inlineStr">
        <is>
          <t>Transferegov/SEI</t>
        </is>
      </c>
      <c r="H6" s="46" t="inlineStr">
        <is>
          <t>Convênio</t>
        </is>
      </c>
      <c r="I6" s="38" t="n">
        <v>948687</v>
      </c>
      <c r="J6" s="46" t="inlineStr">
        <is>
          <t>92719323007</t>
        </is>
      </c>
      <c r="K6" s="46" t="inlineStr">
        <is>
          <t>25000.151195/2023-81</t>
        </is>
      </c>
      <c r="L6" s="38" t="inlineStr">
        <is>
          <t>RADIOTERAPIA</t>
        </is>
      </c>
      <c r="M6" s="38" t="n">
        <v>1</v>
      </c>
      <c r="N6" s="46" t="inlineStr">
        <is>
          <t>2023</t>
        </is>
      </c>
      <c r="O6" s="38" t="n">
        <v>1</v>
      </c>
      <c r="P6" s="38" t="inlineStr">
        <is>
          <t>UND</t>
        </is>
      </c>
      <c r="Q6" s="396" t="inlineStr">
        <is>
          <t>010933-Acelerador Linear de Fótons e Elétrons (dual 10 MV)</t>
        </is>
      </c>
      <c r="R6" s="338" t="n">
        <v>45279</v>
      </c>
      <c r="S6" s="100" t="n">
        <v>46170</v>
      </c>
      <c r="T6" s="100" t="n">
        <v>46230</v>
      </c>
      <c r="U6" s="339" t="inlineStr">
        <is>
          <t>PROGRAMA</t>
        </is>
      </c>
      <c r="V6" s="43" t="n">
        <v>8855324</v>
      </c>
      <c r="W6" s="339" t="n">
        <v>8701443.02</v>
      </c>
      <c r="X6" s="43" t="n">
        <v>0</v>
      </c>
      <c r="Y6" s="43" t="inlineStr">
        <is>
          <t>HOMOLOGADA E PAGA</t>
        </is>
      </c>
      <c r="Z6" s="338" t="n">
        <v>45630</v>
      </c>
      <c r="AA6" s="43" t="inlineStr">
        <is>
          <t>NÃO</t>
        </is>
      </c>
      <c r="AB6" s="43" t="inlineStr">
        <is>
          <t>VARIAN MEDICAL SYSTEMS INC</t>
        </is>
      </c>
      <c r="AC6" s="43" t="inlineStr">
        <is>
          <t>Acelerador Linear Modelo HALCYON</t>
        </is>
      </c>
      <c r="AD6" s="339" t="inlineStr">
        <is>
          <t>PAC</t>
        </is>
      </c>
      <c r="AE6" s="44" t="n">
        <v>80110</v>
      </c>
      <c r="AF6" s="43" t="inlineStr">
        <is>
          <t>EM EXECUÇÃO</t>
        </is>
      </c>
      <c r="AG6" s="43" t="inlineStr">
        <is>
          <t>Em andamento</t>
        </is>
      </c>
      <c r="AH6" s="706">
        <f>IF(AF6="Em execução","Em execução",
IF(AF6="Em licitação","Em licitação / Leilão",
IF(AF6="Concluído","Concluído",)))</f>
        <v/>
      </c>
      <c r="AI6" s="400" t="n">
        <v>0.8</v>
      </c>
      <c r="AJ6" s="665" t="inlineStr">
        <is>
          <t>SAMUEL</t>
        </is>
      </c>
      <c r="AK6" s="665" t="inlineStr">
        <is>
          <t>PRISCILA</t>
        </is>
      </c>
      <c r="AL6" s="710" t="inlineStr">
        <is>
          <t>ESTRATÉGICO</t>
        </is>
      </c>
      <c r="AM6" s="41" t="inlineStr">
        <is>
          <t>Em monitoramento</t>
        </is>
      </c>
      <c r="AN6" s="38" t="inlineStr">
        <is>
          <t>Substituição</t>
        </is>
      </c>
      <c r="AO6" s="46" t="inlineStr">
        <is>
          <t>Tratamento</t>
        </is>
      </c>
      <c r="AP6" s="464" t="n"/>
      <c r="AQ6" s="730" t="n"/>
      <c r="AR6" s="479" t="inlineStr">
        <is>
          <t>Parecer Técnico 129 (0057102442). Verificar a resposta, realizar o registro da reunião realizada na última sexta 21/08/2025, elaborar o próximo parecer e agendar a próxima reunião, conforme alinhamento dos prazos.</t>
        </is>
      </c>
      <c r="AS6" s="414" t="inlineStr">
        <is>
          <t>21/08/2026</t>
        </is>
      </c>
      <c r="AT6" s="465" t="n"/>
      <c r="AU6" s="705" t="n">
        <v>46043</v>
      </c>
      <c r="AV6" s="705" t="n"/>
      <c r="AW6" s="705" t="n">
        <v>46142</v>
      </c>
      <c r="AX6" s="705" t="n"/>
      <c r="AY6" s="705" t="n"/>
      <c r="AZ6" s="705" t="n"/>
      <c r="BA6" s="689" t="n"/>
      <c r="BB6" s="703" t="n"/>
      <c r="BC6" s="703" t="n"/>
      <c r="BD6" s="703" t="n"/>
      <c r="BE6" s="394" t="inlineStr">
        <is>
          <t>30/11/2026</t>
        </is>
      </c>
      <c r="BF6" s="703" t="n"/>
      <c r="BG6" s="703" t="inlineStr">
        <is>
          <t>NI</t>
        </is>
      </c>
      <c r="BH6" s="703" t="inlineStr">
        <is>
          <t>NI</t>
        </is>
      </c>
      <c r="BI6" s="692" t="inlineStr">
        <is>
          <t>NI</t>
        </is>
      </c>
      <c r="BJ6" s="691" t="inlineStr">
        <is>
          <t>NI</t>
        </is>
      </c>
      <c r="BK6" s="703" t="inlineStr">
        <is>
          <t>NI</t>
        </is>
      </c>
      <c r="BL6" s="702" t="inlineStr">
        <is>
          <t>NI</t>
        </is>
      </c>
      <c r="BM6" s="339" t="inlineStr">
        <is>
          <t>NA</t>
        </is>
      </c>
      <c r="BN6" s="703" t="n"/>
      <c r="BO6" s="703" t="n"/>
      <c r="BP6" s="703" t="n"/>
      <c r="BQ6" s="703" t="n"/>
    </row>
    <row r="7" ht="78.75" customHeight="1">
      <c r="A7" s="38" t="inlineStr">
        <is>
          <t>NORDESTE</t>
        </is>
      </c>
      <c r="B7" s="38" t="inlineStr">
        <is>
          <t>PI</t>
        </is>
      </c>
      <c r="C7" s="38" t="inlineStr">
        <is>
          <t xml:space="preserve">TERESINA </t>
        </is>
      </c>
      <c r="D7" s="38" t="inlineStr">
        <is>
          <t>ASSOCIACAO PIAUIENSE DE COMBATE AO CANCER - ACL 1</t>
        </is>
      </c>
      <c r="E7" s="46" t="inlineStr">
        <is>
          <t>06870026000177</t>
        </is>
      </c>
      <c r="F7" s="46" t="inlineStr">
        <is>
          <t>2726998</t>
        </is>
      </c>
      <c r="G7" s="46" t="inlineStr">
        <is>
          <t>Transferegov/SEI</t>
        </is>
      </c>
      <c r="H7" s="46" t="inlineStr">
        <is>
          <t>Convênio</t>
        </is>
      </c>
      <c r="I7" s="38" t="n">
        <v>947527</v>
      </c>
      <c r="J7" s="46" t="inlineStr">
        <is>
          <t>90687023002</t>
        </is>
      </c>
      <c r="K7" s="46" t="inlineStr">
        <is>
          <t>25000.151181/2023-67</t>
        </is>
      </c>
      <c r="L7" s="38" t="inlineStr">
        <is>
          <t>RADIOTERAPIA</t>
        </is>
      </c>
      <c r="M7" s="38" t="n">
        <v>2</v>
      </c>
      <c r="N7" s="46" t="inlineStr">
        <is>
          <t>2023</t>
        </is>
      </c>
      <c r="O7" s="38" t="n">
        <v>2</v>
      </c>
      <c r="P7" s="38" t="inlineStr">
        <is>
          <t>UND</t>
        </is>
      </c>
      <c r="Q7" s="396" t="inlineStr">
        <is>
          <t xml:space="preserve">	11807-Acelerador Linear (Básico - Intermediário)</t>
        </is>
      </c>
      <c r="R7" s="338" t="n">
        <v>45089</v>
      </c>
      <c r="S7" s="100" t="n">
        <v>46189</v>
      </c>
      <c r="T7" s="100" t="n">
        <v>46249</v>
      </c>
      <c r="U7" s="339" t="inlineStr">
        <is>
          <t>PROGRAMA</t>
        </is>
      </c>
      <c r="V7" s="43" t="n">
        <v>15519124</v>
      </c>
      <c r="W7" s="339" t="n">
        <v>15483600</v>
      </c>
      <c r="X7" s="43" t="n">
        <v>0</v>
      </c>
      <c r="Y7" s="43" t="inlineStr">
        <is>
          <t>HOMOLOGADA E PAGA</t>
        </is>
      </c>
      <c r="Z7" s="338" t="n">
        <v>45649</v>
      </c>
      <c r="AA7" s="43" t="inlineStr">
        <is>
          <t xml:space="preserve">SIM </t>
        </is>
      </c>
      <c r="AB7" s="43" t="inlineStr">
        <is>
          <t>VARIAN MEDICAL SYSTEMS INC</t>
        </is>
      </c>
      <c r="AC7" s="43" t="inlineStr">
        <is>
          <t>Acelerador Linear Modelo HALCYON</t>
        </is>
      </c>
      <c r="AD7" s="339" t="inlineStr">
        <is>
          <t>PAC</t>
        </is>
      </c>
      <c r="AE7" s="44" t="n">
        <v>80111</v>
      </c>
      <c r="AF7" s="43" t="inlineStr">
        <is>
          <t>EM EXECUÇÃO</t>
        </is>
      </c>
      <c r="AG7" s="43" t="inlineStr">
        <is>
          <t>Concluído</t>
        </is>
      </c>
      <c r="AH7" s="706">
        <f>IF(AF7="Em execução","Em execução",
IF(AF7="Em licitação","Em licitação / Leilão",
IF(AF7="Concluído","Concluído",)))</f>
        <v/>
      </c>
      <c r="AI7" s="428" t="n">
        <v>1</v>
      </c>
      <c r="AJ7" s="41" t="inlineStr">
        <is>
          <t>BRUNA</t>
        </is>
      </c>
      <c r="AK7" s="41" t="inlineStr">
        <is>
          <t>PRISCILA</t>
        </is>
      </c>
      <c r="AL7" s="710" t="inlineStr">
        <is>
          <t>ESTRATÉGICO</t>
        </is>
      </c>
      <c r="AM7" s="706" t="inlineStr">
        <is>
          <t>Concluído</t>
        </is>
      </c>
      <c r="AN7" s="38" t="inlineStr">
        <is>
          <t>Substituição</t>
        </is>
      </c>
      <c r="AO7" s="46" t="inlineStr">
        <is>
          <t>Tratamento</t>
        </is>
      </c>
      <c r="AP7" s="46" t="n"/>
      <c r="AQ7" s="46" t="n"/>
      <c r="AR7" s="688" t="inlineStr">
        <is>
          <t>Finalizado</t>
        </is>
      </c>
      <c r="AS7" s="687" t="n">
        <v>46328</v>
      </c>
      <c r="AT7" s="414" t="inlineStr">
        <is>
          <t>26/03/2026 (cancelado)</t>
        </is>
      </c>
      <c r="AU7" s="338" t="inlineStr">
        <is>
          <t>NI</t>
        </is>
      </c>
      <c r="AV7" s="338" t="inlineStr">
        <is>
          <t>1º AL: 11/11/2025 2º AL: 02/12/2026</t>
        </is>
      </c>
      <c r="AW7" s="338" t="inlineStr">
        <is>
          <t>1º AL: 15/12/2025 2º AL: 07/12/2026</t>
        </is>
      </c>
      <c r="AX7" s="338" t="inlineStr">
        <is>
          <t>1º AL: 9/1/2026  2º AL: 08/01/2027</t>
        </is>
      </c>
      <c r="AY7" s="338" t="inlineStr">
        <is>
          <t>1º AL: 13/02/2026 2º AL: 19/03/2027</t>
        </is>
      </c>
      <c r="AZ7" s="338" t="inlineStr">
        <is>
          <t>1º AL: 22/02/2026 2º AL: 04/04/2027</t>
        </is>
      </c>
      <c r="BA7" s="686" t="n"/>
      <c r="BB7" s="686" t="n"/>
      <c r="BC7" s="686" t="n"/>
      <c r="BD7" s="686" t="n"/>
      <c r="BE7" s="394" t="n">
        <v>46124</v>
      </c>
      <c r="BF7" s="38" t="n">
        <v>11553</v>
      </c>
      <c r="BG7" s="38" t="inlineStr">
        <is>
          <t>NI</t>
        </is>
      </c>
      <c r="BH7" s="38" t="inlineStr">
        <is>
          <t>NI</t>
        </is>
      </c>
      <c r="BI7" s="698" t="n"/>
      <c r="BJ7" s="697" t="inlineStr">
        <is>
          <t>Deferido</t>
        </is>
      </c>
      <c r="BK7" s="38" t="inlineStr">
        <is>
          <t>NI</t>
        </is>
      </c>
      <c r="BL7" s="685" t="inlineStr">
        <is>
          <t>NI</t>
        </is>
      </c>
      <c r="BM7" s="339" t="inlineStr">
        <is>
          <t>NA</t>
        </is>
      </c>
      <c r="BN7" s="38" t="n"/>
      <c r="BO7" s="38" t="n"/>
      <c r="BP7" s="38" t="n"/>
      <c r="BQ7" s="38" t="n"/>
    </row>
    <row r="8" ht="68.25" customHeight="1">
      <c r="A8" s="38" t="inlineStr">
        <is>
          <t>NORDESTE</t>
        </is>
      </c>
      <c r="B8" s="38" t="inlineStr">
        <is>
          <t>PI</t>
        </is>
      </c>
      <c r="C8" s="38" t="inlineStr">
        <is>
          <t>TERESINA</t>
        </is>
      </c>
      <c r="D8" s="38" t="inlineStr">
        <is>
          <t>ASSOCIACAO PIAUIENSE DE COMBATE AO CANCER - ACL 2</t>
        </is>
      </c>
      <c r="E8" s="46" t="inlineStr">
        <is>
          <t>06870026000177</t>
        </is>
      </c>
      <c r="F8" s="46" t="inlineStr">
        <is>
          <t>2726998</t>
        </is>
      </c>
      <c r="G8" s="46" t="inlineStr">
        <is>
          <t>Transferegov/SEI</t>
        </is>
      </c>
      <c r="H8" s="46" t="inlineStr">
        <is>
          <t>Convênio</t>
        </is>
      </c>
      <c r="I8" s="38" t="n">
        <v>947527</v>
      </c>
      <c r="J8" s="46" t="inlineStr">
        <is>
          <t>90687023002</t>
        </is>
      </c>
      <c r="K8" s="46" t="inlineStr">
        <is>
          <t>25000.151181/2023-67</t>
        </is>
      </c>
      <c r="L8" s="38" t="inlineStr">
        <is>
          <t>RADIOTERAPIA</t>
        </is>
      </c>
      <c r="M8" s="38" t="n">
        <v>2</v>
      </c>
      <c r="N8" s="46" t="inlineStr">
        <is>
          <t>2023</t>
        </is>
      </c>
      <c r="O8" s="38" t="n">
        <v>2</v>
      </c>
      <c r="P8" s="38" t="inlineStr">
        <is>
          <t>UND</t>
        </is>
      </c>
      <c r="Q8" s="396" t="inlineStr">
        <is>
          <t xml:space="preserve">	11806-Acelerador Linear (Recursos avançados com IGRT 3D)</t>
        </is>
      </c>
      <c r="R8" s="338" t="n">
        <v>45089</v>
      </c>
      <c r="S8" s="100" t="n">
        <v>46189</v>
      </c>
      <c r="T8" s="100" t="n">
        <v>46249</v>
      </c>
      <c r="U8" s="339" t="inlineStr">
        <is>
          <t>PROGRAMA</t>
        </is>
      </c>
      <c r="V8" s="43" t="n">
        <v>15519124</v>
      </c>
      <c r="W8" s="339" t="n">
        <v>15483600</v>
      </c>
      <c r="X8" s="43" t="n">
        <v>0</v>
      </c>
      <c r="Y8" s="43" t="inlineStr">
        <is>
          <t>HOMOLOGADA E PAGA</t>
        </is>
      </c>
      <c r="Z8" s="338" t="n">
        <v>45649</v>
      </c>
      <c r="AA8" s="43" t="inlineStr">
        <is>
          <t xml:space="preserve">SIM </t>
        </is>
      </c>
      <c r="AB8" s="43" t="inlineStr">
        <is>
          <t>VARIAN MEDICAL SYSTEMS INC</t>
        </is>
      </c>
      <c r="AC8" s="43" t="inlineStr">
        <is>
          <t>Acelerador Linear Modelo VITALBEAM</t>
        </is>
      </c>
      <c r="AD8" s="339" t="inlineStr">
        <is>
          <t>PAC</t>
        </is>
      </c>
      <c r="AE8" s="44" t="n">
        <v>80111</v>
      </c>
      <c r="AF8" s="43" t="inlineStr">
        <is>
          <t>EM EXECUÇÃO</t>
        </is>
      </c>
      <c r="AG8" s="43" t="inlineStr">
        <is>
          <t>Em andamento</t>
        </is>
      </c>
      <c r="AH8" s="706">
        <f>IF(AF8="Em execução","Em execução",
IF(AF8="Em licitação","Em licitação / Leilão",
IF(AF8="Concluído","Concluído",)))</f>
        <v/>
      </c>
      <c r="AI8" s="400" t="n">
        <v>0.8</v>
      </c>
      <c r="AJ8" s="41" t="inlineStr">
        <is>
          <t>BRUNA</t>
        </is>
      </c>
      <c r="AK8" s="41" t="inlineStr">
        <is>
          <t>PRISCILA</t>
        </is>
      </c>
      <c r="AL8" s="41" t="n"/>
      <c r="AM8" s="41" t="inlineStr">
        <is>
          <t>Em monitoramento</t>
        </is>
      </c>
      <c r="AN8" s="38" t="inlineStr">
        <is>
          <t>Substituição</t>
        </is>
      </c>
      <c r="AO8" s="46" t="inlineStr">
        <is>
          <t>Tratamento</t>
        </is>
      </c>
      <c r="AP8" s="46" t="n"/>
      <c r="AQ8" s="46" t="n"/>
      <c r="AR8" s="688" t="inlineStr">
        <is>
          <t>24/08/2026 – Atualização: Previsão de conclusão da obra em janeiro/2027. A importação do equipamento está prevista para outubro/2026, com entrega no Brasil estimada para dezembro/2026. A previsão para entrada do processo de Licença de Operação é abril/2027, com expectativa de autorização em julho/2027.</t>
        </is>
      </c>
      <c r="AS8" s="684" t="n">
        <v>46328</v>
      </c>
      <c r="AT8" s="683" t="inlineStr">
        <is>
          <t>26/03/2026 (cancelado)</t>
        </is>
      </c>
      <c r="AU8" s="338" t="inlineStr">
        <is>
          <t>NI</t>
        </is>
      </c>
      <c r="AV8" s="338" t="n"/>
      <c r="AW8" s="338" t="n"/>
      <c r="AX8" s="338" t="n"/>
      <c r="AY8" s="338" t="n"/>
      <c r="AZ8" s="338" t="n"/>
      <c r="BA8" s="686" t="n"/>
      <c r="BB8" s="686" t="n"/>
      <c r="BC8" s="686" t="n"/>
      <c r="BD8" s="686" t="n"/>
      <c r="BE8" s="682" t="inlineStr">
        <is>
          <t xml:space="preserve"> 30/07/2027</t>
        </is>
      </c>
      <c r="BF8" s="38" t="n">
        <v>11553</v>
      </c>
      <c r="BG8" s="38" t="inlineStr">
        <is>
          <t>NI</t>
        </is>
      </c>
      <c r="BH8" s="38" t="inlineStr">
        <is>
          <t>NI</t>
        </is>
      </c>
      <c r="BI8" s="698" t="inlineStr">
        <is>
          <t>2023SCRA1090</t>
        </is>
      </c>
      <c r="BJ8" s="697" t="inlineStr">
        <is>
          <t>Deferido</t>
        </is>
      </c>
      <c r="BK8" s="38" t="inlineStr">
        <is>
          <t>NI</t>
        </is>
      </c>
      <c r="BL8" s="685" t="inlineStr">
        <is>
          <t>NI</t>
        </is>
      </c>
      <c r="BM8" s="339" t="inlineStr">
        <is>
          <t>NA</t>
        </is>
      </c>
      <c r="BN8" s="38" t="n"/>
      <c r="BO8" s="38" t="n"/>
      <c r="BP8" s="38" t="n"/>
      <c r="BQ8" s="38" t="n"/>
    </row>
    <row r="9" ht="48.75" customHeight="1">
      <c r="A9" s="38" t="inlineStr">
        <is>
          <t>SUL</t>
        </is>
      </c>
      <c r="B9" s="38" t="inlineStr">
        <is>
          <t>PR</t>
        </is>
      </c>
      <c r="C9" s="38" t="inlineStr">
        <is>
          <t>CURITIBA</t>
        </is>
      </c>
      <c r="D9" s="38" t="inlineStr">
        <is>
          <t>LIGA PARANAENSE DE COMBATE AO CANCER - ACL 1</t>
        </is>
      </c>
      <c r="E9" s="46" t="inlineStr">
        <is>
          <t>76591049000128</t>
        </is>
      </c>
      <c r="F9" s="46" t="inlineStr">
        <is>
          <t>0015644</t>
        </is>
      </c>
      <c r="G9" s="46" t="inlineStr">
        <is>
          <t>Transferegov/SEI</t>
        </is>
      </c>
      <c r="H9" s="46" t="inlineStr">
        <is>
          <t>Convênio</t>
        </is>
      </c>
      <c r="I9" s="426" t="n">
        <v>948692</v>
      </c>
      <c r="J9" s="46" t="inlineStr">
        <is>
          <t>97659123017</t>
        </is>
      </c>
      <c r="K9" s="46" t="inlineStr">
        <is>
          <t>25000.151210/2023-91</t>
        </is>
      </c>
      <c r="L9" s="38" t="inlineStr">
        <is>
          <t>RADIOTERAPIA</t>
        </is>
      </c>
      <c r="M9" s="38" t="n">
        <v>2</v>
      </c>
      <c r="N9" s="46" t="inlineStr">
        <is>
          <t>2023</t>
        </is>
      </c>
      <c r="O9" s="38" t="n">
        <v>2</v>
      </c>
      <c r="P9" s="38" t="inlineStr">
        <is>
          <t>UND</t>
        </is>
      </c>
      <c r="Q9" s="396" t="inlineStr">
        <is>
          <t>010911-Acelerador Linear só de Fótons (monoenergético 6 MV)</t>
        </is>
      </c>
      <c r="R9" s="338" t="n">
        <v>45281</v>
      </c>
      <c r="S9" s="100" t="n">
        <v>46361</v>
      </c>
      <c r="T9" s="100" t="n">
        <v>46421</v>
      </c>
      <c r="U9" s="339" t="inlineStr">
        <is>
          <t>PROGRAMA</t>
        </is>
      </c>
      <c r="V9" s="43" t="n">
        <v>14632696</v>
      </c>
      <c r="W9" s="176" t="inlineStr">
        <is>
          <t>R$ 14.632.696,00</t>
        </is>
      </c>
      <c r="X9" s="43" t="n">
        <v>0</v>
      </c>
      <c r="Y9" s="43" t="inlineStr">
        <is>
          <t>HOMOLOGADA E PAGA</t>
        </is>
      </c>
      <c r="Z9" s="338" t="n">
        <v>45475</v>
      </c>
      <c r="AA9" s="176" t="inlineStr">
        <is>
          <t xml:space="preserve">SIM </t>
        </is>
      </c>
      <c r="AB9" s="43" t="inlineStr">
        <is>
          <t>VARIAN MEDICAL SYSTEMS INC</t>
        </is>
      </c>
      <c r="AC9" s="43" t="inlineStr">
        <is>
          <t>Acelerador Linear Modelo VITALBEAM</t>
        </is>
      </c>
      <c r="AD9" s="339" t="inlineStr">
        <is>
          <t>PAC</t>
        </is>
      </c>
      <c r="AE9" s="44" t="n">
        <v>80112</v>
      </c>
      <c r="AF9" s="43" t="inlineStr">
        <is>
          <t>EM EXECUÇÃO</t>
        </is>
      </c>
      <c r="AG9" s="397" t="inlineStr">
        <is>
          <t>Em andamento</t>
        </is>
      </c>
      <c r="AH9" s="706">
        <f>IF(AF9="Em execução","Em execução",
IF(AF9="Em licitação","Em licitação / Leilão",
IF(AF9="Concluído","Concluído",)))</f>
        <v/>
      </c>
      <c r="AI9" s="400" t="n">
        <v>0.8</v>
      </c>
      <c r="AJ9" s="41" t="inlineStr">
        <is>
          <t>BRUNA</t>
        </is>
      </c>
      <c r="AK9" s="41" t="inlineStr">
        <is>
          <t>LAYANE</t>
        </is>
      </c>
      <c r="AL9" s="41" t="n"/>
      <c r="AM9" s="41" t="inlineStr">
        <is>
          <t>Em monitoramento</t>
        </is>
      </c>
      <c r="AN9" s="38" t="inlineStr">
        <is>
          <t>Substituição</t>
        </is>
      </c>
      <c r="AO9" s="46" t="inlineStr">
        <is>
          <t>Tratamento</t>
        </is>
      </c>
      <c r="AP9" s="46" t="n"/>
      <c r="AQ9" s="46" t="n"/>
      <c r="AR9" s="805" t="inlineStr">
        <is>
          <t xml:space="preserve">17/06/2026 -  Mantém-se a classificação de 01 (um) bunker de baixa complexidade e 01 (um) bunker de alta complexidade, em razão da necessidade de fundação especial e reforço da laje superior a 1,00 metro. Houve ajuste no cronograma do bunker de baixa complexidade, ocasionando atraso na obra, que atualmente se encontra em fase de pintura e instalação do forro, com previsão de conclusão em junho de 2026, chegada do acelerador ao porto em julho de 2026 e entrega e instalação em agosto de 2026.  25/08/26 solicitei confirmação das datas. </t>
        </is>
      </c>
      <c r="AS9" s="680" t="n">
        <v>46177</v>
      </c>
      <c r="AT9" s="679" t="n"/>
      <c r="AU9" s="338" t="n">
        <v>45954</v>
      </c>
      <c r="AV9" s="338" t="inlineStr">
        <is>
          <t>julho/26 e agosto/26</t>
        </is>
      </c>
      <c r="AW9" s="338" t="inlineStr">
        <is>
          <t>agosto/2026 e setembro/2026 (data informada pela empresa)</t>
        </is>
      </c>
      <c r="AX9" s="338" t="inlineStr">
        <is>
          <t>1° 01/05/26 2° 30/01/2027</t>
        </is>
      </c>
      <c r="AY9" s="338" t="n"/>
      <c r="AZ9" s="338" t="n"/>
      <c r="BA9" s="678" t="n"/>
      <c r="BB9" s="678" t="n"/>
      <c r="BC9" s="678" t="n"/>
      <c r="BD9" s="678" t="n"/>
      <c r="BE9" s="752" t="inlineStr">
        <is>
          <t xml:space="preserve">30/11/2026 </t>
        </is>
      </c>
      <c r="BF9" s="38" t="n">
        <v>11535</v>
      </c>
      <c r="BG9" s="38" t="inlineStr">
        <is>
          <t>NI</t>
        </is>
      </c>
      <c r="BH9" s="38" t="inlineStr">
        <is>
          <t>NI</t>
        </is>
      </c>
      <c r="BI9" s="698" t="inlineStr">
        <is>
          <t>2025SCRA1089</t>
        </is>
      </c>
      <c r="BJ9" s="697" t="inlineStr">
        <is>
          <t>Deferido</t>
        </is>
      </c>
      <c r="BK9" s="38" t="inlineStr">
        <is>
          <t>NI</t>
        </is>
      </c>
      <c r="BL9" s="685" t="inlineStr">
        <is>
          <t>NI</t>
        </is>
      </c>
      <c r="BM9" s="411" t="inlineStr">
        <is>
          <t>NA</t>
        </is>
      </c>
      <c r="BN9" s="38" t="n"/>
      <c r="BO9" s="38" t="n"/>
      <c r="BP9" s="38" t="n"/>
      <c r="BQ9" s="38" t="n"/>
    </row>
    <row r="10" ht="58.5" customHeight="1">
      <c r="A10" s="38" t="inlineStr">
        <is>
          <t>SUL</t>
        </is>
      </c>
      <c r="B10" s="38" t="inlineStr">
        <is>
          <t>PR</t>
        </is>
      </c>
      <c r="C10" s="38" t="inlineStr">
        <is>
          <t>CURITIBA</t>
        </is>
      </c>
      <c r="D10" s="38" t="inlineStr">
        <is>
          <t>LIGA PARANAENSE DE COMBATE AO CANCER - ACL 2</t>
        </is>
      </c>
      <c r="E10" s="46" t="inlineStr">
        <is>
          <t>76591049000128</t>
        </is>
      </c>
      <c r="F10" s="46" t="inlineStr">
        <is>
          <t>0015644</t>
        </is>
      </c>
      <c r="G10" s="46" t="inlineStr">
        <is>
          <t>Transferegov/SEI</t>
        </is>
      </c>
      <c r="H10" s="46" t="inlineStr">
        <is>
          <t>Convênio</t>
        </is>
      </c>
      <c r="I10" s="38" t="n">
        <v>948692</v>
      </c>
      <c r="J10" s="46" t="inlineStr">
        <is>
          <t>97659123017</t>
        </is>
      </c>
      <c r="K10" s="46" t="inlineStr">
        <is>
          <t>25000.151210/2023-91</t>
        </is>
      </c>
      <c r="L10" s="38" t="inlineStr">
        <is>
          <t>RADIOTERAPIA</t>
        </is>
      </c>
      <c r="M10" s="38" t="n">
        <v>2</v>
      </c>
      <c r="N10" s="46" t="inlineStr">
        <is>
          <t>2023</t>
        </is>
      </c>
      <c r="O10" s="38" t="n">
        <v>2</v>
      </c>
      <c r="P10" s="38" t="inlineStr">
        <is>
          <t>UND</t>
        </is>
      </c>
      <c r="Q10" s="396" t="inlineStr">
        <is>
          <t>010911-Acelerador Linear só de Fótons (monoenergético 6 MV)</t>
        </is>
      </c>
      <c r="R10" s="338" t="n">
        <v>45281</v>
      </c>
      <c r="S10" s="100" t="n">
        <v>46361</v>
      </c>
      <c r="T10" s="100" t="n">
        <v>46421</v>
      </c>
      <c r="U10" s="339" t="inlineStr">
        <is>
          <t>PROGRAMA</t>
        </is>
      </c>
      <c r="V10" s="43" t="n">
        <v>14632696</v>
      </c>
      <c r="W10" s="176" t="inlineStr">
        <is>
          <t>R$ 14.632.696,00</t>
        </is>
      </c>
      <c r="X10" s="43" t="n">
        <v>0</v>
      </c>
      <c r="Y10" s="43" t="inlineStr">
        <is>
          <t>HOMOLOGADA E PAGA</t>
        </is>
      </c>
      <c r="Z10" s="338" t="n">
        <v>45475</v>
      </c>
      <c r="AA10" s="176" t="inlineStr">
        <is>
          <t xml:space="preserve">SIM </t>
        </is>
      </c>
      <c r="AB10" s="43" t="inlineStr">
        <is>
          <t>VARIAN MEDICAL SYSTEMS INC</t>
        </is>
      </c>
      <c r="AC10" s="43" t="inlineStr">
        <is>
          <t>Acelerador Linear Modelo VITALBEAM</t>
        </is>
      </c>
      <c r="AD10" s="339" t="inlineStr">
        <is>
          <t>PAC</t>
        </is>
      </c>
      <c r="AE10" s="44" t="n">
        <v>80112</v>
      </c>
      <c r="AF10" s="43" t="inlineStr">
        <is>
          <t>EM EXECUÇÃO</t>
        </is>
      </c>
      <c r="AG10" s="397" t="inlineStr">
        <is>
          <t>Em andamento</t>
        </is>
      </c>
      <c r="AH10" s="706">
        <f>IF(AF10="Em execução","Em execução",
IF(AF10="Em licitação","Em licitação / Leilão",
IF(AF10="Concluído","Concluído",)))</f>
        <v/>
      </c>
      <c r="AI10" s="400" t="n">
        <v>0.8</v>
      </c>
      <c r="AJ10" s="41" t="inlineStr">
        <is>
          <t>BRUNA</t>
        </is>
      </c>
      <c r="AK10" s="41" t="inlineStr">
        <is>
          <t>LAYANE</t>
        </is>
      </c>
      <c r="AL10" s="41" t="n"/>
      <c r="AM10" s="41" t="inlineStr">
        <is>
          <t>Em monitoramento</t>
        </is>
      </c>
      <c r="AN10" s="38" t="inlineStr">
        <is>
          <t>Substituição</t>
        </is>
      </c>
      <c r="AO10" s="46" t="inlineStr">
        <is>
          <t>Tratamento</t>
        </is>
      </c>
      <c r="AP10" s="46" t="n"/>
      <c r="AQ10" s="46" t="n"/>
      <c r="AR10" s="681" t="inlineStr">
        <is>
          <t>17/06/2026 -  Já o bunker de alta complexidade encontra-se em fase de concretagem da fundação, com a blindagem concluída e aguardando a cura do concreto, com previsão de conclusão da obra em julho de 2026, chegada do acelerador ao porto em agosto de 2026 e entrega e instalação em setembro de 2026.</t>
        </is>
      </c>
      <c r="AS10" s="680" t="n">
        <v>46177</v>
      </c>
      <c r="AT10" s="679" t="n"/>
      <c r="AU10" s="338" t="n">
        <v>45954</v>
      </c>
      <c r="AV10" s="338" t="inlineStr">
        <is>
          <t>julho/26 e agosto/26</t>
        </is>
      </c>
      <c r="AW10" s="338" t="inlineStr">
        <is>
          <t>agosto/2026 e setembro/2026 (data informada pela empresa)</t>
        </is>
      </c>
      <c r="AX10" s="338" t="inlineStr">
        <is>
          <t>1° 01/05/26 2° 30/01/2027</t>
        </is>
      </c>
      <c r="AY10" s="338" t="n"/>
      <c r="AZ10" s="338" t="n"/>
      <c r="BA10" s="678" t="n"/>
      <c r="BB10" s="678" t="n"/>
      <c r="BC10" s="678" t="n"/>
      <c r="BD10" s="678" t="n"/>
      <c r="BE10" s="677" t="inlineStr">
        <is>
          <t>30/02/2027</t>
        </is>
      </c>
      <c r="BF10" s="38" t="n">
        <v>11535</v>
      </c>
      <c r="BG10" s="38" t="inlineStr">
        <is>
          <t>NI</t>
        </is>
      </c>
      <c r="BH10" s="38" t="inlineStr">
        <is>
          <t>NI</t>
        </is>
      </c>
      <c r="BI10" s="698" t="inlineStr">
        <is>
          <t>2025SCRA1089</t>
        </is>
      </c>
      <c r="BJ10" s="697" t="inlineStr">
        <is>
          <t>Deferido</t>
        </is>
      </c>
      <c r="BK10" s="38" t="inlineStr">
        <is>
          <t>NI</t>
        </is>
      </c>
      <c r="BL10" s="685" t="inlineStr">
        <is>
          <t>NI</t>
        </is>
      </c>
      <c r="BM10" s="411" t="inlineStr">
        <is>
          <t>NA</t>
        </is>
      </c>
      <c r="BN10" s="38" t="n"/>
      <c r="BO10" s="38" t="n"/>
      <c r="BP10" s="38" t="n"/>
      <c r="BQ10" s="38" t="n"/>
    </row>
    <row r="11" ht="65.25" customHeight="1">
      <c r="A11" s="38" t="inlineStr">
        <is>
          <t>SUL</t>
        </is>
      </c>
      <c r="B11" s="38" t="inlineStr">
        <is>
          <t>PR</t>
        </is>
      </c>
      <c r="C11" s="38" t="inlineStr">
        <is>
          <t>LONDRINA</t>
        </is>
      </c>
      <c r="D11" s="38" t="inlineStr">
        <is>
          <t>INSTITUTO DE CANCER DE LONDRINA</t>
        </is>
      </c>
      <c r="E11" s="46" t="inlineStr">
        <is>
          <t>78633088000176</t>
        </is>
      </c>
      <c r="F11" s="46" t="n">
        <v>2577623</v>
      </c>
      <c r="G11" s="46" t="inlineStr">
        <is>
          <t>Transferegov/SEI</t>
        </is>
      </c>
      <c r="H11" s="46" t="inlineStr">
        <is>
          <t>Convênio</t>
        </is>
      </c>
      <c r="I11" s="38" t="n">
        <v>948691</v>
      </c>
      <c r="J11" s="46" t="inlineStr">
        <is>
          <t>97863323009</t>
        </is>
      </c>
      <c r="K11" s="46" t="inlineStr">
        <is>
          <t>25000.151212/2023-80</t>
        </is>
      </c>
      <c r="L11" s="38" t="inlineStr">
        <is>
          <t>RADIOTERAPIA</t>
        </is>
      </c>
      <c r="M11" s="38" t="n">
        <v>1</v>
      </c>
      <c r="N11" s="46" t="inlineStr">
        <is>
          <t>2023</t>
        </is>
      </c>
      <c r="O11" s="38" t="n">
        <v>1</v>
      </c>
      <c r="P11" s="38" t="inlineStr">
        <is>
          <t>UND</t>
        </is>
      </c>
      <c r="Q11" s="396" t="inlineStr">
        <is>
          <t>010911-Acelerador Linear só de Fótons (monoenergético 6 MV)</t>
        </is>
      </c>
      <c r="R11" s="338" t="n">
        <v>45264</v>
      </c>
      <c r="S11" s="100" t="inlineStr">
        <is>
          <t>21-mai-2027</t>
        </is>
      </c>
      <c r="T11" s="100" t="n">
        <v>46588</v>
      </c>
      <c r="U11" s="339" t="inlineStr">
        <is>
          <t>PROGRAMA</t>
        </is>
      </c>
      <c r="V11" s="43" t="n">
        <v>9817902</v>
      </c>
      <c r="W11" s="411" t="inlineStr">
        <is>
          <t>R$ 9.817.902,00</t>
        </is>
      </c>
      <c r="X11" s="43" t="n">
        <v>561014</v>
      </c>
      <c r="Y11" s="43" t="inlineStr">
        <is>
          <t>EM ANDAMENTO</t>
        </is>
      </c>
      <c r="Z11" s="338" t="inlineStr">
        <is>
          <t xml:space="preserve">27/11/2025 </t>
        </is>
      </c>
      <c r="AA11" s="676" t="inlineStr">
        <is>
          <t>SIM</t>
        </is>
      </c>
      <c r="AB11" s="43" t="inlineStr">
        <is>
          <t>VARIAN MEDICAL SYSTEMS INC</t>
        </is>
      </c>
      <c r="AC11" s="43" t="inlineStr">
        <is>
          <t>Acelerador Linear Modelo HALCYON</t>
        </is>
      </c>
      <c r="AD11" s="339" t="inlineStr">
        <is>
          <t>PAC</t>
        </is>
      </c>
      <c r="AE11" s="44" t="n">
        <v>80113</v>
      </c>
      <c r="AF11" s="43" t="inlineStr">
        <is>
          <t>EM EXECUÇÃO</t>
        </is>
      </c>
      <c r="AG11" s="43" t="inlineStr">
        <is>
          <t>Em andamento</t>
        </is>
      </c>
      <c r="AH11" s="706">
        <f>IF(AF11="Em execução","Em execução",
IF(AF11="Em licitação","Em licitação / Leilão",
IF(AF11="Concluído","Concluído",)))</f>
        <v/>
      </c>
      <c r="AI11" s="400" t="n">
        <v>0.8</v>
      </c>
      <c r="AJ11" s="41" t="inlineStr">
        <is>
          <t>BRUNA</t>
        </is>
      </c>
      <c r="AK11" s="41" t="inlineStr">
        <is>
          <t>LAYANE</t>
        </is>
      </c>
      <c r="AL11" s="41" t="inlineStr">
        <is>
          <t>Estratégico</t>
        </is>
      </c>
      <c r="AM11" s="41" t="inlineStr">
        <is>
          <t>Em monitoramento</t>
        </is>
      </c>
      <c r="AN11" s="38" t="inlineStr">
        <is>
          <t>Substituição</t>
        </is>
      </c>
      <c r="AO11" s="46" t="inlineStr">
        <is>
          <t>Tratamento</t>
        </is>
      </c>
      <c r="AP11" s="46" t="n"/>
      <c r="AQ11" s="46" t="n"/>
      <c r="AR11" s="806" t="inlineStr">
        <is>
          <t xml:space="preserve">Equipamento instalado, aguardando os treinamentos que esta com previsão de finalização em 19/06. 27/08/26 - Solicitei confirmação das datas. </t>
        </is>
      </c>
      <c r="AS11" s="675" t="n">
        <v>46177</v>
      </c>
      <c r="AT11" s="674" t="n"/>
      <c r="AU11" s="338" t="n">
        <v>45757</v>
      </c>
      <c r="AV11" s="338" t="n"/>
      <c r="AW11" s="338" t="n"/>
      <c r="AX11" s="338" t="n"/>
      <c r="AY11" s="338" t="n"/>
      <c r="AZ11" s="338" t="n"/>
      <c r="BA11" s="678" t="inlineStr">
        <is>
          <t>9.12.2025</t>
        </is>
      </c>
      <c r="BB11" s="678" t="n"/>
      <c r="BC11" s="678" t="inlineStr">
        <is>
          <t>08.05.2026</t>
        </is>
      </c>
      <c r="BD11" s="678" t="n"/>
      <c r="BE11" s="677" t="inlineStr">
        <is>
          <t>30/09/2026</t>
        </is>
      </c>
      <c r="BF11" s="38" t="n">
        <v>11513</v>
      </c>
      <c r="BG11" s="698" t="inlineStr">
        <is>
          <t>2025SCRA1429</t>
        </is>
      </c>
      <c r="BH11" s="673" t="inlineStr">
        <is>
          <t>deferido</t>
        </is>
      </c>
      <c r="BI11" s="672" t="inlineStr">
        <is>
          <t>2026SCRA0007</t>
        </is>
      </c>
      <c r="BJ11" s="671" t="inlineStr">
        <is>
          <t>Deferido</t>
        </is>
      </c>
      <c r="BK11" s="475" t="inlineStr">
        <is>
          <t>NI</t>
        </is>
      </c>
      <c r="BL11" s="670" t="inlineStr">
        <is>
          <t>NI</t>
        </is>
      </c>
      <c r="BM11" s="411" t="inlineStr">
        <is>
          <t>NA</t>
        </is>
      </c>
      <c r="BN11" s="38" t="n"/>
      <c r="BO11" s="38" t="n"/>
      <c r="BP11" s="38" t="n"/>
      <c r="BQ11" s="38" t="n"/>
    </row>
    <row r="12" ht="54" customHeight="1">
      <c r="A12" s="38" t="inlineStr">
        <is>
          <t>SUL</t>
        </is>
      </c>
      <c r="B12" s="38" t="inlineStr">
        <is>
          <t>RS</t>
        </is>
      </c>
      <c r="C12" s="426" t="inlineStr">
        <is>
          <t>IJUI</t>
        </is>
      </c>
      <c r="D12" s="38" t="inlineStr">
        <is>
          <t>ASSOCIACAO HOSPITAL DE CARIDADE IJUI</t>
        </is>
      </c>
      <c r="E12" s="46" t="inlineStr">
        <is>
          <t>90730508000138</t>
        </is>
      </c>
      <c r="F12" s="46" t="inlineStr">
        <is>
          <t>2261057</t>
        </is>
      </c>
      <c r="G12" s="46" t="inlineStr">
        <is>
          <t>Transferegov/SEI</t>
        </is>
      </c>
      <c r="H12" s="46" t="inlineStr">
        <is>
          <t>Convênio</t>
        </is>
      </c>
      <c r="I12" s="38" t="n">
        <v>948694</v>
      </c>
      <c r="J12" s="46" t="inlineStr">
        <is>
          <t>99073023004</t>
        </is>
      </c>
      <c r="K12" s="46" t="inlineStr">
        <is>
          <t>25000.151214/2023-79</t>
        </is>
      </c>
      <c r="L12" s="38" t="inlineStr">
        <is>
          <t>RADIOTERAPIA</t>
        </is>
      </c>
      <c r="M12" s="38" t="n">
        <v>1</v>
      </c>
      <c r="N12" s="46" t="inlineStr">
        <is>
          <t>2023</t>
        </is>
      </c>
      <c r="O12" s="38" t="n">
        <v>1</v>
      </c>
      <c r="P12" s="38" t="inlineStr">
        <is>
          <t>UND</t>
        </is>
      </c>
      <c r="Q12" s="396" t="inlineStr">
        <is>
          <t>011807-Acelerador Linear (Recursos Avançados com IGRT 3D)</t>
        </is>
      </c>
      <c r="R12" s="338" t="n">
        <v>45242</v>
      </c>
      <c r="S12" s="100" t="n">
        <v>46271</v>
      </c>
      <c r="T12" s="100" t="n">
        <v>46242</v>
      </c>
      <c r="U12" s="339" t="inlineStr">
        <is>
          <t>PROGRAMA</t>
        </is>
      </c>
      <c r="V12" s="43" t="n">
        <v>10000000</v>
      </c>
      <c r="W12" s="339" t="n">
        <v>10000000</v>
      </c>
      <c r="X12" s="43" t="n">
        <v>0</v>
      </c>
      <c r="Y12" s="43" t="inlineStr">
        <is>
          <t>HOMOLOGADA E PAGA</t>
        </is>
      </c>
      <c r="Z12" s="338" t="n">
        <v>45642</v>
      </c>
      <c r="AA12" s="43" t="inlineStr">
        <is>
          <t>sim</t>
        </is>
      </c>
      <c r="AB12" s="43" t="inlineStr">
        <is>
          <t>ELEKTA SOLUTIONS AB</t>
        </is>
      </c>
      <c r="AC12" s="43" t="inlineStr">
        <is>
          <t>Acelerador Linear Elekta VERSA HD</t>
        </is>
      </c>
      <c r="AD12" s="339" t="inlineStr">
        <is>
          <t>PAC</t>
        </is>
      </c>
      <c r="AE12" s="44" t="n">
        <v>80114</v>
      </c>
      <c r="AF12" s="43" t="inlineStr">
        <is>
          <t>PRESTAÇÃO DE CONTAS ENVIADA PARA ANÁLISE</t>
        </is>
      </c>
      <c r="AG12" s="43" t="inlineStr">
        <is>
          <t>Concluído</t>
        </is>
      </c>
      <c r="AH12" s="706">
        <f>IF(AF12="Em execução","Em execução",
IF(AF12="Em licitação","Em licitação / Leilão",
IF(AF12="Concluído","Concluído",)))</f>
        <v/>
      </c>
      <c r="AI12" s="428" t="n">
        <v>1</v>
      </c>
      <c r="AJ12" s="41" t="inlineStr">
        <is>
          <t>SAMUEL</t>
        </is>
      </c>
      <c r="AK12" s="41" t="inlineStr">
        <is>
          <t>PRISCILA</t>
        </is>
      </c>
      <c r="AL12" s="710" t="inlineStr">
        <is>
          <t>ESTRATÉGICO</t>
        </is>
      </c>
      <c r="AM12" s="706" t="inlineStr">
        <is>
          <t>Concluído</t>
        </is>
      </c>
      <c r="AN12" s="38" t="inlineStr">
        <is>
          <t>Substituição</t>
        </is>
      </c>
      <c r="AO12" s="46" t="inlineStr">
        <is>
          <t>Tratamento</t>
        </is>
      </c>
      <c r="AP12" s="46" t="n"/>
      <c r="AQ12" s="46" t="n"/>
      <c r="AR12" s="669" t="inlineStr">
        <is>
          <t>Apto para inauguração. Licença de operação deferida em 23/01/2026</t>
        </is>
      </c>
      <c r="AS12" s="43" t="inlineStr">
        <is>
          <t>NI</t>
        </is>
      </c>
      <c r="AT12" s="43" t="inlineStr">
        <is>
          <t>NI</t>
        </is>
      </c>
      <c r="AU12" s="338" t="n">
        <v>45852</v>
      </c>
      <c r="AV12" s="338" t="n">
        <v>45887</v>
      </c>
      <c r="AW12" s="338" t="n">
        <v>45915</v>
      </c>
      <c r="AX12" s="338" t="n">
        <v>45943</v>
      </c>
      <c r="AY12" s="338" t="n">
        <v>45985</v>
      </c>
      <c r="AZ12" s="338" t="n">
        <v>46048</v>
      </c>
      <c r="BA12" s="686" t="n"/>
      <c r="BB12" s="686" t="n"/>
      <c r="BC12" s="686" t="n"/>
      <c r="BD12" s="686" t="n"/>
      <c r="BE12" s="394" t="n">
        <v>46024</v>
      </c>
      <c r="BF12" s="38" t="n">
        <v>13924</v>
      </c>
      <c r="BG12" s="38" t="inlineStr">
        <is>
          <t>NI</t>
        </is>
      </c>
      <c r="BH12" s="38" t="inlineStr">
        <is>
          <t>NI</t>
        </is>
      </c>
      <c r="BI12" s="698" t="inlineStr">
        <is>
          <t xml:space="preserve"> 2024SCRA1868 </t>
        </is>
      </c>
      <c r="BJ12" s="697" t="inlineStr">
        <is>
          <t>Deferido</t>
        </is>
      </c>
      <c r="BK12" s="698" t="inlineStr">
        <is>
          <t>Deferido</t>
        </is>
      </c>
      <c r="BL12" s="697" t="inlineStr">
        <is>
          <t>Deferido</t>
        </is>
      </c>
      <c r="BM12" s="339" t="inlineStr">
        <is>
          <t>NA</t>
        </is>
      </c>
      <c r="BN12" s="38" t="n"/>
      <c r="BO12" s="38" t="n"/>
      <c r="BP12" s="38" t="n"/>
      <c r="BQ12" s="38" t="n"/>
    </row>
    <row r="13" ht="52.5" customHeight="1">
      <c r="A13" s="38" t="inlineStr">
        <is>
          <t>SUL</t>
        </is>
      </c>
      <c r="B13" s="38" t="inlineStr">
        <is>
          <t>SC</t>
        </is>
      </c>
      <c r="C13" s="426" t="inlineStr">
        <is>
          <t>BLUMENAU</t>
        </is>
      </c>
      <c r="D13" s="38" t="inlineStr">
        <is>
          <t>FUNDACAO HOSPITALAR DE BLUMENAU</t>
        </is>
      </c>
      <c r="E13" s="46" t="inlineStr">
        <is>
          <t>82654088000120</t>
        </is>
      </c>
      <c r="F13" s="46" t="inlineStr">
        <is>
          <t>2558254</t>
        </is>
      </c>
      <c r="G13" s="46" t="inlineStr">
        <is>
          <t>Transferegov/SEI</t>
        </is>
      </c>
      <c r="H13" s="46" t="inlineStr">
        <is>
          <t>Convênio</t>
        </is>
      </c>
      <c r="I13" s="38" t="n">
        <v>948696</v>
      </c>
      <c r="J13" s="46" t="inlineStr">
        <is>
          <t>98265423003</t>
        </is>
      </c>
      <c r="K13" s="46" t="inlineStr">
        <is>
          <t>25000.151213/2023-24</t>
        </is>
      </c>
      <c r="L13" s="38" t="inlineStr">
        <is>
          <t>RADIOTERAPIA</t>
        </is>
      </c>
      <c r="M13" s="38" t="n">
        <v>1</v>
      </c>
      <c r="N13" s="46" t="inlineStr">
        <is>
          <t>2023</t>
        </is>
      </c>
      <c r="O13" s="38" t="n">
        <v>1</v>
      </c>
      <c r="P13" s="38" t="inlineStr">
        <is>
          <t>UND</t>
        </is>
      </c>
      <c r="Q13" s="396" t="inlineStr">
        <is>
          <t>011807-Acelerador Linear (Recursos avançados com IGRT 3D)</t>
        </is>
      </c>
      <c r="R13" s="338" t="n">
        <v>45272</v>
      </c>
      <c r="S13" s="100" t="n">
        <v>46018</v>
      </c>
      <c r="T13" s="100" t="n">
        <v>46078</v>
      </c>
      <c r="U13" s="323" t="inlineStr">
        <is>
          <t>PROGRAMA</t>
        </is>
      </c>
      <c r="V13" s="43" t="n">
        <v>8673095</v>
      </c>
      <c r="W13" s="42" t="inlineStr">
        <is>
          <t>R$ 8.389.500,00</t>
        </is>
      </c>
      <c r="X13" s="43" t="n">
        <v>0</v>
      </c>
      <c r="Y13" s="43" t="inlineStr">
        <is>
          <t>HOMOLOGADA E PAGA</t>
        </is>
      </c>
      <c r="Z13" s="338" t="n">
        <v>45419</v>
      </c>
      <c r="AA13" s="43" t="inlineStr">
        <is>
          <t>sim</t>
        </is>
      </c>
      <c r="AB13" s="43" t="inlineStr">
        <is>
          <t>ELEKTA SOLUTIONS AB</t>
        </is>
      </c>
      <c r="AC13" s="43" t="inlineStr">
        <is>
          <t>Acelerador Linear
Digital Elekta Infinity</t>
        </is>
      </c>
      <c r="AD13" s="323" t="inlineStr">
        <is>
          <t>PAC</t>
        </is>
      </c>
      <c r="AE13" s="44" t="n">
        <v>80116</v>
      </c>
      <c r="AF13" s="43" t="inlineStr">
        <is>
          <t>NORMAL</t>
        </is>
      </c>
      <c r="AG13" s="43" t="inlineStr">
        <is>
          <t>Concluído</t>
        </is>
      </c>
      <c r="AH13" s="706">
        <f>IF(AF13="Em execução","Em execução",
IF(AF13="Em licitação","Em licitação / Leilão",
IF(AF13="Concluído","Concluído",)))</f>
        <v/>
      </c>
      <c r="AI13" s="428" t="n">
        <v>1</v>
      </c>
      <c r="AJ13" s="41" t="inlineStr">
        <is>
          <t>SAMUEL</t>
        </is>
      </c>
      <c r="AK13" s="41" t="inlineStr">
        <is>
          <t>PRISCILA</t>
        </is>
      </c>
      <c r="AL13" s="710" t="inlineStr">
        <is>
          <t>ESTRATÉGICO</t>
        </is>
      </c>
      <c r="AM13" s="706" t="inlineStr">
        <is>
          <t>Concluído</t>
        </is>
      </c>
      <c r="AN13" s="38" t="inlineStr">
        <is>
          <t>Substituição</t>
        </is>
      </c>
      <c r="AO13" s="46" t="inlineStr">
        <is>
          <t>Tratamento</t>
        </is>
      </c>
      <c r="AP13" s="46" t="n"/>
      <c r="AQ13" s="46" t="n"/>
      <c r="AR13" s="668" t="inlineStr">
        <is>
          <t xml:space="preserve">06/10/2025 - Licença de Operação - CNEN emitida. </t>
        </is>
      </c>
      <c r="AS13" s="43" t="inlineStr">
        <is>
          <t>NI</t>
        </is>
      </c>
      <c r="AT13" s="43" t="inlineStr">
        <is>
          <t>NI</t>
        </is>
      </c>
      <c r="AU13" s="100" t="n">
        <v>45690</v>
      </c>
      <c r="AV13" s="100" t="n">
        <v>45743</v>
      </c>
      <c r="AW13" s="100" t="n">
        <v>45764</v>
      </c>
      <c r="AX13" s="667" t="inlineStr">
        <is>
          <t>Instalado</t>
        </is>
      </c>
      <c r="AY13" s="667" t="inlineStr">
        <is>
          <t>Instalado</t>
        </is>
      </c>
      <c r="AZ13" s="667" t="inlineStr">
        <is>
          <t>Realizado</t>
        </is>
      </c>
      <c r="BA13" s="678" t="inlineStr">
        <is>
          <t>NA</t>
        </is>
      </c>
      <c r="BB13" s="678" t="inlineStr">
        <is>
          <t>NA</t>
        </is>
      </c>
      <c r="BC13" s="678" t="inlineStr">
        <is>
          <t>NA</t>
        </is>
      </c>
      <c r="BD13" s="678" t="inlineStr">
        <is>
          <t>NA</t>
        </is>
      </c>
      <c r="BE13" s="394" t="n">
        <v>45809</v>
      </c>
      <c r="BF13" s="706" t="n">
        <v>15225</v>
      </c>
      <c r="BG13" s="38" t="inlineStr">
        <is>
          <t>NI</t>
        </is>
      </c>
      <c r="BH13" s="38" t="inlineStr">
        <is>
          <t>NI</t>
        </is>
      </c>
      <c r="BI13" s="698" t="inlineStr">
        <is>
          <t>2024SCRA2340</t>
        </is>
      </c>
      <c r="BJ13" s="697" t="inlineStr">
        <is>
          <t>Deferido</t>
        </is>
      </c>
      <c r="BK13" s="698" t="inlineStr">
        <is>
          <t>2025SCRA1520</t>
        </is>
      </c>
      <c r="BL13" s="697" t="inlineStr">
        <is>
          <t>Deferido</t>
        </is>
      </c>
      <c r="BM13" s="100" t="n">
        <v>45914</v>
      </c>
      <c r="BN13" s="426" t="inlineStr">
        <is>
          <t>1 ano e 5 meses de execução</t>
        </is>
      </c>
      <c r="BO13" s="38" t="n"/>
      <c r="BP13" s="38" t="n"/>
      <c r="BQ13" s="38" t="n"/>
    </row>
    <row r="14" ht="54.75" customFormat="1" customHeight="1" s="290">
      <c r="A14" s="38" t="inlineStr">
        <is>
          <t>SUDESTE</t>
        </is>
      </c>
      <c r="B14" s="38" t="inlineStr">
        <is>
          <t>MG</t>
        </is>
      </c>
      <c r="C14" s="38" t="inlineStr">
        <is>
          <t>VARGINHA</t>
        </is>
      </c>
      <c r="D14" s="38" t="inlineStr">
        <is>
          <t>FUNDO MUNICIPAL DE SAUDE</t>
        </is>
      </c>
      <c r="E14" s="46" t="inlineStr">
        <is>
          <t>11234223000130</t>
        </is>
      </c>
      <c r="F14" s="395" t="inlineStr">
        <is>
          <t>2761092</t>
        </is>
      </c>
      <c r="G14" s="46" t="inlineStr">
        <is>
          <t>SEI</t>
        </is>
      </c>
      <c r="H14" s="46" t="inlineStr">
        <is>
          <t>FAF</t>
        </is>
      </c>
      <c r="I14" s="46" t="inlineStr">
        <is>
          <t>25000.198305/2024-59</t>
        </is>
      </c>
      <c r="J14" s="395" t="inlineStr">
        <is>
          <t>11234223000123029</t>
        </is>
      </c>
      <c r="K14" s="46" t="inlineStr">
        <is>
          <t>25000.198305/2024-59</t>
        </is>
      </c>
      <c r="L14" s="38" t="inlineStr">
        <is>
          <t>RENOVAÇÃO DO PARQUE TECNOLÓGICO DE RADIOTERAPIA NO SUS - PAC</t>
        </is>
      </c>
      <c r="M14" s="38" t="n">
        <v>1</v>
      </c>
      <c r="N14" s="731" t="inlineStr">
        <is>
          <t>2023</t>
        </is>
      </c>
      <c r="O14" s="38" t="n">
        <v>1</v>
      </c>
      <c r="P14" s="38" t="inlineStr">
        <is>
          <t>UND</t>
        </is>
      </c>
      <c r="Q14" s="396" t="inlineStr">
        <is>
          <t>010911-Acelerador Linear só de Fótons (monoenergético 6 MV)</t>
        </is>
      </c>
      <c r="R14" s="338" t="n">
        <v>45288</v>
      </c>
      <c r="S14" s="100" t="n">
        <v>46136</v>
      </c>
      <c r="T14" s="100" t="n">
        <v>46136</v>
      </c>
      <c r="U14" s="43" t="inlineStr">
        <is>
          <t>PROGRAMA</t>
        </is>
      </c>
      <c r="V14" s="732" t="n">
        <v>8000000</v>
      </c>
      <c r="W14" s="732" t="inlineStr">
        <is>
          <t>R$ 8.000.000,00</t>
        </is>
      </c>
      <c r="X14" s="732" t="n">
        <v>0</v>
      </c>
      <c r="Y14" s="43" t="inlineStr">
        <is>
          <t>HOMOLOGADA E PAGA</t>
        </is>
      </c>
      <c r="Z14" s="338" t="n">
        <v>45406</v>
      </c>
      <c r="AA14" s="666" t="inlineStr">
        <is>
          <t>SIM</t>
        </is>
      </c>
      <c r="AB14" s="43" t="inlineStr">
        <is>
          <t>VARIAN MEDICAL SYSTEMS INC</t>
        </is>
      </c>
      <c r="AC14" s="43" t="inlineStr">
        <is>
          <t>Acelerador Linear Modelo HALCYON</t>
        </is>
      </c>
      <c r="AD14" s="733" t="inlineStr">
        <is>
          <t>PAC</t>
        </is>
      </c>
      <c r="AE14" s="734" t="n">
        <v>136739</v>
      </c>
      <c r="AF14" s="732" t="inlineStr">
        <is>
          <t>Em execução</t>
        </is>
      </c>
      <c r="AG14" s="43" t="inlineStr">
        <is>
          <t>Em andamento</t>
        </is>
      </c>
      <c r="AH14" s="706">
        <f>IF(AF14="Em execução","Em execução",
IF(AF14="Em licitação","Em licitação / Leilão",
IF(AF14="Concluído","Concluído",)))</f>
        <v/>
      </c>
      <c r="AI14" s="400" t="n">
        <v>0.8</v>
      </c>
      <c r="AJ14" s="665" t="inlineStr">
        <is>
          <t>SAMUEL</t>
        </is>
      </c>
      <c r="AK14" s="665" t="inlineStr">
        <is>
          <t>PRISCILA</t>
        </is>
      </c>
      <c r="AL14" s="41" t="inlineStr">
        <is>
          <t>Estratégico</t>
        </is>
      </c>
      <c r="AM14" s="41" t="inlineStr">
        <is>
          <t>Em monitoramento</t>
        </is>
      </c>
      <c r="AN14" s="38" t="inlineStr">
        <is>
          <t>Substituição</t>
        </is>
      </c>
      <c r="AO14" s="46" t="inlineStr">
        <is>
          <t>Tratamento</t>
        </is>
      </c>
      <c r="AP14" s="739" t="n"/>
      <c r="AQ14" s="739" t="n"/>
      <c r="AR14" s="767" t="inlineStr">
        <is>
          <t>10/06/2026 - Solicitei via telefone, atualização do cronograma, considerando, validando a data de julho, pedindo previsão de abertura de SCRA. Aguardando retorno.             Reunião realizada em 26/03/2026. Equipamento entregue na instituição dia 14/03/26. Devido a problemas de entrega de insumos (cabeamentos), o cronograma de instalação do acelerador foi reprogramado. Finalização da obra civil complementar em 30/04, instalação em 11/05, treinamentos em 25/05 e abertura do SCRA de licença de operação em 26/05.</t>
        </is>
      </c>
      <c r="AS14" s="741" t="inlineStr">
        <is>
          <t>21/05/2026</t>
        </is>
      </c>
      <c r="AT14" s="664" t="n">
        <v>46304</v>
      </c>
      <c r="AU14" s="700" t="n">
        <v>45906</v>
      </c>
      <c r="AV14" s="700" t="n">
        <v>45962</v>
      </c>
      <c r="AW14" s="663" t="n">
        <v>46038</v>
      </c>
      <c r="AX14" s="700" t="inlineStr">
        <is>
          <t>NI</t>
        </is>
      </c>
      <c r="AY14" s="700" t="inlineStr">
        <is>
          <t>NI</t>
        </is>
      </c>
      <c r="AZ14" s="700" t="inlineStr">
        <is>
          <t>NI</t>
        </is>
      </c>
      <c r="BA14" s="606" t="n"/>
      <c r="BB14" s="426" t="n"/>
      <c r="BC14" s="426" t="n"/>
      <c r="BD14" s="426" t="n"/>
      <c r="BE14" s="682" t="inlineStr">
        <is>
          <t>30/07/2026</t>
        </is>
      </c>
      <c r="BF14" s="426" t="n">
        <v>11459</v>
      </c>
      <c r="BG14" s="426" t="inlineStr">
        <is>
          <t>NI</t>
        </is>
      </c>
      <c r="BH14" s="426" t="inlineStr">
        <is>
          <t>NI</t>
        </is>
      </c>
      <c r="BI14" s="698" t="inlineStr">
        <is>
          <t>Deferido</t>
        </is>
      </c>
      <c r="BJ14" s="697" t="inlineStr">
        <is>
          <t>Deferido</t>
        </is>
      </c>
      <c r="BK14" s="708" t="inlineStr">
        <is>
          <t>NI</t>
        </is>
      </c>
      <c r="BL14" s="707" t="inlineStr">
        <is>
          <t>NI</t>
        </is>
      </c>
      <c r="BM14" s="732" t="inlineStr">
        <is>
          <t>NA</t>
        </is>
      </c>
      <c r="BN14" s="426" t="n"/>
      <c r="BO14" s="426" t="n"/>
      <c r="BP14" s="426" t="n"/>
      <c r="BQ14" s="426" t="n"/>
    </row>
    <row r="15" ht="55.5" customFormat="1" customHeight="1" s="478">
      <c r="A15" s="38" t="inlineStr">
        <is>
          <t>SUDESTE</t>
        </is>
      </c>
      <c r="B15" s="38" t="inlineStr">
        <is>
          <t>SP</t>
        </is>
      </c>
      <c r="C15" s="38" t="inlineStr">
        <is>
          <t>JAU</t>
        </is>
      </c>
      <c r="D15" s="38" t="inlineStr">
        <is>
          <t>FUNDACAO DOUTOR AMARAL CARVALHO</t>
        </is>
      </c>
      <c r="E15" s="46" t="inlineStr">
        <is>
          <t>50753755000135</t>
        </is>
      </c>
      <c r="F15" s="46" t="inlineStr">
        <is>
          <t>2083086</t>
        </is>
      </c>
      <c r="G15" s="46" t="inlineStr">
        <is>
          <t>Transferegov/SEI</t>
        </is>
      </c>
      <c r="H15" s="46" t="inlineStr">
        <is>
          <t>Convênio</t>
        </is>
      </c>
      <c r="I15" s="38" t="n">
        <v>953401</v>
      </c>
      <c r="J15" s="46" t="inlineStr">
        <is>
          <t>95075323006</t>
        </is>
      </c>
      <c r="K15" s="46" t="inlineStr">
        <is>
          <t>25000.151199/2023-69</t>
        </is>
      </c>
      <c r="L15" s="38" t="inlineStr">
        <is>
          <t>RADIOTERAPIA</t>
        </is>
      </c>
      <c r="M15" s="38" t="n">
        <v>1</v>
      </c>
      <c r="N15" s="46" t="inlineStr">
        <is>
          <t>2023</t>
        </is>
      </c>
      <c r="O15" s="38" t="n">
        <v>1</v>
      </c>
      <c r="P15" s="38" t="inlineStr">
        <is>
          <t>UND</t>
        </is>
      </c>
      <c r="Q15" s="396" t="inlineStr">
        <is>
          <t>11807 - Acelerador Linear (Recursos avançados com IGRT 3D)</t>
        </is>
      </c>
      <c r="R15" s="338" t="n">
        <v>45288</v>
      </c>
      <c r="S15" s="100" t="n">
        <v>46410</v>
      </c>
      <c r="T15" s="100" t="n">
        <v>46347</v>
      </c>
      <c r="U15" s="660" t="inlineStr">
        <is>
          <t>PROGRAMA</t>
        </is>
      </c>
      <c r="V15" s="43" t="n">
        <v>8489623</v>
      </c>
      <c r="W15" s="660" t="n">
        <v>8423400</v>
      </c>
      <c r="X15" s="43" t="n">
        <v>0</v>
      </c>
      <c r="Y15" s="43" t="inlineStr">
        <is>
          <t>HOMOLOGADA E PAGA</t>
        </is>
      </c>
      <c r="Z15" s="680" t="n">
        <v>45870</v>
      </c>
      <c r="AA15" s="659" t="inlineStr">
        <is>
          <t xml:space="preserve">SIM </t>
        </is>
      </c>
      <c r="AB15" s="43" t="inlineStr">
        <is>
          <t>VARIAN MEDICAL SYSTEMS INC</t>
        </is>
      </c>
      <c r="AC15" s="43" t="inlineStr">
        <is>
          <t>Acelerador Linear Modelo VITALBEAM</t>
        </is>
      </c>
      <c r="AD15" s="323" t="inlineStr">
        <is>
          <t>PAC</t>
        </is>
      </c>
      <c r="AE15" s="44" t="n">
        <v>80117</v>
      </c>
      <c r="AF15" s="695" t="inlineStr">
        <is>
          <t>EM EXECUÇÃO</t>
        </is>
      </c>
      <c r="AG15" s="43" t="inlineStr">
        <is>
          <t>Em andamento</t>
        </is>
      </c>
      <c r="AH15" s="706">
        <f>IF(AF15="Em execução","Em execução",
IF(AF15="Em licitação","Em licitação / Leilão",
IF(AF15="Concluído","Concluído",)))</f>
        <v/>
      </c>
      <c r="AI15" s="400" t="n">
        <v>0.8</v>
      </c>
      <c r="AJ15" s="658" t="inlineStr">
        <is>
          <t>BRUNA</t>
        </is>
      </c>
      <c r="AK15" s="41" t="inlineStr">
        <is>
          <t>LAYANE</t>
        </is>
      </c>
      <c r="AL15" s="41" t="n"/>
      <c r="AM15" s="41" t="inlineStr">
        <is>
          <t>Em monitoramento</t>
        </is>
      </c>
      <c r="AN15" s="38" t="inlineStr">
        <is>
          <t>Substituição</t>
        </is>
      </c>
      <c r="AO15" s="46" t="inlineStr">
        <is>
          <t>Tratamento</t>
        </is>
      </c>
      <c r="AP15" s="46" t="n"/>
      <c r="AQ15" s="46" t="n"/>
      <c r="AR15" s="657" t="inlineStr">
        <is>
          <t>Obra com previsão de finalização 30/06/26, previsão de finalização de instalação em setembro/26</t>
        </is>
      </c>
      <c r="AS15" s="656" t="n"/>
      <c r="AT15" s="656" t="inlineStr">
        <is>
          <t>29/01/2026</t>
        </is>
      </c>
      <c r="AU15" s="655" t="n">
        <v>46054</v>
      </c>
      <c r="AV15" s="655" t="n">
        <v>46174</v>
      </c>
      <c r="AW15" s="655" t="n">
        <v>46235</v>
      </c>
      <c r="AX15" s="655" t="n">
        <v>46235</v>
      </c>
      <c r="AY15" s="655" t="n">
        <v>46266</v>
      </c>
      <c r="AZ15" s="655" t="n">
        <v>46327</v>
      </c>
      <c r="BA15" s="654" t="inlineStr">
        <is>
          <t>01.01.2025</t>
        </is>
      </c>
      <c r="BB15" s="654" t="n"/>
      <c r="BC15" s="654" t="inlineStr">
        <is>
          <t>30.06.2026</t>
        </is>
      </c>
      <c r="BD15" s="654" t="n"/>
      <c r="BE15" s="682" t="inlineStr">
        <is>
          <t>30/03/2027</t>
        </is>
      </c>
      <c r="BF15" s="676" t="n">
        <v>11472</v>
      </c>
      <c r="BG15" s="654" t="inlineStr">
        <is>
          <t>NI</t>
        </is>
      </c>
      <c r="BH15" s="654" t="inlineStr">
        <is>
          <t>NI</t>
        </is>
      </c>
      <c r="BI15" s="698" t="inlineStr">
        <is>
          <t>2025SCRA0833</t>
        </is>
      </c>
      <c r="BJ15" s="697" t="inlineStr">
        <is>
          <t>Deferido</t>
        </is>
      </c>
      <c r="BK15" s="676" t="inlineStr">
        <is>
          <t>NI</t>
        </is>
      </c>
      <c r="BL15" s="653" t="inlineStr">
        <is>
          <t>NI</t>
        </is>
      </c>
      <c r="BM15" s="176" t="inlineStr">
        <is>
          <t>NA</t>
        </is>
      </c>
      <c r="BN15" s="654" t="n"/>
      <c r="BO15" s="654" t="n"/>
      <c r="BP15" s="654" t="n"/>
      <c r="BQ15" s="654" t="n"/>
    </row>
    <row r="16" ht="59.25" customHeight="1">
      <c r="A16" s="38" t="inlineStr">
        <is>
          <t>NORDESTE</t>
        </is>
      </c>
      <c r="B16" s="38" t="inlineStr">
        <is>
          <t>CE</t>
        </is>
      </c>
      <c r="C16" s="38" t="inlineStr">
        <is>
          <t>SOBRAL</t>
        </is>
      </c>
      <c r="D16" s="38" t="inlineStr">
        <is>
          <t>SANTA CASA DE MISERICORDIA DE SOBRAL</t>
        </is>
      </c>
      <c r="E16" s="46" t="inlineStr">
        <is>
          <t>07818313000109</t>
        </is>
      </c>
      <c r="F16" s="46" t="inlineStr">
        <is>
          <t>3021114</t>
        </is>
      </c>
      <c r="G16" s="46" t="inlineStr">
        <is>
          <t>Transferegov/SEI</t>
        </is>
      </c>
      <c r="H16" s="46" t="inlineStr">
        <is>
          <t>Convênio</t>
        </is>
      </c>
      <c r="I16" s="38" t="n">
        <v>954392</v>
      </c>
      <c r="J16" s="46" t="inlineStr">
        <is>
          <t>90781823003</t>
        </is>
      </c>
      <c r="K16" s="46" t="inlineStr">
        <is>
          <t>25000.179368/2023-25</t>
        </is>
      </c>
      <c r="L16" s="38" t="inlineStr">
        <is>
          <t>RENOVAÇÃO DO PARQUE TECNOLÓGICO DE RADIOTERAPIA NO SUS - PAC</t>
        </is>
      </c>
      <c r="M16" s="38" t="n">
        <v>1</v>
      </c>
      <c r="N16" s="46" t="inlineStr">
        <is>
          <t>2023</t>
        </is>
      </c>
      <c r="O16" s="38" t="n">
        <v>1</v>
      </c>
      <c r="P16" s="38" t="inlineStr">
        <is>
          <t>UND</t>
        </is>
      </c>
      <c r="Q16" s="396" t="inlineStr">
        <is>
          <t xml:space="preserve">	11806- Acelerador Linear (Básico - Intermediário)</t>
        </is>
      </c>
      <c r="R16" s="338" t="n">
        <v>45289</v>
      </c>
      <c r="S16" s="100" t="n">
        <v>46287</v>
      </c>
      <c r="T16" s="100" t="n">
        <v>46347</v>
      </c>
      <c r="U16" s="660" t="inlineStr">
        <is>
          <t>PROGRAMA</t>
        </is>
      </c>
      <c r="V16" s="43" t="n">
        <v>7328027</v>
      </c>
      <c r="W16" s="323" t="n">
        <v>7293000</v>
      </c>
      <c r="X16" s="43" t="n">
        <v>0</v>
      </c>
      <c r="Y16" s="43" t="inlineStr">
        <is>
          <t>HOMOLOGADA E PAGA</t>
        </is>
      </c>
      <c r="Z16" s="338" t="n">
        <v>45842</v>
      </c>
      <c r="AA16" s="42" t="inlineStr">
        <is>
          <t>SIM</t>
        </is>
      </c>
      <c r="AB16" s="43" t="inlineStr">
        <is>
          <t>VARIAN MEDICAL SYSTEMS INC</t>
        </is>
      </c>
      <c r="AC16" s="43" t="inlineStr">
        <is>
          <t>Acelerador Linear Modelo HALCYON</t>
        </is>
      </c>
      <c r="AD16" s="323" t="inlineStr">
        <is>
          <t>PAC</t>
        </is>
      </c>
      <c r="AE16" s="44" t="n">
        <v>80118</v>
      </c>
      <c r="AF16" s="43" t="inlineStr">
        <is>
          <t>EM EXECUÇÃO</t>
        </is>
      </c>
      <c r="AG16" s="43" t="inlineStr">
        <is>
          <t>Em andamento</t>
        </is>
      </c>
      <c r="AH16" s="706">
        <f>IF(AF16="Em execução","Em execução",
IF(AF16="Em licitação","Em licitação / Leilão",
IF(AF16="Concluído","Concluído",)))</f>
        <v/>
      </c>
      <c r="AI16" s="400" t="n">
        <v>0.8</v>
      </c>
      <c r="AJ16" s="665" t="inlineStr">
        <is>
          <t xml:space="preserve">SAMUEL </t>
        </is>
      </c>
      <c r="AK16" s="665" t="inlineStr">
        <is>
          <t>PRISCILA</t>
        </is>
      </c>
      <c r="AL16" s="665" t="n"/>
      <c r="AM16" s="41" t="inlineStr">
        <is>
          <t>Em monitoramento</t>
        </is>
      </c>
      <c r="AN16" s="38" t="inlineStr">
        <is>
          <t>Ampliação (cobalto)</t>
        </is>
      </c>
      <c r="AO16" s="46" t="inlineStr">
        <is>
          <t>Tratamento</t>
        </is>
      </c>
      <c r="AP16" s="464" t="n"/>
      <c r="AQ16" s="464" t="n"/>
      <c r="AR16" s="690" t="inlineStr">
        <is>
          <t xml:space="preserve">09/06/2026 - E-mail via SEI solicitando atualização. Equipamento pode estar em fase final de instalação/treinamento de equipe e possível abertura do SCRA. </t>
        </is>
      </c>
      <c r="AS16" s="652" t="n">
        <v>46000</v>
      </c>
      <c r="AT16" s="747" t="n"/>
      <c r="AU16" s="705" t="n">
        <v>46070</v>
      </c>
      <c r="AV16" s="338" t="inlineStr">
        <is>
          <t>NI</t>
        </is>
      </c>
      <c r="AW16" s="705" t="n">
        <v>46203</v>
      </c>
      <c r="AX16" s="338" t="inlineStr">
        <is>
          <t>NI</t>
        </is>
      </c>
      <c r="AY16" s="338" t="inlineStr">
        <is>
          <t>NI</t>
        </is>
      </c>
      <c r="AZ16" s="338" t="inlineStr">
        <is>
          <t>NI</t>
        </is>
      </c>
      <c r="BA16" s="678" t="n"/>
      <c r="BB16" s="678" t="n"/>
      <c r="BC16" s="678" t="n"/>
      <c r="BD16" s="678" t="n"/>
      <c r="BE16" s="682" t="inlineStr">
        <is>
          <t>30/08/2026</t>
        </is>
      </c>
      <c r="BF16" s="38" t="n">
        <v>11544</v>
      </c>
      <c r="BG16" s="38" t="inlineStr">
        <is>
          <t>NI</t>
        </is>
      </c>
      <c r="BH16" s="38" t="inlineStr">
        <is>
          <t>NI</t>
        </is>
      </c>
      <c r="BI16" s="412" t="inlineStr">
        <is>
          <t>2025SCRA0361</t>
        </is>
      </c>
      <c r="BJ16" s="697" t="inlineStr">
        <is>
          <t>Deferido</t>
        </is>
      </c>
      <c r="BK16" s="38" t="inlineStr">
        <is>
          <t>NI</t>
        </is>
      </c>
      <c r="BL16" s="685" t="inlineStr">
        <is>
          <t>NI</t>
        </is>
      </c>
      <c r="BM16" s="43" t="inlineStr">
        <is>
          <t>NA</t>
        </is>
      </c>
      <c r="BN16" s="38" t="n"/>
      <c r="BO16" s="38" t="n"/>
      <c r="BP16" s="38" t="n"/>
      <c r="BQ16" s="38" t="n"/>
    </row>
    <row r="17" ht="60" customHeight="1">
      <c r="A17" s="38" t="inlineStr">
        <is>
          <t>SUDESTE</t>
        </is>
      </c>
      <c r="B17" s="38" t="inlineStr">
        <is>
          <t>SP</t>
        </is>
      </c>
      <c r="C17" s="38" t="inlineStr">
        <is>
          <t>JALES</t>
        </is>
      </c>
      <c r="D17" s="38" t="inlineStr">
        <is>
          <t>FUNDACAO PIO XII</t>
        </is>
      </c>
      <c r="E17" s="46" t="inlineStr">
        <is>
          <t>49150352000899</t>
        </is>
      </c>
      <c r="F17" s="46" t="inlineStr">
        <is>
          <t>7066376</t>
        </is>
      </c>
      <c r="G17" s="46" t="inlineStr">
        <is>
          <t>Transferegov/SEI</t>
        </is>
      </c>
      <c r="H17" s="46" t="inlineStr">
        <is>
          <t>Convênio</t>
        </is>
      </c>
      <c r="I17" s="38" t="n">
        <v>953746</v>
      </c>
      <c r="J17" s="46" t="inlineStr">
        <is>
          <t>94915023012</t>
        </is>
      </c>
      <c r="K17" s="46" t="inlineStr">
        <is>
          <t>25000.186565/2023-09</t>
        </is>
      </c>
      <c r="L17" s="38" t="inlineStr">
        <is>
          <t>RENOVAÇÃO DO PARQUE TECNOLÓGICO DE RADIOTERAPIA NO SUS - PAC</t>
        </is>
      </c>
      <c r="M17" s="38" t="n">
        <v>1</v>
      </c>
      <c r="N17" s="46" t="inlineStr">
        <is>
          <t>2023</t>
        </is>
      </c>
      <c r="O17" s="38" t="n">
        <v>1</v>
      </c>
      <c r="P17" s="38" t="inlineStr">
        <is>
          <t>UND</t>
        </is>
      </c>
      <c r="Q17" s="396" t="inlineStr">
        <is>
          <t xml:space="preserve">	010911-Acelerador Linear só de Fótons (monoenergético 6 MV)</t>
        </is>
      </c>
      <c r="R17" s="338" t="n">
        <v>45289</v>
      </c>
      <c r="S17" s="100" t="n">
        <v>46382</v>
      </c>
      <c r="T17" s="100" t="n">
        <v>46442</v>
      </c>
      <c r="U17" s="660" t="inlineStr">
        <is>
          <t>PROGRAMA</t>
        </is>
      </c>
      <c r="V17" s="43" t="n">
        <v>7266418</v>
      </c>
      <c r="W17" s="323" t="inlineStr">
        <is>
          <t>R$ 7.266.418,00</t>
        </is>
      </c>
      <c r="X17" s="43" t="n">
        <v>382064</v>
      </c>
      <c r="Y17" s="43" t="inlineStr">
        <is>
          <t>HOMOLOGADA E PAGA</t>
        </is>
      </c>
      <c r="Z17" s="338" t="n">
        <v>45754</v>
      </c>
      <c r="AA17" s="43" t="inlineStr">
        <is>
          <t>sim</t>
        </is>
      </c>
      <c r="AB17" s="43" t="inlineStr">
        <is>
          <t>VARIAN MEDICAL SYSTEMS INC</t>
        </is>
      </c>
      <c r="AC17" s="43" t="inlineStr">
        <is>
          <t xml:space="preserve">Acelerador Linear Modelo HALCYON </t>
        </is>
      </c>
      <c r="AD17" s="323" t="inlineStr">
        <is>
          <t>PAC</t>
        </is>
      </c>
      <c r="AE17" s="44" t="n">
        <v>80119</v>
      </c>
      <c r="AF17" s="43" t="inlineStr">
        <is>
          <t>EM EXECUÇÃO</t>
        </is>
      </c>
      <c r="AG17" s="43" t="inlineStr">
        <is>
          <t>Concluído</t>
        </is>
      </c>
      <c r="AH17" s="706">
        <f>IF(AF17="Em execução","Em execução",
IF(AF17="Em licitação","Em licitação / Leilão",
IF(AF17="Concluído","Concluído",)))</f>
        <v/>
      </c>
      <c r="AI17" s="428" t="n">
        <v>1</v>
      </c>
      <c r="AJ17" s="41" t="inlineStr">
        <is>
          <t>SAMUEL</t>
        </is>
      </c>
      <c r="AK17" s="41" t="inlineStr">
        <is>
          <t>PRISCILA</t>
        </is>
      </c>
      <c r="AL17" s="710" t="inlineStr">
        <is>
          <t>ESTRATÉGICO</t>
        </is>
      </c>
      <c r="AM17" s="706" t="inlineStr">
        <is>
          <t>Concluído</t>
        </is>
      </c>
      <c r="AN17" s="38" t="inlineStr">
        <is>
          <t>Substituição</t>
        </is>
      </c>
      <c r="AO17" s="46" t="inlineStr">
        <is>
          <t>Tratamento</t>
        </is>
      </c>
      <c r="AP17" s="46" t="n"/>
      <c r="AQ17" s="46" t="n"/>
      <c r="AR17" s="668" t="inlineStr">
        <is>
          <t xml:space="preserve">Reunião realizada em 22/10 às 15h. A execução do convênio está conforme cronograma enviado. Previsão de inauguração em junho/26. 19/06/2026 - Autorização de Operação Emitida. </t>
        </is>
      </c>
      <c r="AS17" s="43" t="inlineStr">
        <is>
          <t>NI</t>
        </is>
      </c>
      <c r="AT17" s="43" t="inlineStr">
        <is>
          <t>NI</t>
        </is>
      </c>
      <c r="AU17" s="338" t="n">
        <v>45901</v>
      </c>
      <c r="AV17" s="338" t="n">
        <v>46001</v>
      </c>
      <c r="AW17" s="338" t="n">
        <v>46032</v>
      </c>
      <c r="AX17" s="338" t="n">
        <v>46047</v>
      </c>
      <c r="AY17" s="338" t="n">
        <v>46098</v>
      </c>
      <c r="AZ17" s="338" t="n">
        <v>46119</v>
      </c>
      <c r="BA17" s="678" t="n"/>
      <c r="BB17" s="678" t="n"/>
      <c r="BC17" s="678" t="n"/>
      <c r="BD17" s="678" t="inlineStr">
        <is>
          <t>30 dias</t>
        </is>
      </c>
      <c r="BE17" s="682" t="inlineStr">
        <is>
          <t>30/05/2026</t>
        </is>
      </c>
      <c r="BF17" s="38" t="n">
        <v>15045</v>
      </c>
      <c r="BG17" s="38" t="inlineStr">
        <is>
          <t>NI</t>
        </is>
      </c>
      <c r="BH17" s="38" t="inlineStr">
        <is>
          <t>NI</t>
        </is>
      </c>
      <c r="BI17" s="413" t="inlineStr">
        <is>
          <t>2025SCRA2517</t>
        </is>
      </c>
      <c r="BJ17" s="697" t="inlineStr">
        <is>
          <t>Deferido</t>
        </is>
      </c>
      <c r="BK17" s="38" t="inlineStr">
        <is>
          <t>2026SCRA0879</t>
        </is>
      </c>
      <c r="BL17" s="685" t="inlineStr">
        <is>
          <t>Deferido</t>
        </is>
      </c>
      <c r="BM17" s="43" t="inlineStr">
        <is>
          <t>NA</t>
        </is>
      </c>
      <c r="BN17" s="38" t="n"/>
      <c r="BO17" s="38" t="n"/>
      <c r="BP17" s="38" t="n"/>
      <c r="BQ17" s="38" t="n"/>
    </row>
    <row r="18" ht="58.5" customHeight="1">
      <c r="A18" s="38" t="inlineStr">
        <is>
          <t>SUDESTE</t>
        </is>
      </c>
      <c r="B18" s="38" t="inlineStr">
        <is>
          <t>SP</t>
        </is>
      </c>
      <c r="C18" s="38" t="inlineStr">
        <is>
          <t>SANTOS</t>
        </is>
      </c>
      <c r="D18" s="38" t="inlineStr">
        <is>
          <t>SOCIEDADE PORTUGUESA DE BENEFICENCIA</t>
        </is>
      </c>
      <c r="E18" s="46" t="inlineStr">
        <is>
          <t>58194622000188</t>
        </is>
      </c>
      <c r="F18" s="46" t="inlineStr">
        <is>
          <t>2080354</t>
        </is>
      </c>
      <c r="G18" s="46" t="inlineStr">
        <is>
          <t>Transferegov/SEI</t>
        </is>
      </c>
      <c r="H18" s="46" t="inlineStr">
        <is>
          <t>Convênio</t>
        </is>
      </c>
      <c r="I18" s="38" t="n">
        <v>953750</v>
      </c>
      <c r="J18" s="46" t="inlineStr">
        <is>
          <t>95819423002</t>
        </is>
      </c>
      <c r="K18" s="46" t="inlineStr">
        <is>
          <t>25000.186271/2023-79</t>
        </is>
      </c>
      <c r="L18" s="38" t="inlineStr">
        <is>
          <t>RENOVAÇÃO DO PARQUE TECNOLÓGICO DE RADIOTERAPIA NO SUS - PAC</t>
        </is>
      </c>
      <c r="M18" s="38" t="n">
        <v>1</v>
      </c>
      <c r="N18" s="46" t="inlineStr">
        <is>
          <t>2023</t>
        </is>
      </c>
      <c r="O18" s="38" t="n">
        <v>1</v>
      </c>
      <c r="P18" s="38" t="inlineStr">
        <is>
          <t>UND</t>
        </is>
      </c>
      <c r="Q18" s="396" t="inlineStr">
        <is>
          <t xml:space="preserve">	010911-Acelerador Linear só de Fótons (monoenergético 6 MV)</t>
        </is>
      </c>
      <c r="R18" s="100" t="n">
        <v>45574</v>
      </c>
      <c r="S18" s="100" t="inlineStr">
        <is>
          <t>27-07-27</t>
        </is>
      </c>
      <c r="T18" s="100" t="inlineStr">
        <is>
          <t>25-09-27</t>
        </is>
      </c>
      <c r="U18" s="660" t="inlineStr">
        <is>
          <t>PROGRAMA</t>
        </is>
      </c>
      <c r="V18" s="43" t="n">
        <v>7015893</v>
      </c>
      <c r="W18" s="323" t="n">
        <v>6987564.4</v>
      </c>
      <c r="X18" s="43" t="n">
        <v>0</v>
      </c>
      <c r="Y18" s="43" t="inlineStr">
        <is>
          <t>HOMOLOGADA E PAGA</t>
        </is>
      </c>
      <c r="Z18" s="338" t="n">
        <v>45863</v>
      </c>
      <c r="AA18" s="42" t="inlineStr">
        <is>
          <t xml:space="preserve">SIM </t>
        </is>
      </c>
      <c r="AB18" s="43" t="inlineStr">
        <is>
          <t>VARIAN MEDICAL SYSTEMS INC</t>
        </is>
      </c>
      <c r="AC18" s="43" t="inlineStr">
        <is>
          <t>Acelerador Linear Modelo HALCYON Bold</t>
        </is>
      </c>
      <c r="AD18" s="323" t="inlineStr">
        <is>
          <t>PAC</t>
        </is>
      </c>
      <c r="AE18" s="44" t="n">
        <v>80120</v>
      </c>
      <c r="AF18" s="695" t="inlineStr">
        <is>
          <t>EM EXECUÇÃO</t>
        </is>
      </c>
      <c r="AG18" s="43" t="inlineStr">
        <is>
          <t>Em andamento</t>
        </is>
      </c>
      <c r="AH18" s="706">
        <f>IF(AF18="Em execução","Em execução",
IF(AF18="Em licitação","Em licitação / Leilão",
IF(AF18="Concluído","Concluído",)))</f>
        <v/>
      </c>
      <c r="AI18" s="400" t="n">
        <v>0.8</v>
      </c>
      <c r="AJ18" s="701" t="inlineStr">
        <is>
          <t>BRUNA</t>
        </is>
      </c>
      <c r="AK18" s="701" t="inlineStr">
        <is>
          <t>LAYANE</t>
        </is>
      </c>
      <c r="AL18" s="701" t="n"/>
      <c r="AM18" s="41" t="inlineStr">
        <is>
          <t>Em monitoramento</t>
        </is>
      </c>
      <c r="AN18" s="38" t="inlineStr">
        <is>
          <t>Substituição</t>
        </is>
      </c>
      <c r="AO18" s="46" t="inlineStr">
        <is>
          <t>Tratamento</t>
        </is>
      </c>
      <c r="AP18" s="46" t="n"/>
      <c r="AQ18" s="46" t="n"/>
      <c r="AR18" s="406" t="inlineStr">
        <is>
          <t>Reunião realizada em 10/02/26, o cronograma de execução da reforma se mantém, com previsão de término em abril/26. Já o cronograma de chegada e instalação do acelerador linear foi reprogramado devido ao atraso no SCRA de licença de importação. A instituição ficou de enviar o protocolo, para pedirmos celeridade na análise pela CNEN. A nova previsão de inauguração é agosto/26.</t>
        </is>
      </c>
      <c r="AS18" s="414" t="n"/>
      <c r="AT18" s="414" t="n"/>
      <c r="AU18" s="338" t="inlineStr">
        <is>
          <t>10/01/2025 (empresa 19/11/2025)</t>
        </is>
      </c>
      <c r="AV18" s="338" t="n">
        <v>46073</v>
      </c>
      <c r="AW18" s="338" t="inlineStr">
        <is>
          <t>20/03/2026</t>
        </is>
      </c>
      <c r="AX18" s="338" t="n">
        <v>46104</v>
      </c>
      <c r="AY18" s="338" t="n">
        <v>46132</v>
      </c>
      <c r="AZ18" s="338" t="n">
        <v>46174</v>
      </c>
      <c r="BA18" s="650" t="inlineStr">
        <is>
          <t>15/09/2025</t>
        </is>
      </c>
      <c r="BB18" s="650" t="n"/>
      <c r="BC18" s="649" t="n">
        <v>46026</v>
      </c>
      <c r="BD18" s="649" t="inlineStr">
        <is>
          <t>143 dias</t>
        </is>
      </c>
      <c r="BE18" s="682" t="inlineStr">
        <is>
          <t>30/11/2026</t>
        </is>
      </c>
      <c r="BF18" s="38" t="n">
        <v>15000</v>
      </c>
      <c r="BG18" s="38" t="inlineStr">
        <is>
          <t>NI</t>
        </is>
      </c>
      <c r="BH18" s="38" t="inlineStr">
        <is>
          <t>NI</t>
        </is>
      </c>
      <c r="BI18" s="692" t="inlineStr">
        <is>
          <t xml:space="preserve"> 2025SCRA2819</t>
        </is>
      </c>
      <c r="BJ18" s="648" t="inlineStr">
        <is>
          <t xml:space="preserve">em análise </t>
        </is>
      </c>
      <c r="BK18" s="38" t="inlineStr">
        <is>
          <t>NI</t>
        </is>
      </c>
      <c r="BL18" s="685" t="inlineStr">
        <is>
          <t>NI</t>
        </is>
      </c>
      <c r="BM18" s="43" t="inlineStr">
        <is>
          <t>NA</t>
        </is>
      </c>
      <c r="BN18" s="38" t="n"/>
      <c r="BO18" s="38" t="n"/>
      <c r="BP18" s="38" t="n"/>
      <c r="BQ18" s="38" t="n"/>
    </row>
    <row r="19" ht="51.75" customHeight="1">
      <c r="A19" s="38" t="inlineStr">
        <is>
          <t>SUDESTE</t>
        </is>
      </c>
      <c r="B19" s="38" t="inlineStr">
        <is>
          <t>RJ</t>
        </is>
      </c>
      <c r="C19" s="38" t="inlineStr">
        <is>
          <t>RIO DE JANEIRO</t>
        </is>
      </c>
      <c r="D19" s="38" t="inlineStr">
        <is>
          <t>FUNDO ESTADUAL DE SAUDE FES</t>
        </is>
      </c>
      <c r="E19" s="46" t="inlineStr">
        <is>
          <t>35949791000185</t>
        </is>
      </c>
      <c r="F19" s="46" t="inlineStr">
        <is>
          <t>2269783</t>
        </is>
      </c>
      <c r="G19" s="46" t="inlineStr">
        <is>
          <t>SEI</t>
        </is>
      </c>
      <c r="H19" s="395" t="inlineStr">
        <is>
          <t>FAF</t>
        </is>
      </c>
      <c r="I19" s="647" t="inlineStr">
        <is>
          <t>25000000145202506</t>
        </is>
      </c>
      <c r="J19" s="395" t="inlineStr">
        <is>
          <t>35949791000123006</t>
        </is>
      </c>
      <c r="K19" s="46" t="inlineStr">
        <is>
          <t>25000.000145/2025-06</t>
        </is>
      </c>
      <c r="L19" s="38" t="inlineStr">
        <is>
          <t>RADIOTERAPIA - PORTARIA GM/MS Nº 544/2023</t>
        </is>
      </c>
      <c r="M19" s="38" t="n">
        <v>1</v>
      </c>
      <c r="N19" s="46" t="inlineStr">
        <is>
          <t>2023</t>
        </is>
      </c>
      <c r="O19" s="38" t="n">
        <v>1</v>
      </c>
      <c r="P19" s="38" t="inlineStr">
        <is>
          <t>UND</t>
        </is>
      </c>
      <c r="Q19" s="396" t="inlineStr">
        <is>
          <t>010911-Acelerador Linear só de Fótons (monoenergético 6 MV)</t>
        </is>
      </c>
      <c r="R19" s="338" t="n">
        <v>45291</v>
      </c>
      <c r="S19" s="646" t="n">
        <v>46095</v>
      </c>
      <c r="T19" s="646" t="n">
        <v>46095</v>
      </c>
      <c r="U19" s="43" t="inlineStr">
        <is>
          <t>PROGRAMA</t>
        </is>
      </c>
      <c r="V19" s="43" t="n">
        <v>7090000</v>
      </c>
      <c r="W19" s="43" t="inlineStr">
        <is>
          <t>R$ 7.090.000,00</t>
        </is>
      </c>
      <c r="X19" s="43" t="n">
        <v>0</v>
      </c>
      <c r="Y19" s="43" t="inlineStr">
        <is>
          <t>HOMOLOGADA E PAGA</t>
        </is>
      </c>
      <c r="Z19" s="338" t="n">
        <v>45365</v>
      </c>
      <c r="AA19" s="43" t="inlineStr">
        <is>
          <t>SEM INFORMAÇÃO</t>
        </is>
      </c>
      <c r="AB19" s="43" t="inlineStr">
        <is>
          <t>ELEKTA SOLUTIONS AB</t>
        </is>
      </c>
      <c r="AC19" s="43" t="inlineStr">
        <is>
          <t>Acelerador Linear Elekta VERSA HD</t>
        </is>
      </c>
      <c r="AD19" s="43" t="inlineStr">
        <is>
          <t>NI</t>
        </is>
      </c>
      <c r="AE19" s="44" t="inlineStr">
        <is>
          <t>NI</t>
        </is>
      </c>
      <c r="AF19" s="43" t="inlineStr">
        <is>
          <t>Em execução</t>
        </is>
      </c>
      <c r="AG19" s="43" t="inlineStr">
        <is>
          <t>Aguardando repasse</t>
        </is>
      </c>
      <c r="AH19" s="706">
        <f>IF(AF19="Em execução","Em execução",
IF(AF19="Em licitação","Em licitação / Leilão",
IF(AF19="Concluído","Concluído",)))</f>
        <v/>
      </c>
      <c r="AI19" s="69" t="n">
        <v>0.2</v>
      </c>
      <c r="AJ19" s="41" t="inlineStr">
        <is>
          <t>Bruna</t>
        </is>
      </c>
      <c r="AK19" s="41" t="inlineStr">
        <is>
          <t>LAYANE</t>
        </is>
      </c>
      <c r="AL19" s="41" t="n"/>
      <c r="AM19" s="41" t="inlineStr">
        <is>
          <t>Em monitoramento</t>
        </is>
      </c>
      <c r="AN19" s="38" t="inlineStr">
        <is>
          <t>Substituição</t>
        </is>
      </c>
      <c r="AO19" s="46" t="inlineStr">
        <is>
          <t>Tratamento</t>
        </is>
      </c>
      <c r="AP19" s="46" t="n"/>
      <c r="AQ19" s="46" t="n"/>
      <c r="AR19" s="699" t="inlineStr">
        <is>
          <t>Foi elaborada Nota Técnica em 20/03/2026, por meio da qual foi solicitada consulta acerca da viabilidade jurídica de prorrogação excepcional da vigência do convênio, tendo em vista que o Hospital aguardava a disponibilização da Carta de Crédito pela instituição bancária para efetuar o pagamento à época do término da vigência do instrumento.</t>
        </is>
      </c>
      <c r="AS19" s="645" t="n"/>
      <c r="AT19" s="644" t="n"/>
      <c r="AU19" s="338" t="n"/>
      <c r="AV19" s="338" t="n"/>
      <c r="AW19" s="338" t="n"/>
      <c r="AX19" s="338" t="n"/>
      <c r="AY19" s="338" t="n"/>
      <c r="AZ19" s="338" t="n"/>
      <c r="BA19" s="38" t="n"/>
      <c r="BB19" s="38" t="n"/>
      <c r="BC19" s="38" t="n"/>
      <c r="BD19" s="38" t="n"/>
      <c r="BE19" s="420" t="inlineStr">
        <is>
          <t>NI</t>
        </is>
      </c>
      <c r="BF19" s="38" t="n">
        <v>13648</v>
      </c>
      <c r="BG19" s="38" t="inlineStr">
        <is>
          <t>NI</t>
        </is>
      </c>
      <c r="BH19" s="38" t="inlineStr">
        <is>
          <t>NI</t>
        </is>
      </c>
      <c r="BI19" s="692" t="inlineStr">
        <is>
          <t>NI</t>
        </is>
      </c>
      <c r="BJ19" s="691" t="inlineStr">
        <is>
          <t>NI</t>
        </is>
      </c>
      <c r="BK19" s="38" t="inlineStr">
        <is>
          <t>NI</t>
        </is>
      </c>
      <c r="BL19" s="685" t="inlineStr">
        <is>
          <t>NI</t>
        </is>
      </c>
      <c r="BM19" s="43" t="inlineStr">
        <is>
          <t>NA</t>
        </is>
      </c>
      <c r="BN19" s="38" t="n"/>
      <c r="BO19" s="38" t="n"/>
      <c r="BP19" s="38" t="n"/>
      <c r="BQ19" s="38" t="n"/>
    </row>
    <row r="20" ht="58.5" customHeight="1">
      <c r="A20" s="38" t="inlineStr">
        <is>
          <t>NORDESTE</t>
        </is>
      </c>
      <c r="B20" s="38" t="inlineStr">
        <is>
          <t>RN</t>
        </is>
      </c>
      <c r="C20" s="38" t="inlineStr">
        <is>
          <t>NATAL</t>
        </is>
      </c>
      <c r="D20" s="38" t="inlineStr">
        <is>
          <t>LIGA NORTE RIOGRANDENSE CONTRA O CANCER</t>
        </is>
      </c>
      <c r="E20" s="46" t="inlineStr">
        <is>
          <t>08428765000309</t>
        </is>
      </c>
      <c r="F20" s="46" t="n">
        <v>2409194</v>
      </c>
      <c r="G20" s="46" t="inlineStr">
        <is>
          <t>Transferegov/SEI</t>
        </is>
      </c>
      <c r="H20" s="46" t="inlineStr">
        <is>
          <t>Convênio</t>
        </is>
      </c>
      <c r="I20" s="38" t="n">
        <v>953716</v>
      </c>
      <c r="J20" s="46" t="inlineStr">
        <is>
          <t>90842823010</t>
        </is>
      </c>
      <c r="K20" s="46" t="inlineStr">
        <is>
          <t>25000.186264/2023-77</t>
        </is>
      </c>
      <c r="L20" s="38" t="inlineStr">
        <is>
          <t>RENOVAÇÃO DO PARQUE TECNOLÓGICO DE RADIOTERAPIA NO SUS - PAC</t>
        </is>
      </c>
      <c r="M20" s="38" t="n">
        <v>1</v>
      </c>
      <c r="N20" s="46" t="inlineStr">
        <is>
          <t>2023</t>
        </is>
      </c>
      <c r="O20" s="38" t="n">
        <v>1</v>
      </c>
      <c r="P20" s="38" t="inlineStr">
        <is>
          <t>UND</t>
        </is>
      </c>
      <c r="Q20" s="396" t="inlineStr">
        <is>
          <t>010910-Acelerador Linear de Fótons e Elétrons (dual 15 MV)</t>
        </is>
      </c>
      <c r="R20" s="338" t="n">
        <v>45287</v>
      </c>
      <c r="S20" s="100" t="n">
        <v>46287</v>
      </c>
      <c r="T20" s="100" t="n">
        <v>46347</v>
      </c>
      <c r="U20" s="323" t="inlineStr">
        <is>
          <t>PROGRAMA</t>
        </is>
      </c>
      <c r="V20" s="43" t="n">
        <v>10500000</v>
      </c>
      <c r="W20" s="323" t="n">
        <v>10470460</v>
      </c>
      <c r="X20" s="43" t="n">
        <v>0</v>
      </c>
      <c r="Y20" s="43" t="inlineStr">
        <is>
          <t>HOMOLOGADA E PAGA</t>
        </is>
      </c>
      <c r="Z20" s="338" t="n">
        <v>45863</v>
      </c>
      <c r="AA20" s="42" t="inlineStr">
        <is>
          <t xml:space="preserve">SIM </t>
        </is>
      </c>
      <c r="AB20" s="43" t="inlineStr">
        <is>
          <t>VARIAN MEDICAL SYSTEMS INC</t>
        </is>
      </c>
      <c r="AC20" s="43" t="inlineStr">
        <is>
          <t>Acelerador Linear TrueBeam</t>
        </is>
      </c>
      <c r="AD20" s="323" t="inlineStr">
        <is>
          <t>PAC</t>
        </is>
      </c>
      <c r="AE20" s="44" t="n">
        <v>80122</v>
      </c>
      <c r="AF20" s="695" t="inlineStr">
        <is>
          <t>EM EXECUÇÃO</t>
        </is>
      </c>
      <c r="AG20" s="43" t="inlineStr">
        <is>
          <t>Em andamento</t>
        </is>
      </c>
      <c r="AH20" s="706">
        <f>IF(AF20="Em execução","Em execução",
IF(AF20="Em licitação","Em licitação / Leilão",
IF(AF20="Concluído","Concluído",)))</f>
        <v/>
      </c>
      <c r="AI20" s="400" t="n">
        <v>0.8</v>
      </c>
      <c r="AJ20" s="41" t="inlineStr">
        <is>
          <t>BRUNA</t>
        </is>
      </c>
      <c r="AK20" s="41" t="inlineStr">
        <is>
          <t>LAYANE</t>
        </is>
      </c>
      <c r="AL20" s="41" t="n"/>
      <c r="AM20" s="41" t="inlineStr">
        <is>
          <t>Em monitoramento</t>
        </is>
      </c>
      <c r="AN20" s="38" t="inlineStr">
        <is>
          <t>Substituição</t>
        </is>
      </c>
      <c r="AO20" s="46" t="inlineStr">
        <is>
          <t>Tratamento</t>
        </is>
      </c>
      <c r="AP20" s="46" t="n"/>
      <c r="AQ20" s="46" t="n"/>
      <c r="AR20" s="416" t="inlineStr">
        <is>
          <t>09/06/2026 - E-mail enviado via SEI solicitando atualização dos cronogramas. Pri. Atualização em 23/06/2026: O equipamento anterior foi descomissionado. A conclusão da reforma está prevista para 10/07/2026. O novo equipamento tem previsão de chegada ao porto em julho de 2026, e a solicitação da Autorização de Operação está prevista para 03/11/2026.</t>
        </is>
      </c>
      <c r="AS20" s="643" t="inlineStr">
        <is>
          <t>????</t>
        </is>
      </c>
      <c r="AT20" s="651" t="inlineStr">
        <is>
          <t>?????</t>
        </is>
      </c>
      <c r="AU20" s="705" t="n">
        <v>46072</v>
      </c>
      <c r="AV20" s="705" t="n">
        <v>46084</v>
      </c>
      <c r="AW20" s="705" t="n">
        <v>46146</v>
      </c>
      <c r="AX20" s="705" t="n"/>
      <c r="AY20" s="705" t="n"/>
      <c r="AZ20" s="705" t="n"/>
      <c r="BA20" s="642" t="n">
        <v>45965</v>
      </c>
      <c r="BB20" s="650" t="n"/>
      <c r="BC20" s="642" t="n">
        <v>46150</v>
      </c>
      <c r="BD20" s="650" t="inlineStr">
        <is>
          <t>120 Dias</t>
        </is>
      </c>
      <c r="BE20" s="682" t="inlineStr">
        <is>
          <t>30/02/2027</t>
        </is>
      </c>
      <c r="BF20" s="38" t="n">
        <v>11534</v>
      </c>
      <c r="BG20" s="698" t="inlineStr">
        <is>
          <t>2025SCRA1201</t>
        </is>
      </c>
      <c r="BH20" s="698" t="inlineStr">
        <is>
          <t>Deferido</t>
        </is>
      </c>
      <c r="BI20" s="698" t="inlineStr">
        <is>
          <t>2025SCRA1213</t>
        </is>
      </c>
      <c r="BJ20" s="697" t="inlineStr">
        <is>
          <t>Deferido</t>
        </is>
      </c>
      <c r="BK20" s="38" t="inlineStr">
        <is>
          <t>NI</t>
        </is>
      </c>
      <c r="BL20" s="685" t="inlineStr">
        <is>
          <t>NI</t>
        </is>
      </c>
      <c r="BM20" s="43" t="inlineStr">
        <is>
          <t>NA</t>
        </is>
      </c>
      <c r="BN20" s="38" t="n"/>
      <c r="BO20" s="38" t="n"/>
      <c r="BP20" s="38" t="n"/>
      <c r="BQ20" s="38" t="n"/>
    </row>
    <row r="21" ht="60.75" customHeight="1">
      <c r="A21" s="38" t="inlineStr">
        <is>
          <t>SUL</t>
        </is>
      </c>
      <c r="B21" s="38" t="inlineStr">
        <is>
          <t>RS</t>
        </is>
      </c>
      <c r="C21" s="38" t="inlineStr">
        <is>
          <t>PORTO ALEGRE</t>
        </is>
      </c>
      <c r="D21" s="38" t="inlineStr">
        <is>
          <t>HOSPITAL DE CLINICAS DE PORTO ALEGRE</t>
        </is>
      </c>
      <c r="E21" s="46" t="inlineStr">
        <is>
          <t>87020517000120</t>
        </is>
      </c>
      <c r="F21" s="395" t="inlineStr">
        <is>
          <t>2237601</t>
        </is>
      </c>
      <c r="G21" s="46" t="inlineStr">
        <is>
          <t>Transferegov/SEI</t>
        </is>
      </c>
      <c r="H21" s="395" t="inlineStr">
        <is>
          <t>TED</t>
        </is>
      </c>
      <c r="I21" s="38" t="inlineStr">
        <is>
          <t>TED</t>
        </is>
      </c>
      <c r="J21" s="46" t="inlineStr">
        <is>
          <t>00030420230100002025</t>
        </is>
      </c>
      <c r="K21" s="46" t="inlineStr">
        <is>
          <t>25000.185040/2023-48</t>
        </is>
      </c>
      <c r="L21" s="38" t="inlineStr">
        <is>
          <t>RENOVAÇÃO DO PARQUE TECNOLÓGICO DE RADIOTERAPIA NO SUS - PAC</t>
        </is>
      </c>
      <c r="M21" s="38" t="n">
        <v>1</v>
      </c>
      <c r="N21" s="46" t="inlineStr">
        <is>
          <t>2023</t>
        </is>
      </c>
      <c r="O21" s="38" t="n">
        <v>1</v>
      </c>
      <c r="P21" s="38" t="inlineStr">
        <is>
          <t>UND</t>
        </is>
      </c>
      <c r="Q21" s="396" t="inlineStr">
        <is>
          <t xml:space="preserve">	010933-Acelerador Linear de Fótons e Elétrons (dual 6 e 10 MV)</t>
        </is>
      </c>
      <c r="R21" s="338" t="n">
        <v>45286</v>
      </c>
      <c r="S21" s="100" t="n">
        <v>46382</v>
      </c>
      <c r="T21" s="646" t="n">
        <v>46017</v>
      </c>
      <c r="U21" s="43" t="inlineStr">
        <is>
          <t>NI</t>
        </is>
      </c>
      <c r="V21" s="43" t="n">
        <v>11750454.44</v>
      </c>
      <c r="W21" s="43" t="inlineStr">
        <is>
          <t>R$ 11.750.454,44</t>
        </is>
      </c>
      <c r="X21" s="43" t="n">
        <v>0</v>
      </c>
      <c r="Y21" s="43" t="inlineStr">
        <is>
          <t>HOMOLOGADA E PAGA</t>
        </is>
      </c>
      <c r="Z21" s="338" t="n">
        <v>45688</v>
      </c>
      <c r="AA21" s="43" t="inlineStr">
        <is>
          <t>sim</t>
        </is>
      </c>
      <c r="AB21" s="43" t="inlineStr">
        <is>
          <t>VARIAN MEDICAL SYSTEMS INC</t>
        </is>
      </c>
      <c r="AC21" s="38" t="inlineStr">
        <is>
          <t>NI</t>
        </is>
      </c>
      <c r="AD21" s="43" t="inlineStr">
        <is>
          <t>NI</t>
        </is>
      </c>
      <c r="AE21" s="44" t="inlineStr">
        <is>
          <t>NI</t>
        </is>
      </c>
      <c r="AF21" s="43" t="inlineStr">
        <is>
          <t>Concluído</t>
        </is>
      </c>
      <c r="AG21" s="43" t="inlineStr">
        <is>
          <t>Concluído</t>
        </is>
      </c>
      <c r="AH21" s="706">
        <f>IF(AF21="Em execução","Em execução",
IF(AF21="Em licitação","Em licitação / Leilão",
IF(AF21="Concluído","Concluído",)))</f>
        <v/>
      </c>
      <c r="AI21" s="428" t="n">
        <v>1</v>
      </c>
      <c r="AJ21" s="41" t="inlineStr">
        <is>
          <t>SAMUEL</t>
        </is>
      </c>
      <c r="AK21" s="41" t="inlineStr">
        <is>
          <t>PRISCILA</t>
        </is>
      </c>
      <c r="AL21" s="710" t="inlineStr">
        <is>
          <t>ESTRATÉGICO</t>
        </is>
      </c>
      <c r="AM21" s="706" t="inlineStr">
        <is>
          <t>Concluído</t>
        </is>
      </c>
      <c r="AN21" s="38" t="inlineStr">
        <is>
          <t>Substituição</t>
        </is>
      </c>
      <c r="AO21" s="46" t="inlineStr">
        <is>
          <t>Tratamento</t>
        </is>
      </c>
      <c r="AP21" s="46" t="n"/>
      <c r="AQ21" s="46" t="n"/>
      <c r="AR21" s="415" t="inlineStr">
        <is>
          <t>Parecer Técnico Final de monitoramento nº 100/2026-CGPCAN/DECAN/SAES/MS emitido em 19/06/2026</t>
        </is>
      </c>
      <c r="AS21" s="43" t="inlineStr">
        <is>
          <t>NI</t>
        </is>
      </c>
      <c r="AT21" s="43" t="inlineStr">
        <is>
          <t>NI</t>
        </is>
      </c>
      <c r="AU21" s="338" t="n">
        <v>45859</v>
      </c>
      <c r="AV21" s="338" t="n">
        <v>45960</v>
      </c>
      <c r="AW21" s="338" t="n">
        <v>45991</v>
      </c>
      <c r="AX21" s="338" t="n"/>
      <c r="AY21" s="338" t="n"/>
      <c r="AZ21" s="338" t="n"/>
      <c r="BA21" s="678" t="n"/>
      <c r="BB21" s="678" t="n"/>
      <c r="BC21" s="678" t="n"/>
      <c r="BD21" s="678" t="n"/>
      <c r="BE21" s="641" t="inlineStr">
        <is>
          <t>31/06/2026</t>
        </is>
      </c>
      <c r="BF21" s="38" t="n"/>
      <c r="BG21" s="38" t="inlineStr">
        <is>
          <t>NI</t>
        </is>
      </c>
      <c r="BH21" s="38" t="inlineStr">
        <is>
          <t>NI</t>
        </is>
      </c>
      <c r="BI21" s="692" t="inlineStr">
        <is>
          <t>NI</t>
        </is>
      </c>
      <c r="BJ21" s="691" t="inlineStr">
        <is>
          <t>NI</t>
        </is>
      </c>
      <c r="BK21" s="38" t="inlineStr">
        <is>
          <t>2026SCRA0957</t>
        </is>
      </c>
      <c r="BL21" s="685" t="inlineStr">
        <is>
          <t>analise</t>
        </is>
      </c>
      <c r="BM21" s="43" t="inlineStr">
        <is>
          <t>NA</t>
        </is>
      </c>
      <c r="BN21" s="38" t="n"/>
      <c r="BO21" s="38" t="n"/>
      <c r="BP21" s="38" t="n"/>
      <c r="BQ21" s="38" t="n"/>
    </row>
    <row r="22" ht="59.25" customHeight="1">
      <c r="A22" s="38" t="inlineStr">
        <is>
          <t>SUDESTE</t>
        </is>
      </c>
      <c r="B22" s="38" t="inlineStr">
        <is>
          <t>SP</t>
        </is>
      </c>
      <c r="C22" s="38" t="inlineStr">
        <is>
          <t>JUNDIAI</t>
        </is>
      </c>
      <c r="D22" s="38" t="inlineStr">
        <is>
          <t>HOSPITAL DE CARIDADE SAO VICENTE DE PAULO</t>
        </is>
      </c>
      <c r="E22" s="46" t="inlineStr">
        <is>
          <t>50944198000130</t>
        </is>
      </c>
      <c r="F22" s="46" t="inlineStr">
        <is>
          <t>2786435</t>
        </is>
      </c>
      <c r="G22" s="46" t="inlineStr">
        <is>
          <t>Transferegov/SEI</t>
        </is>
      </c>
      <c r="H22" s="46" t="inlineStr">
        <is>
          <t>Convênio</t>
        </is>
      </c>
      <c r="I22" s="38" t="n">
        <v>953749</v>
      </c>
      <c r="J22" s="46" t="inlineStr">
        <is>
          <t>95094423002</t>
        </is>
      </c>
      <c r="K22" s="46" t="inlineStr">
        <is>
          <t>25000.151200/2023-55</t>
        </is>
      </c>
      <c r="L22" s="38" t="inlineStr">
        <is>
          <t>RENOVAÇÃO DO PARQUE TECNOLÓGICO DE RADIOTERAPIA NO SUS - PAC</t>
        </is>
      </c>
      <c r="M22" s="38" t="n">
        <v>1</v>
      </c>
      <c r="N22" s="46" t="inlineStr">
        <is>
          <t>2023</t>
        </is>
      </c>
      <c r="O22" s="38" t="n">
        <v>1</v>
      </c>
      <c r="P22" s="38" t="inlineStr">
        <is>
          <t>UND</t>
        </is>
      </c>
      <c r="Q22" s="396" t="inlineStr">
        <is>
          <t xml:space="preserve">	011806-Acelerado Linear (Básico - Intermediário)</t>
        </is>
      </c>
      <c r="R22" s="338" t="n">
        <v>45288</v>
      </c>
      <c r="S22" s="100" t="n">
        <v>46147</v>
      </c>
      <c r="T22" s="100" t="n">
        <v>46207</v>
      </c>
      <c r="U22" s="323" t="inlineStr">
        <is>
          <t>PROGRAMA</t>
        </is>
      </c>
      <c r="V22" s="43" t="n">
        <v>8480920</v>
      </c>
      <c r="W22" s="323" t="inlineStr">
        <is>
          <t>R$ 8.478.000,00</t>
        </is>
      </c>
      <c r="X22" s="43" t="n">
        <v>0</v>
      </c>
      <c r="Y22" s="43" t="inlineStr">
        <is>
          <t>HOMOLOGADA E PAGA</t>
        </is>
      </c>
      <c r="Z22" s="338" t="n">
        <v>45607</v>
      </c>
      <c r="AA22" s="42" t="inlineStr">
        <is>
          <t>SIM</t>
        </is>
      </c>
      <c r="AB22" s="43" t="inlineStr">
        <is>
          <t>VARIAN MEDICAL SYSTEMS INC</t>
        </is>
      </c>
      <c r="AC22" s="43" t="inlineStr">
        <is>
          <t>Acelerador Linear Modelo HALCYON</t>
        </is>
      </c>
      <c r="AD22" s="323" t="inlineStr">
        <is>
          <t>PAC</t>
        </is>
      </c>
      <c r="AE22" s="44" t="n">
        <v>80123</v>
      </c>
      <c r="AF22" s="43" t="inlineStr">
        <is>
          <t>PRESTAÇÃO DE CONTAS ENVIADA PARA ANÁLISE</t>
        </is>
      </c>
      <c r="AG22" s="43" t="inlineStr">
        <is>
          <t>Comissionamento</t>
        </is>
      </c>
      <c r="AH22" s="706" t="inlineStr">
        <is>
          <t>Concluído</t>
        </is>
      </c>
      <c r="AI22" s="428" t="n">
        <v>1</v>
      </c>
      <c r="AJ22" s="41" t="inlineStr">
        <is>
          <t>SAMUEL</t>
        </is>
      </c>
      <c r="AK22" s="41" t="inlineStr">
        <is>
          <t>PRISCILA</t>
        </is>
      </c>
      <c r="AL22" s="710" t="inlineStr">
        <is>
          <t>ESTRATÉGICO</t>
        </is>
      </c>
      <c r="AM22" s="706" t="inlineStr">
        <is>
          <t>Concluído</t>
        </is>
      </c>
      <c r="AN22" s="38" t="inlineStr">
        <is>
          <t>Substituição</t>
        </is>
      </c>
      <c r="AO22" s="46" t="inlineStr">
        <is>
          <t>Tratamento</t>
        </is>
      </c>
      <c r="AP22" s="46" t="n"/>
      <c r="AQ22" s="46" t="n"/>
      <c r="AR22" s="416" t="inlineStr">
        <is>
          <t>Equipamento instalado, aguardando a dosimetria para solicitar a autorização de operação, previsto para 22/06/2026</t>
        </is>
      </c>
      <c r="AS22" s="417" t="n">
        <v>46240</v>
      </c>
      <c r="AT22" s="414" t="n"/>
      <c r="AU22" s="338" t="inlineStr">
        <is>
          <t>28/06/2025 (11/08/25
empresa)</t>
        </is>
      </c>
      <c r="AV22" s="338" t="inlineStr">
        <is>
          <t>???</t>
        </is>
      </c>
      <c r="AW22" s="338" t="inlineStr">
        <is>
          <t>????</t>
        </is>
      </c>
      <c r="AX22" s="338" t="inlineStr">
        <is>
          <t>23/03/26</t>
        </is>
      </c>
      <c r="AY22" s="338" t="n">
        <v>46085</v>
      </c>
      <c r="AZ22" s="338" t="n"/>
      <c r="BA22" s="640" t="n">
        <v>45818</v>
      </c>
      <c r="BB22" s="650" t="n"/>
      <c r="BC22" s="649" t="n">
        <v>45990</v>
      </c>
      <c r="BD22" s="650" t="inlineStr">
        <is>
          <t>45 dias</t>
        </is>
      </c>
      <c r="BE22" s="682" t="inlineStr">
        <is>
          <t>30/07/2026</t>
        </is>
      </c>
      <c r="BF22" s="38" t="n">
        <v>11482</v>
      </c>
      <c r="BG22" s="698" t="inlineStr">
        <is>
          <t>2025SCRA1123</t>
        </is>
      </c>
      <c r="BH22" s="698" t="inlineStr">
        <is>
          <t>Deferido</t>
        </is>
      </c>
      <c r="BI22" s="698" t="inlineStr">
        <is>
          <t>2024SCRA2757</t>
        </is>
      </c>
      <c r="BJ22" s="697" t="inlineStr">
        <is>
          <t>Deferido</t>
        </is>
      </c>
      <c r="BK22" s="38" t="inlineStr">
        <is>
          <t xml:space="preserve"> 2026SCRA0879</t>
        </is>
      </c>
      <c r="BL22" s="685" t="inlineStr">
        <is>
          <t>analise</t>
        </is>
      </c>
      <c r="BM22" s="43" t="inlineStr">
        <is>
          <t>NA</t>
        </is>
      </c>
      <c r="BN22" s="38" t="n"/>
      <c r="BO22" s="38" t="n"/>
      <c r="BP22" s="38" t="n"/>
      <c r="BQ22" s="38" t="n"/>
    </row>
    <row r="23" ht="65.25" customFormat="1" customHeight="1" s="479">
      <c r="A23" s="703" t="inlineStr">
        <is>
          <t>SUDESTE</t>
        </is>
      </c>
      <c r="B23" s="703" t="inlineStr">
        <is>
          <t>MG</t>
        </is>
      </c>
      <c r="C23" s="703" t="inlineStr">
        <is>
          <t>PASSOS</t>
        </is>
      </c>
      <c r="D23" s="703" t="inlineStr">
        <is>
          <t>IRMANDADE DA SANTA CASA DE MISERICORDIA DE PASSOS</t>
        </is>
      </c>
      <c r="E23" s="788" t="inlineStr">
        <is>
          <t>23278898000160</t>
        </is>
      </c>
      <c r="F23" s="788" t="n">
        <v>2775999</v>
      </c>
      <c r="G23" s="788" t="inlineStr">
        <is>
          <t>Transferegov/SEI</t>
        </is>
      </c>
      <c r="H23" s="788" t="inlineStr">
        <is>
          <t>Convênio</t>
        </is>
      </c>
      <c r="I23" s="703" t="n">
        <v>953726</v>
      </c>
      <c r="J23" s="788" t="inlineStr">
        <is>
          <t>92327823001</t>
        </is>
      </c>
      <c r="K23" s="788" t="inlineStr">
        <is>
          <t>25000.151194/2023-36</t>
        </is>
      </c>
      <c r="L23" s="703" t="inlineStr">
        <is>
          <t>RENOVAÇÃO DO PARQUE TECNOLÓGICO DE RADIOTERAPIA NO SUS - PAC</t>
        </is>
      </c>
      <c r="M23" s="703" t="n">
        <v>1</v>
      </c>
      <c r="N23" s="788" t="inlineStr">
        <is>
          <t>2023</t>
        </is>
      </c>
      <c r="O23" s="703" t="n">
        <v>1</v>
      </c>
      <c r="P23" s="703" t="inlineStr">
        <is>
          <t>UND</t>
        </is>
      </c>
      <c r="Q23" s="789" t="inlineStr">
        <is>
          <t xml:space="preserve">	010910-Acelerador Linear de Fótons e Elétrons (dual 15 MV)</t>
        </is>
      </c>
      <c r="R23" s="705" t="n">
        <v>45288</v>
      </c>
      <c r="S23" s="790" t="n">
        <v>46382</v>
      </c>
      <c r="T23" s="790" t="inlineStr">
        <is>
          <t>24-fev-27</t>
        </is>
      </c>
      <c r="U23" s="791" t="inlineStr">
        <is>
          <t>PROGRAMA</t>
        </is>
      </c>
      <c r="V23" s="792" t="n">
        <v>8488912</v>
      </c>
      <c r="W23" s="791" t="inlineStr">
        <is>
          <t>R$ 8.478.000,00</t>
        </is>
      </c>
      <c r="X23" s="792" t="n">
        <v>0</v>
      </c>
      <c r="Y23" s="792" t="inlineStr">
        <is>
          <t>HOMOLOGADA E PAGA</t>
        </is>
      </c>
      <c r="Z23" s="705" t="n">
        <v>45607</v>
      </c>
      <c r="AA23" s="793" t="inlineStr">
        <is>
          <t>SIM</t>
        </is>
      </c>
      <c r="AB23" s="792" t="inlineStr">
        <is>
          <t>ELEKTA SOLUTIONS AB</t>
        </is>
      </c>
      <c r="AC23" s="792" t="inlineStr">
        <is>
          <t>Acelerador Linear Infinity HD</t>
        </is>
      </c>
      <c r="AD23" s="791" t="inlineStr">
        <is>
          <t>PAC</t>
        </is>
      </c>
      <c r="AE23" s="794" t="n">
        <v>8698</v>
      </c>
      <c r="AF23" s="792" t="inlineStr">
        <is>
          <t>EM EXECUÇÃO</t>
        </is>
      </c>
      <c r="AG23" s="792" t="inlineStr">
        <is>
          <t>Em andamento</t>
        </is>
      </c>
      <c r="AH23" s="795">
        <f>IF(AF23="Em execução","Em execução",
IF(AF23="Em licitação","Em licitação / Leilão",
IF(AF23="Concluído","Concluído",)))</f>
        <v/>
      </c>
      <c r="AI23" s="796" t="n">
        <v>0.8</v>
      </c>
      <c r="AJ23" s="665" t="inlineStr">
        <is>
          <t>SAMUEL</t>
        </is>
      </c>
      <c r="AK23" s="665" t="inlineStr">
        <is>
          <t>PRISCILA</t>
        </is>
      </c>
      <c r="AL23" s="701" t="n"/>
      <c r="AM23" s="701" t="inlineStr">
        <is>
          <t>Em monitoramento</t>
        </is>
      </c>
      <c r="AN23" s="703" t="inlineStr">
        <is>
          <t>Substituição</t>
        </is>
      </c>
      <c r="AO23" s="788" t="inlineStr">
        <is>
          <t>Tratamento</t>
        </is>
      </c>
      <c r="AP23" s="797" t="n"/>
      <c r="AQ23" s="797" t="n"/>
      <c r="AR23" s="798" t="inlineStr">
        <is>
          <t>01/06/2026 - Parecer Técnico 84  emitido, pedindo atualização. Resposta enviada. Cronograma sinaliza que entrará com SCRA em setembro. Acompanhar. Reunião reagendada para 14/09/2026</t>
        </is>
      </c>
      <c r="AS23" s="799" t="n">
        <v>46002</v>
      </c>
      <c r="AT23" s="418" t="n">
        <v>46199</v>
      </c>
      <c r="AU23" s="705" t="inlineStr">
        <is>
          <t>NI</t>
        </is>
      </c>
      <c r="AV23" s="705" t="n">
        <v>46200</v>
      </c>
      <c r="AW23" s="705" t="n">
        <v>46215</v>
      </c>
      <c r="AX23" s="705" t="n">
        <v>46230</v>
      </c>
      <c r="AY23" s="705" t="n">
        <v>46261</v>
      </c>
      <c r="AZ23" s="705" t="inlineStr">
        <is>
          <t>NI</t>
        </is>
      </c>
      <c r="BA23" s="693" t="n"/>
      <c r="BB23" s="693" t="n"/>
      <c r="BC23" s="693" t="n"/>
      <c r="BD23" s="693" t="n"/>
      <c r="BE23" s="420" t="n">
        <v>46388</v>
      </c>
      <c r="BF23" s="703" t="n">
        <v>14314</v>
      </c>
      <c r="BG23" s="419" t="inlineStr">
        <is>
          <t>2026SCRA0118</t>
        </is>
      </c>
      <c r="BH23" s="692" t="inlineStr">
        <is>
          <t>Em diligência</t>
        </is>
      </c>
      <c r="BI23" s="692" t="inlineStr">
        <is>
          <t>2025SCRA2442</t>
        </is>
      </c>
      <c r="BJ23" s="691" t="inlineStr">
        <is>
          <t>Deferido</t>
        </is>
      </c>
      <c r="BK23" s="703" t="inlineStr">
        <is>
          <t>NI</t>
        </is>
      </c>
      <c r="BL23" s="702" t="inlineStr">
        <is>
          <t>NI</t>
        </is>
      </c>
      <c r="BM23" s="792" t="inlineStr">
        <is>
          <t>NA</t>
        </is>
      </c>
      <c r="BN23" s="703" t="n"/>
      <c r="BO23" s="703" t="n"/>
      <c r="BP23" s="703" t="n"/>
      <c r="BQ23" s="703" t="n"/>
    </row>
    <row r="24" ht="54" customHeight="1">
      <c r="A24" s="38" t="inlineStr">
        <is>
          <t>SUL</t>
        </is>
      </c>
      <c r="B24" s="38" t="inlineStr">
        <is>
          <t>RS</t>
        </is>
      </c>
      <c r="C24" s="426" t="inlineStr">
        <is>
          <t>PASSO FUNDO</t>
        </is>
      </c>
      <c r="D24" s="38" t="inlineStr">
        <is>
          <t>ASSOCIACAO HOSPITALAR BENEFICENTE SAO VICENTE DE PAULO</t>
        </is>
      </c>
      <c r="E24" s="46" t="inlineStr">
        <is>
          <t>92021062000106</t>
        </is>
      </c>
      <c r="F24" s="46" t="inlineStr">
        <is>
          <t>2246988</t>
        </is>
      </c>
      <c r="G24" s="46" t="inlineStr">
        <is>
          <t>Transferegov/SEI</t>
        </is>
      </c>
      <c r="H24" s="46" t="inlineStr">
        <is>
          <t>Convênio</t>
        </is>
      </c>
      <c r="I24" s="38" t="n">
        <v>948695</v>
      </c>
      <c r="J24" s="46" t="inlineStr">
        <is>
          <t>99202123008</t>
        </is>
      </c>
      <c r="K24" s="46" t="inlineStr">
        <is>
          <t>25000.151215/2023-13</t>
        </is>
      </c>
      <c r="L24" s="38" t="inlineStr">
        <is>
          <t>RADIOTERAPIA</t>
        </is>
      </c>
      <c r="M24" s="38" t="n">
        <v>1</v>
      </c>
      <c r="N24" s="46" t="inlineStr">
        <is>
          <t>2023</t>
        </is>
      </c>
      <c r="O24" s="38" t="n">
        <v>1</v>
      </c>
      <c r="P24" s="38" t="inlineStr">
        <is>
          <t>UND</t>
        </is>
      </c>
      <c r="Q24" s="396" t="inlineStr">
        <is>
          <t>010933-Acelerador Linear de Fótons e Elétrons (dual 10 MV)</t>
        </is>
      </c>
      <c r="R24" s="338" t="n">
        <v>45272</v>
      </c>
      <c r="S24" s="100" t="n">
        <v>46387</v>
      </c>
      <c r="T24" s="100" t="n">
        <v>46447</v>
      </c>
      <c r="U24" s="323" t="inlineStr">
        <is>
          <t>PROGRAMA</t>
        </is>
      </c>
      <c r="V24" s="43" t="n">
        <v>8826551</v>
      </c>
      <c r="W24" s="323" t="inlineStr">
        <is>
          <t>R$ 8.787.935,00</t>
        </is>
      </c>
      <c r="X24" s="43" t="n">
        <v>0</v>
      </c>
      <c r="Y24" s="43" t="inlineStr">
        <is>
          <t>HOMOLOGADA E PAGA</t>
        </is>
      </c>
      <c r="Z24" s="338" t="n">
        <v>45464</v>
      </c>
      <c r="AA24" s="43" t="inlineStr">
        <is>
          <t>sim</t>
        </is>
      </c>
      <c r="AB24" s="43" t="inlineStr">
        <is>
          <t>ELEKTA SOLUTIONS AB</t>
        </is>
      </c>
      <c r="AC24" s="43" t="inlineStr">
        <is>
          <t>Acelerador Lienar Elektra Versa HD</t>
        </is>
      </c>
      <c r="AD24" s="323" t="inlineStr">
        <is>
          <t>PAC</t>
        </is>
      </c>
      <c r="AE24" s="44" t="n">
        <v>80115</v>
      </c>
      <c r="AF24" s="43" t="inlineStr">
        <is>
          <t>EM EXECUÇÃO</t>
        </is>
      </c>
      <c r="AG24" s="43" t="inlineStr">
        <is>
          <t>Concluído</t>
        </is>
      </c>
      <c r="AH24" s="706">
        <f>IF(AF24="Em execução","Em execução",
IF(AF24="Em licitação","Em licitação / Leilão",
IF(AF24="Concluído","Concluído",)))</f>
        <v/>
      </c>
      <c r="AI24" s="428" t="n">
        <v>1</v>
      </c>
      <c r="AJ24" s="41" t="inlineStr">
        <is>
          <t>SAMUEL</t>
        </is>
      </c>
      <c r="AK24" s="41" t="inlineStr">
        <is>
          <t>PRISCILA</t>
        </is>
      </c>
      <c r="AL24" s="710" t="inlineStr">
        <is>
          <t>ESTRATÉGICO</t>
        </is>
      </c>
      <c r="AM24" s="706" t="inlineStr">
        <is>
          <t>Concluído</t>
        </is>
      </c>
      <c r="AN24" s="38" t="inlineStr">
        <is>
          <t>Substituição</t>
        </is>
      </c>
      <c r="AO24" s="46" t="inlineStr">
        <is>
          <t>Tratamento</t>
        </is>
      </c>
      <c r="AP24" s="46" t="n"/>
      <c r="AQ24" s="46" t="n"/>
      <c r="AR24" s="668" t="inlineStr">
        <is>
          <t>09/11/2025, licença emitida, em operação</t>
        </is>
      </c>
      <c r="AS24" s="43" t="inlineStr">
        <is>
          <t>NI</t>
        </is>
      </c>
      <c r="AT24" s="43" t="inlineStr">
        <is>
          <t>NI</t>
        </is>
      </c>
      <c r="AU24" s="639" t="n">
        <v>45684</v>
      </c>
      <c r="AV24" s="639" t="n">
        <v>45934</v>
      </c>
      <c r="AW24" s="639" t="n">
        <v>45772</v>
      </c>
      <c r="AX24" s="639" t="n">
        <v>45775</v>
      </c>
      <c r="AY24" s="639" t="inlineStr">
        <is>
          <t>Pendente (Estimado 15/06/2025)</t>
        </is>
      </c>
      <c r="AZ24" s="639" t="inlineStr">
        <is>
          <t>realizado / aguardando emissão da licença de operação cnen</t>
        </is>
      </c>
      <c r="BA24" s="678" t="n"/>
      <c r="BB24" s="678" t="n"/>
      <c r="BC24" s="678" t="n"/>
      <c r="BD24" s="678" t="n"/>
      <c r="BE24" s="394" t="n">
        <v>45901</v>
      </c>
      <c r="BF24" s="38" t="n">
        <v>13822</v>
      </c>
      <c r="BG24" s="714" t="inlineStr">
        <is>
          <t>NI</t>
        </is>
      </c>
      <c r="BH24" s="38" t="inlineStr">
        <is>
          <t>NI</t>
        </is>
      </c>
      <c r="BI24" s="698" t="inlineStr">
        <is>
          <t xml:space="preserve"> 2024SCRA1868</t>
        </is>
      </c>
      <c r="BJ24" s="697" t="inlineStr">
        <is>
          <t>Deferido</t>
        </is>
      </c>
      <c r="BK24" s="638" t="inlineStr">
        <is>
          <t>2025SCRA1661</t>
        </is>
      </c>
      <c r="BL24" s="709" t="inlineStr">
        <is>
          <t>Deferido</t>
        </is>
      </c>
      <c r="BM24" s="338" t="n">
        <v>45970</v>
      </c>
      <c r="BN24" s="38" t="n"/>
      <c r="BO24" s="38" t="n"/>
      <c r="BP24" s="38" t="n"/>
      <c r="BQ24" s="38" t="n"/>
    </row>
    <row r="25" ht="70.5" customHeight="1">
      <c r="A25" s="38" t="inlineStr">
        <is>
          <t>SUDESTE</t>
        </is>
      </c>
      <c r="B25" s="38" t="inlineStr">
        <is>
          <t>SP</t>
        </is>
      </c>
      <c r="C25" s="38" t="inlineStr">
        <is>
          <t>CAMPINAS</t>
        </is>
      </c>
      <c r="D25" s="38" t="inlineStr">
        <is>
          <t>CENTRO INF DE INVEST HEMAT DR DOMINGOS A BOLDRINI</t>
        </is>
      </c>
      <c r="E25" s="46" t="inlineStr">
        <is>
          <t>50046887000127</t>
        </is>
      </c>
      <c r="F25" s="46" t="inlineStr">
        <is>
          <t>2081482</t>
        </is>
      </c>
      <c r="G25" s="46" t="inlineStr">
        <is>
          <t>Transferegov/SEI</t>
        </is>
      </c>
      <c r="H25" s="46" t="inlineStr">
        <is>
          <t>Convênio</t>
        </is>
      </c>
      <c r="I25" s="38" t="n">
        <v>953741</v>
      </c>
      <c r="J25" s="46" t="inlineStr">
        <is>
          <t>95004623004</t>
        </is>
      </c>
      <c r="K25" s="46" t="inlineStr">
        <is>
          <t>25000.186251/2023-06</t>
        </is>
      </c>
      <c r="L25" s="38" t="inlineStr">
        <is>
          <t>RENOVAÇÃO DO PARQUE TECNOLÓGICO DE RADIOTERAPIA NO SUS - PAC</t>
        </is>
      </c>
      <c r="M25" s="38" t="n">
        <v>1</v>
      </c>
      <c r="N25" s="46" t="inlineStr">
        <is>
          <t>2023</t>
        </is>
      </c>
      <c r="O25" s="38" t="n">
        <v>1</v>
      </c>
      <c r="P25" s="38" t="inlineStr">
        <is>
          <t>UND</t>
        </is>
      </c>
      <c r="Q25" s="396" t="inlineStr">
        <is>
          <t xml:space="preserve">	011807-Acelerador Linear (Recursos avançados com IGRT 3D)</t>
        </is>
      </c>
      <c r="R25" s="338" t="n">
        <v>45288</v>
      </c>
      <c r="S25" s="100" t="n">
        <v>46382</v>
      </c>
      <c r="T25" s="100" t="inlineStr">
        <is>
          <t>24-fev-27</t>
        </is>
      </c>
      <c r="U25" s="323" t="inlineStr">
        <is>
          <t>PROGRAMA</t>
        </is>
      </c>
      <c r="V25" s="43" t="n">
        <v>8787122</v>
      </c>
      <c r="W25" s="339" t="inlineStr">
        <is>
          <t>R$ 7.843.899,08</t>
        </is>
      </c>
      <c r="X25" s="43" t="n">
        <v>85252</v>
      </c>
      <c r="Y25" s="43" t="inlineStr">
        <is>
          <t>HOMOLOGADA E PAGA</t>
        </is>
      </c>
      <c r="Z25" s="338" t="n">
        <v>45754</v>
      </c>
      <c r="AA25" s="43" t="inlineStr">
        <is>
          <t xml:space="preserve">SIM </t>
        </is>
      </c>
      <c r="AB25" s="43" t="inlineStr">
        <is>
          <t>ELEKTA SOLUTIONS AB</t>
        </is>
      </c>
      <c r="AC25" s="43" t="inlineStr">
        <is>
          <t>Acelerador Linear Elekta VERSA HD</t>
        </is>
      </c>
      <c r="AD25" s="323" t="inlineStr">
        <is>
          <t>PAC</t>
        </is>
      </c>
      <c r="AE25" s="44" t="n">
        <v>80127</v>
      </c>
      <c r="AF25" s="43" t="inlineStr">
        <is>
          <t>EM EXECUÇÃO</t>
        </is>
      </c>
      <c r="AG25" s="43" t="inlineStr">
        <is>
          <t>Concluído</t>
        </is>
      </c>
      <c r="AH25" s="706">
        <f>IF(AF25="Em execução","Em execução",
IF(AF25="Em licitação","Em licitação / Leilão",
IF(AF25="Concluído","Concluído",)))</f>
        <v/>
      </c>
      <c r="AI25" s="428" t="n">
        <v>1</v>
      </c>
      <c r="AJ25" s="41" t="inlineStr">
        <is>
          <t>BRUNA</t>
        </is>
      </c>
      <c r="AK25" s="41" t="inlineStr">
        <is>
          <t>LAYANE</t>
        </is>
      </c>
      <c r="AL25" s="41" t="n"/>
      <c r="AM25" s="41" t="inlineStr">
        <is>
          <t>Concluído</t>
        </is>
      </c>
      <c r="AN25" s="38" t="inlineStr">
        <is>
          <t>Substituição</t>
        </is>
      </c>
      <c r="AO25" s="46" t="inlineStr">
        <is>
          <t>Tratamento</t>
        </is>
      </c>
      <c r="AP25" s="46" t="n"/>
      <c r="AQ25" s="46" t="n"/>
      <c r="AR25" s="406" t="inlineStr">
        <is>
          <t>Licença emitida em 30/08/2026</t>
        </is>
      </c>
      <c r="AS25" s="643" t="inlineStr">
        <is>
          <t>25/02/2026</t>
        </is>
      </c>
      <c r="AT25" s="651" t="inlineStr">
        <is>
          <t>20/05/26</t>
        </is>
      </c>
      <c r="AU25" s="338" t="n"/>
      <c r="AV25" s="338" t="n">
        <v>46086</v>
      </c>
      <c r="AW25" s="705" t="inlineStr">
        <is>
          <t>20/05/26</t>
        </is>
      </c>
      <c r="AX25" s="338" t="inlineStr">
        <is>
          <t>15/04/2026</t>
        </is>
      </c>
      <c r="AY25" s="705" t="n">
        <v>46258</v>
      </c>
      <c r="AZ25" s="338" t="inlineStr">
        <is>
          <t>NI</t>
        </is>
      </c>
      <c r="BA25" s="678" t="n"/>
      <c r="BB25" s="678" t="n"/>
      <c r="BC25" s="637" t="n">
        <v>46268</v>
      </c>
      <c r="BD25" s="636" t="n"/>
      <c r="BE25" s="420" t="inlineStr">
        <is>
          <t>30/11/2026</t>
        </is>
      </c>
      <c r="BF25" s="662" t="n">
        <v>13708</v>
      </c>
      <c r="BG25" s="698" t="inlineStr">
        <is>
          <t>2025SCRA2397</t>
        </is>
      </c>
      <c r="BH25" s="697" t="inlineStr">
        <is>
          <t>Deferido</t>
        </is>
      </c>
      <c r="BI25" s="635" t="inlineStr">
        <is>
          <t>2025SCRA0751</t>
        </is>
      </c>
      <c r="BJ25" s="697" t="inlineStr">
        <is>
          <t>Deferido</t>
        </is>
      </c>
      <c r="BK25" s="714" t="inlineStr">
        <is>
          <t>NI</t>
        </is>
      </c>
      <c r="BL25" s="661" t="inlineStr">
        <is>
          <t>NI</t>
        </is>
      </c>
      <c r="BM25" s="339" t="inlineStr">
        <is>
          <t>NA</t>
        </is>
      </c>
      <c r="BN25" s="38" t="n"/>
      <c r="BO25" s="38" t="n"/>
      <c r="BP25" s="38" t="n"/>
      <c r="BQ25" s="38" t="n"/>
    </row>
    <row r="26" ht="55.5" customHeight="1">
      <c r="A26" s="38" t="inlineStr">
        <is>
          <t>SUDESTE</t>
        </is>
      </c>
      <c r="B26" s="38" t="inlineStr">
        <is>
          <t>SP</t>
        </is>
      </c>
      <c r="C26" s="38" t="inlineStr">
        <is>
          <t>SAO PAULO</t>
        </is>
      </c>
      <c r="D26" s="38" t="inlineStr">
        <is>
          <t>CASA DE SAUDE SANTA MARCELINA</t>
        </is>
      </c>
      <c r="E26" s="46" t="inlineStr">
        <is>
          <t>60742616000160</t>
        </is>
      </c>
      <c r="F26" s="46" t="inlineStr">
        <is>
          <t>2077477</t>
        </is>
      </c>
      <c r="G26" s="46" t="inlineStr">
        <is>
          <t>Transferegov/SEI</t>
        </is>
      </c>
      <c r="H26" s="46" t="inlineStr">
        <is>
          <t>Convênio</t>
        </is>
      </c>
      <c r="I26" s="38" t="n">
        <v>953739</v>
      </c>
      <c r="J26" s="46" t="inlineStr">
        <is>
          <t>96074223005</t>
        </is>
      </c>
      <c r="K26" s="46" t="inlineStr">
        <is>
          <t>25000.151207/2023-77</t>
        </is>
      </c>
      <c r="L26" s="38" t="inlineStr">
        <is>
          <t>RENOVAÇÃO DO PARQUE TECNOLÓGICO DE RADIOTERAPIA NO SUS - PAC</t>
        </is>
      </c>
      <c r="M26" s="38" t="n">
        <v>1</v>
      </c>
      <c r="N26" s="46" t="inlineStr">
        <is>
          <t>2023</t>
        </is>
      </c>
      <c r="O26" s="38" t="n">
        <v>1</v>
      </c>
      <c r="P26" s="38" t="inlineStr">
        <is>
          <t>UND</t>
        </is>
      </c>
      <c r="Q26" s="396" t="inlineStr">
        <is>
          <t>010911-Acelerador Linear só de Fótons (monoenergético 6 MV)</t>
        </is>
      </c>
      <c r="R26" s="338" t="n">
        <v>45288</v>
      </c>
      <c r="S26" s="100" t="n">
        <v>46147</v>
      </c>
      <c r="T26" s="100" t="n">
        <v>46207</v>
      </c>
      <c r="U26" s="323" t="inlineStr">
        <is>
          <t>PROGRAMA</t>
        </is>
      </c>
      <c r="V26" s="43" t="n">
        <v>7350802</v>
      </c>
      <c r="W26" s="323" t="n">
        <v>7337000</v>
      </c>
      <c r="X26" s="43" t="n">
        <v>499698</v>
      </c>
      <c r="Y26" s="43" t="inlineStr">
        <is>
          <t>HOMOLOGADA E PAGA</t>
        </is>
      </c>
      <c r="Z26" s="338" t="n">
        <v>45607</v>
      </c>
      <c r="AA26" s="43" t="inlineStr">
        <is>
          <t>sim</t>
        </is>
      </c>
      <c r="AB26" s="43" t="inlineStr">
        <is>
          <t>VARIAN MEDICAL SYSTEMS INC</t>
        </is>
      </c>
      <c r="AC26" s="43" t="inlineStr">
        <is>
          <t xml:space="preserve">Acelerador Linear Modelo HALCYON </t>
        </is>
      </c>
      <c r="AD26" s="323" t="inlineStr">
        <is>
          <t>PAC</t>
        </is>
      </c>
      <c r="AE26" s="44" t="n">
        <v>80128</v>
      </c>
      <c r="AF26" s="43" t="inlineStr">
        <is>
          <t>EM EXECUÇÃO</t>
        </is>
      </c>
      <c r="AG26" s="43" t="inlineStr">
        <is>
          <t>Concluído</t>
        </is>
      </c>
      <c r="AH26" s="706">
        <f>IF(AF26="Em execução","Em execução",
IF(AF26="Em licitação","Em licitação / Leilão",
IF(AF26="Concluído","Concluído",)))</f>
        <v/>
      </c>
      <c r="AI26" s="428" t="n">
        <v>1</v>
      </c>
      <c r="AJ26" s="41" t="inlineStr">
        <is>
          <t>SAMUEL</t>
        </is>
      </c>
      <c r="AK26" s="41" t="inlineStr">
        <is>
          <t>PRISCILA</t>
        </is>
      </c>
      <c r="AL26" s="710" t="inlineStr">
        <is>
          <t>ESTRATÉGICO</t>
        </is>
      </c>
      <c r="AM26" s="706" t="inlineStr">
        <is>
          <t>Concluído</t>
        </is>
      </c>
      <c r="AN26" s="38" t="inlineStr">
        <is>
          <t>Substituição</t>
        </is>
      </c>
      <c r="AO26" s="46" t="inlineStr">
        <is>
          <t>Tratamento</t>
        </is>
      </c>
      <c r="AP26" s="46" t="n"/>
      <c r="AQ26" s="46" t="n"/>
      <c r="AR26" s="668" t="inlineStr">
        <is>
          <t xml:space="preserve">18/05/2026 - Licença emitida </t>
        </is>
      </c>
      <c r="AS26" s="43" t="inlineStr">
        <is>
          <t>NI</t>
        </is>
      </c>
      <c r="AT26" s="43" t="inlineStr">
        <is>
          <t>NI</t>
        </is>
      </c>
      <c r="AU26" s="713" t="n">
        <v>46174</v>
      </c>
      <c r="AV26" s="713" t="n">
        <v>46350</v>
      </c>
      <c r="AW26" s="713" t="n">
        <v>46205</v>
      </c>
      <c r="AX26" s="713" t="n">
        <v>46067</v>
      </c>
      <c r="AY26" s="713" t="n">
        <v>46100</v>
      </c>
      <c r="AZ26" s="713" t="inlineStr">
        <is>
          <t>30/4/2026</t>
        </is>
      </c>
      <c r="BA26" s="649" t="n">
        <v>45955</v>
      </c>
      <c r="BB26" s="650" t="n"/>
      <c r="BC26" s="649" t="n">
        <v>46048</v>
      </c>
      <c r="BD26" s="650" t="inlineStr">
        <is>
          <t>45 dias</t>
        </is>
      </c>
      <c r="BE26" s="394" t="inlineStr">
        <is>
          <t>22/06/2026</t>
        </is>
      </c>
      <c r="BF26" s="38" t="n">
        <v>13268</v>
      </c>
      <c r="BG26" s="424" t="inlineStr">
        <is>
          <t>2025SCRA2502</t>
        </is>
      </c>
      <c r="BH26" s="634" t="inlineStr">
        <is>
          <t>Deferido</t>
        </is>
      </c>
      <c r="BI26" s="424" t="inlineStr">
        <is>
          <t>2025SCRA0897</t>
        </is>
      </c>
      <c r="BJ26" s="634" t="inlineStr">
        <is>
          <t>Deferido</t>
        </is>
      </c>
      <c r="BK26" s="421" t="inlineStr">
        <is>
          <t>2026SCRA0855</t>
        </is>
      </c>
      <c r="BL26" s="634" t="inlineStr">
        <is>
          <t>Deferido</t>
        </is>
      </c>
      <c r="BM26" s="339" t="inlineStr">
        <is>
          <t>NA</t>
        </is>
      </c>
      <c r="BN26" s="38" t="n"/>
      <c r="BO26" s="38" t="n"/>
      <c r="BP26" s="38" t="n"/>
      <c r="BQ26" s="38" t="n"/>
    </row>
    <row r="27" ht="60" customHeight="1">
      <c r="A27" s="38" t="inlineStr">
        <is>
          <t>SUDESTE</t>
        </is>
      </c>
      <c r="B27" s="38" t="inlineStr">
        <is>
          <t>SP</t>
        </is>
      </c>
      <c r="C27" s="38" t="inlineStr">
        <is>
          <t>SAO PAULO</t>
        </is>
      </c>
      <c r="D27" s="38" t="inlineStr">
        <is>
          <t>GRUPO DE APOIO AO ADOLESCENTE E A CRIANCA COM C GRAACC</t>
        </is>
      </c>
      <c r="E27" s="46" t="inlineStr">
        <is>
          <t>67185694000150</t>
        </is>
      </c>
      <c r="F27" s="46" t="inlineStr">
        <is>
          <t>2089696</t>
        </is>
      </c>
      <c r="G27" s="46" t="inlineStr">
        <is>
          <t>Transferegov/SEI</t>
        </is>
      </c>
      <c r="H27" s="46" t="inlineStr">
        <is>
          <t>Convênio</t>
        </is>
      </c>
      <c r="I27" s="38" t="n">
        <v>954006</v>
      </c>
      <c r="J27" s="46" t="inlineStr">
        <is>
          <t>96718523002</t>
        </is>
      </c>
      <c r="K27" s="46" t="inlineStr">
        <is>
          <t>25000.186273/2023-68</t>
        </is>
      </c>
      <c r="L27" s="38" t="inlineStr">
        <is>
          <t>RENOVAÇÃO DO PARQUE TECNOLÓGICO DE RADIOTERAPIA NO SUS - PAC</t>
        </is>
      </c>
      <c r="M27" s="38" t="n">
        <v>1</v>
      </c>
      <c r="N27" s="46" t="inlineStr">
        <is>
          <t>2023</t>
        </is>
      </c>
      <c r="O27" s="38" t="n">
        <v>1</v>
      </c>
      <c r="P27" s="38" t="inlineStr">
        <is>
          <t>UND</t>
        </is>
      </c>
      <c r="Q27" s="396" t="inlineStr">
        <is>
          <t>010933-Acelerador Linear de Fótons e Elétrons (dual 10 MV)</t>
        </is>
      </c>
      <c r="R27" s="338" t="n">
        <v>45288</v>
      </c>
      <c r="S27" s="100" t="n">
        <v>46199</v>
      </c>
      <c r="T27" s="100" t="n">
        <v>46259</v>
      </c>
      <c r="U27" s="323" t="inlineStr">
        <is>
          <t>PROGRAMA</t>
        </is>
      </c>
      <c r="V27" s="43" t="n">
        <v>8508094</v>
      </c>
      <c r="W27" s="42" t="inlineStr">
        <is>
          <t>R$ 8.221.269,00</t>
        </is>
      </c>
      <c r="X27" s="43" t="n">
        <v>0</v>
      </c>
      <c r="Y27" s="43" t="inlineStr">
        <is>
          <t>HOMOLOGADA E PAGA</t>
        </is>
      </c>
      <c r="Z27" s="338" t="n">
        <v>45689</v>
      </c>
      <c r="AA27" s="43" t="inlineStr">
        <is>
          <t>sim</t>
        </is>
      </c>
      <c r="AB27" s="43" t="inlineStr">
        <is>
          <t>ELEKTA SOLUTIONS AB</t>
        </is>
      </c>
      <c r="AC27" s="43" t="inlineStr">
        <is>
          <t>Acelerador Linear Elekta VERSA HD</t>
        </is>
      </c>
      <c r="AD27" s="323" t="inlineStr">
        <is>
          <t>PAC</t>
        </is>
      </c>
      <c r="AE27" s="44" t="n">
        <v>80121</v>
      </c>
      <c r="AF27" s="43" t="inlineStr">
        <is>
          <t>PRESTAÇÃO DE CONTAS ENVIADA PARA ANÁLISE</t>
        </is>
      </c>
      <c r="AG27" s="43" t="inlineStr">
        <is>
          <t>Concluído</t>
        </is>
      </c>
      <c r="AH27" s="706">
        <f>IF(AF27="Em execução","Em execução",
IF(AF27="Em licitação","Em licitação / Leilão",
IF(AF27="Concluído","Concluído",)))</f>
        <v/>
      </c>
      <c r="AI27" s="428" t="n">
        <v>1</v>
      </c>
      <c r="AJ27" s="41" t="inlineStr">
        <is>
          <t>SAMUEL</t>
        </is>
      </c>
      <c r="AK27" s="41" t="inlineStr">
        <is>
          <t>PRISCILA</t>
        </is>
      </c>
      <c r="AL27" s="710" t="inlineStr">
        <is>
          <t>ESTRATÉGICO</t>
        </is>
      </c>
      <c r="AM27" s="706" t="inlineStr">
        <is>
          <t>Concluído</t>
        </is>
      </c>
      <c r="AN27" s="38" t="inlineStr">
        <is>
          <t>Substituição</t>
        </is>
      </c>
      <c r="AO27" s="46" t="inlineStr">
        <is>
          <t>Tratamento</t>
        </is>
      </c>
      <c r="AP27" s="46" t="n"/>
      <c r="AQ27" s="46" t="n"/>
      <c r="AR27" s="668" t="inlineStr">
        <is>
          <t>Reunião realizada em 03/02 àS 15h. Convênio em andamento conforme cronograma enviado. Licença de Operação deferida em 23/02/2026. Previsão de inauguração: Março/26.</t>
        </is>
      </c>
      <c r="AS27" s="43" t="inlineStr">
        <is>
          <t>NI</t>
        </is>
      </c>
      <c r="AT27" s="43" t="inlineStr">
        <is>
          <t>NI</t>
        </is>
      </c>
      <c r="AU27" s="338" t="inlineStr">
        <is>
          <t>Finalizado</t>
        </is>
      </c>
      <c r="AV27" s="338" t="inlineStr">
        <is>
          <t>Outubro/2025</t>
        </is>
      </c>
      <c r="AW27" s="338" t="inlineStr">
        <is>
          <t>Novembro/2025</t>
        </is>
      </c>
      <c r="AX27" s="338" t="inlineStr">
        <is>
          <t>Dezembro/2025</t>
        </is>
      </c>
      <c r="AY27" s="338" t="inlineStr">
        <is>
          <t>Janeiro/2026</t>
        </is>
      </c>
      <c r="AZ27" s="338" t="inlineStr">
        <is>
          <t>Janeiro/2026</t>
        </is>
      </c>
      <c r="BA27" s="650" t="n"/>
      <c r="BB27" s="650" t="n"/>
      <c r="BC27" s="650" t="n"/>
      <c r="BD27" s="650" t="n"/>
      <c r="BE27" s="394" t="n">
        <v>46092</v>
      </c>
      <c r="BF27" s="38" t="n">
        <v>15348</v>
      </c>
      <c r="BG27" s="698" t="inlineStr">
        <is>
          <t>2025SCRA1763</t>
        </is>
      </c>
      <c r="BH27" s="698" t="inlineStr">
        <is>
          <t>Deferido</t>
        </is>
      </c>
      <c r="BI27" s="698" t="inlineStr">
        <is>
          <t xml:space="preserve">2025SCRA0525 </t>
        </is>
      </c>
      <c r="BJ27" s="697" t="inlineStr">
        <is>
          <t>Deferido</t>
        </is>
      </c>
      <c r="BK27" s="698" t="inlineStr">
        <is>
          <t>2026SCRA0170</t>
        </is>
      </c>
      <c r="BL27" s="697" t="inlineStr">
        <is>
          <t>Deferido</t>
        </is>
      </c>
      <c r="BM27" s="339" t="inlineStr">
        <is>
          <t>NA</t>
        </is>
      </c>
      <c r="BN27" s="38" t="n"/>
      <c r="BO27" s="38" t="n"/>
      <c r="BP27" s="38" t="n"/>
      <c r="BQ27" s="38" t="n"/>
    </row>
    <row r="28" ht="60" customHeight="1">
      <c r="A28" s="38" t="inlineStr">
        <is>
          <t>SUL</t>
        </is>
      </c>
      <c r="B28" s="38" t="inlineStr">
        <is>
          <t>RS</t>
        </is>
      </c>
      <c r="C28" s="426" t="inlineStr">
        <is>
          <t>LAJEADO</t>
        </is>
      </c>
      <c r="D28" s="38" t="inlineStr">
        <is>
          <t>SOCIEDADE BENEFICENCIA E CARIDADE DE LAJEADO</t>
        </is>
      </c>
      <c r="E28" s="46" t="inlineStr">
        <is>
          <t>91162511000165</t>
        </is>
      </c>
      <c r="F28" s="46" t="inlineStr">
        <is>
          <t>2252287</t>
        </is>
      </c>
      <c r="G28" s="46" t="inlineStr">
        <is>
          <t>Transferegov/SEI</t>
        </is>
      </c>
      <c r="H28" s="46" t="inlineStr">
        <is>
          <t>Convênio</t>
        </is>
      </c>
      <c r="I28" s="38" t="n">
        <v>953718</v>
      </c>
      <c r="J28" s="46" t="inlineStr">
        <is>
          <t>99116223004</t>
        </is>
      </c>
      <c r="K28" s="46" t="inlineStr">
        <is>
          <t>25000.186252/2023-42</t>
        </is>
      </c>
      <c r="L28" s="38" t="inlineStr">
        <is>
          <t>RENOVAÇÃO DO PARQUE TECNOLÓGICO DE RADIOTERAPIA NO SUS - PAC</t>
        </is>
      </c>
      <c r="M28" s="38" t="n">
        <v>1</v>
      </c>
      <c r="N28" s="46" t="inlineStr">
        <is>
          <t>2023</t>
        </is>
      </c>
      <c r="O28" s="38" t="n">
        <v>1</v>
      </c>
      <c r="P28" s="38" t="inlineStr">
        <is>
          <t>UND</t>
        </is>
      </c>
      <c r="Q28" s="396" t="inlineStr">
        <is>
          <t xml:space="preserve">	010933-Acelerador Linear de Fótons e Elétrons (dual 10 MV)</t>
        </is>
      </c>
      <c r="R28" s="338" t="n">
        <v>45288</v>
      </c>
      <c r="S28" s="100" t="n">
        <v>46387</v>
      </c>
      <c r="T28" s="100" t="n">
        <v>46447</v>
      </c>
      <c r="U28" s="323" t="inlineStr">
        <is>
          <t>PROGRAMA</t>
        </is>
      </c>
      <c r="V28" s="43" t="n">
        <v>8822643</v>
      </c>
      <c r="W28" s="43" t="inlineStr">
        <is>
          <t>R$ 8.769.707,14</t>
        </is>
      </c>
      <c r="X28" s="43" t="n">
        <v>0</v>
      </c>
      <c r="Y28" s="43" t="inlineStr">
        <is>
          <t>HOMOLOGADA E PAGA</t>
        </is>
      </c>
      <c r="Z28" s="338" t="n">
        <v>45532</v>
      </c>
      <c r="AA28" s="43" t="inlineStr">
        <is>
          <t>sim</t>
        </is>
      </c>
      <c r="AB28" s="43" t="inlineStr">
        <is>
          <t>VARIAN MEDICAL SYSTEMS INC</t>
        </is>
      </c>
      <c r="AC28" s="43" t="inlineStr">
        <is>
          <t>Acelerador Linear Modelo VITALBEAM</t>
        </is>
      </c>
      <c r="AD28" s="323" t="inlineStr">
        <is>
          <t>PAC</t>
        </is>
      </c>
      <c r="AE28" s="44" t="n">
        <v>80129</v>
      </c>
      <c r="AF28" s="43" t="inlineStr">
        <is>
          <t>PRESTAÇÃO DE CONTAS ENVIADA PARA ANÁLISE</t>
        </is>
      </c>
      <c r="AG28" s="43" t="inlineStr">
        <is>
          <t>Concluído</t>
        </is>
      </c>
      <c r="AH28" s="706">
        <f>IF(AF28="Em execução","Em execução",
IF(AF28="Em licitação","Em licitação / Leilão",
IF(AF28="Concluído","Concluído",)))</f>
        <v/>
      </c>
      <c r="AI28" s="428" t="n">
        <v>1</v>
      </c>
      <c r="AJ28" s="41" t="inlineStr">
        <is>
          <t>SAMUEL</t>
        </is>
      </c>
      <c r="AK28" s="41" t="inlineStr">
        <is>
          <t>PRISCILA</t>
        </is>
      </c>
      <c r="AL28" s="710" t="inlineStr">
        <is>
          <t>ESTRATÉGICO</t>
        </is>
      </c>
      <c r="AM28" s="706" t="inlineStr">
        <is>
          <t>Concluído</t>
        </is>
      </c>
      <c r="AN28" s="38" t="inlineStr">
        <is>
          <t>Substituição</t>
        </is>
      </c>
      <c r="AO28" s="46" t="inlineStr">
        <is>
          <t>Tratamento</t>
        </is>
      </c>
      <c r="AP28" s="46" t="n"/>
      <c r="AQ28" s="46" t="n"/>
      <c r="AR28" s="668" t="inlineStr">
        <is>
          <t>06/02 SCRA licença de operação enviado para análise</t>
        </is>
      </c>
      <c r="AS28" s="43" t="inlineStr">
        <is>
          <t>NI</t>
        </is>
      </c>
      <c r="AT28" s="43" t="inlineStr">
        <is>
          <t>NI</t>
        </is>
      </c>
      <c r="AU28" s="338" t="inlineStr">
        <is>
          <t>NI</t>
        </is>
      </c>
      <c r="AV28" s="338" t="n">
        <v>45912</v>
      </c>
      <c r="AW28" s="338" t="n">
        <v>45943</v>
      </c>
      <c r="AX28" s="338" t="n">
        <v>45819</v>
      </c>
      <c r="AY28" s="338" t="n">
        <v>46010</v>
      </c>
      <c r="AZ28" s="338" t="n">
        <v>46033</v>
      </c>
      <c r="BA28" s="650" t="n"/>
      <c r="BB28" s="650" t="n"/>
      <c r="BC28" s="650" t="n"/>
      <c r="BD28" s="650" t="n"/>
      <c r="BE28" s="394" t="inlineStr">
        <is>
          <t>30/03/2026</t>
        </is>
      </c>
      <c r="BF28" s="38" t="n">
        <v>14271</v>
      </c>
      <c r="BG28" s="38" t="inlineStr">
        <is>
          <t>NI</t>
        </is>
      </c>
      <c r="BH28" s="38" t="inlineStr">
        <is>
          <t>NI</t>
        </is>
      </c>
      <c r="BI28" s="698" t="inlineStr">
        <is>
          <t xml:space="preserve">2024SCRA2665 </t>
        </is>
      </c>
      <c r="BJ28" s="697" t="inlineStr">
        <is>
          <t>Deferido</t>
        </is>
      </c>
      <c r="BK28" s="698" t="inlineStr">
        <is>
          <t>Deferido</t>
        </is>
      </c>
      <c r="BL28" s="697" t="inlineStr">
        <is>
          <t>Deferido</t>
        </is>
      </c>
      <c r="BM28" s="339" t="inlineStr">
        <is>
          <t>NA</t>
        </is>
      </c>
      <c r="BN28" s="38" t="n"/>
      <c r="BO28" s="38" t="n"/>
      <c r="BP28" s="38" t="n"/>
      <c r="BQ28" s="38" t="n"/>
    </row>
    <row r="29" ht="60" customHeight="1">
      <c r="A29" s="38" t="inlineStr">
        <is>
          <t>SUDESTE</t>
        </is>
      </c>
      <c r="B29" s="38" t="inlineStr">
        <is>
          <t>SP</t>
        </is>
      </c>
      <c r="C29" s="38" t="inlineStr">
        <is>
          <t>RIBEIRAO PRETO</t>
        </is>
      </c>
      <c r="D29" s="38" t="inlineStr">
        <is>
          <t>FUND DE APOIO AO ENSINO PESQ E ASSISTENCIA HCFMRPUSP</t>
        </is>
      </c>
      <c r="E29" s="46" t="inlineStr">
        <is>
          <t>57722118000140</t>
        </is>
      </c>
      <c r="F29" s="46" t="inlineStr">
        <is>
          <t>2082187</t>
        </is>
      </c>
      <c r="G29" s="46" t="inlineStr">
        <is>
          <t>Transferegov/SEI</t>
        </is>
      </c>
      <c r="H29" s="46" t="inlineStr">
        <is>
          <t>Convênio</t>
        </is>
      </c>
      <c r="I29" s="38" t="n">
        <v>953743</v>
      </c>
      <c r="J29" s="46" t="inlineStr">
        <is>
          <t>95772223003</t>
        </is>
      </c>
      <c r="K29" s="46" t="inlineStr">
        <is>
          <t>25000.151205/2023-88</t>
        </is>
      </c>
      <c r="L29" s="38" t="inlineStr">
        <is>
          <t>RENOVAÇÃO DO PARQUE TECNOLÓGICO DE RADIOTERAPIA NO SUS - PAC</t>
        </is>
      </c>
      <c r="M29" s="38" t="n">
        <v>1</v>
      </c>
      <c r="N29" s="46" t="inlineStr">
        <is>
          <t>2023</t>
        </is>
      </c>
      <c r="O29" s="38" t="n">
        <v>1</v>
      </c>
      <c r="P29" s="38" t="inlineStr">
        <is>
          <t>UND</t>
        </is>
      </c>
      <c r="Q29" s="396" t="inlineStr">
        <is>
          <t>11806-Acelerador Linear (Básico - Intermediário)</t>
        </is>
      </c>
      <c r="R29" s="338" t="n">
        <v>45288</v>
      </c>
      <c r="S29" s="100" t="inlineStr">
        <is>
          <t>7-mai-26</t>
        </is>
      </c>
      <c r="T29" s="100" t="n">
        <v>46209</v>
      </c>
      <c r="U29" s="323" t="inlineStr">
        <is>
          <t>PROGRAMA</t>
        </is>
      </c>
      <c r="V29" s="633" t="n">
        <v>6963626</v>
      </c>
      <c r="W29" s="339" t="inlineStr">
        <is>
          <t>R$ 9.676.502,00</t>
        </is>
      </c>
      <c r="X29" s="633" t="n">
        <v>2712876</v>
      </c>
      <c r="Y29" s="43" t="inlineStr">
        <is>
          <t>HOMOLOGADA E PAGA</t>
        </is>
      </c>
      <c r="Z29" s="338" t="n">
        <v>45609</v>
      </c>
      <c r="AA29" s="43" t="inlineStr">
        <is>
          <t>sim</t>
        </is>
      </c>
      <c r="AB29" s="43" t="inlineStr">
        <is>
          <t>VARIAN MEDICAL SYSTEMS INC</t>
        </is>
      </c>
      <c r="AC29" s="43" t="inlineStr">
        <is>
          <t>Acelerador Linear Modelo HALCYON</t>
        </is>
      </c>
      <c r="AD29" s="323" t="inlineStr">
        <is>
          <t>PAC</t>
        </is>
      </c>
      <c r="AE29" s="44" t="n">
        <v>80131</v>
      </c>
      <c r="AF29" s="43" t="inlineStr">
        <is>
          <t>PRESTAÇÃO DE CONTAS ENVIADA PARA ANÁLISE</t>
        </is>
      </c>
      <c r="AG29" s="43" t="inlineStr">
        <is>
          <t>Concluído</t>
        </is>
      </c>
      <c r="AH29" s="706">
        <f>IF(AF29="Em execução","Em execução",
IF(AF29="Em licitação","Em licitação / Leilão",
IF(AF29="Concluído","Concluído",)))</f>
        <v/>
      </c>
      <c r="AI29" s="428" t="n">
        <v>1</v>
      </c>
      <c r="AJ29" s="41" t="inlineStr">
        <is>
          <t>SAMUEL</t>
        </is>
      </c>
      <c r="AK29" s="41" t="inlineStr">
        <is>
          <t>PRISCILA</t>
        </is>
      </c>
      <c r="AL29" s="710" t="inlineStr">
        <is>
          <t>ESTRATÉGICO</t>
        </is>
      </c>
      <c r="AM29" s="706" t="inlineStr">
        <is>
          <t>Concluído</t>
        </is>
      </c>
      <c r="AN29" s="38" t="inlineStr">
        <is>
          <t>Ampliação (cobalto)</t>
        </is>
      </c>
      <c r="AO29" s="46" t="inlineStr">
        <is>
          <t>Tratamento</t>
        </is>
      </c>
      <c r="AP29" s="46" t="n"/>
      <c r="AQ29" s="46" t="n"/>
      <c r="AR29" s="668" t="inlineStr">
        <is>
          <t>8/08/2025, licença de operação emitida. Em operação</t>
        </is>
      </c>
      <c r="AS29" s="43" t="inlineStr">
        <is>
          <t>NI</t>
        </is>
      </c>
      <c r="AT29" s="43" t="inlineStr">
        <is>
          <t>NI</t>
        </is>
      </c>
      <c r="AU29" s="338" t="inlineStr">
        <is>
          <t>Concluído</t>
        </is>
      </c>
      <c r="AV29" s="338" t="inlineStr">
        <is>
          <t>Concluído</t>
        </is>
      </c>
      <c r="AW29" s="338" t="inlineStr">
        <is>
          <t>Concluído</t>
        </is>
      </c>
      <c r="AX29" s="338" t="inlineStr">
        <is>
          <t>Concluído</t>
        </is>
      </c>
      <c r="AY29" s="338" t="inlineStr">
        <is>
          <t>Concluído</t>
        </is>
      </c>
      <c r="AZ29" s="338" t="inlineStr">
        <is>
          <t>Concluído</t>
        </is>
      </c>
      <c r="BA29" s="38" t="n"/>
      <c r="BB29" s="38" t="n"/>
      <c r="BC29" s="38" t="n"/>
      <c r="BD29" s="38" t="n"/>
      <c r="BE29" s="394" t="n">
        <v>45901</v>
      </c>
      <c r="BF29" s="38" t="n">
        <v>11478</v>
      </c>
      <c r="BG29" s="698" t="inlineStr">
        <is>
          <t>2025SCRA1375</t>
        </is>
      </c>
      <c r="BH29" s="698" t="inlineStr">
        <is>
          <t>Deferido</t>
        </is>
      </c>
      <c r="BI29" s="698" t="inlineStr">
        <is>
          <t>Deferido</t>
        </is>
      </c>
      <c r="BJ29" s="697" t="inlineStr">
        <is>
          <t>Deferido</t>
        </is>
      </c>
      <c r="BK29" s="698" t="inlineStr">
        <is>
          <t>Deferido</t>
        </is>
      </c>
      <c r="BL29" s="697" t="inlineStr">
        <is>
          <t>Deferido</t>
        </is>
      </c>
      <c r="BM29" s="338" t="n">
        <v>45877</v>
      </c>
      <c r="BN29" s="38" t="n"/>
      <c r="BO29" s="38" t="n"/>
      <c r="BP29" s="38" t="n"/>
      <c r="BQ29" s="38" t="n"/>
    </row>
    <row r="30" ht="56.25" customHeight="1">
      <c r="A30" s="38" t="inlineStr">
        <is>
          <t>NORDESTE</t>
        </is>
      </c>
      <c r="B30" s="38" t="inlineStr">
        <is>
          <t>CE</t>
        </is>
      </c>
      <c r="C30" s="38" t="inlineStr">
        <is>
          <t>FORTALEZA</t>
        </is>
      </c>
      <c r="D30" s="38" t="inlineStr">
        <is>
          <t>INSTITUTO DO CANCER DO CEARA</t>
        </is>
      </c>
      <c r="E30" s="46" t="inlineStr">
        <is>
          <t>07265515000162</t>
        </is>
      </c>
      <c r="F30" s="46" t="inlineStr">
        <is>
          <t>2723220</t>
        </is>
      </c>
      <c r="G30" s="46" t="inlineStr">
        <is>
          <t>Transferegov/SEI</t>
        </is>
      </c>
      <c r="H30" s="46" t="inlineStr">
        <is>
          <t>Convênio</t>
        </is>
      </c>
      <c r="I30" s="38" t="n">
        <v>954391</v>
      </c>
      <c r="J30" s="46" t="inlineStr">
        <is>
          <t>90726523003</t>
        </is>
      </c>
      <c r="K30" s="46" t="inlineStr">
        <is>
          <t>25000.186249/2023-29</t>
        </is>
      </c>
      <c r="L30" s="38" t="inlineStr">
        <is>
          <t>RENOVAÇÃO DO PARQUE TECNOLÓGICO DE RADIOTERAPIA NO SUS - PAC</t>
        </is>
      </c>
      <c r="M30" s="38" t="n">
        <v>1</v>
      </c>
      <c r="N30" s="46" t="inlineStr">
        <is>
          <t>2023</t>
        </is>
      </c>
      <c r="O30" s="38" t="n">
        <v>1</v>
      </c>
      <c r="P30" s="38" t="inlineStr">
        <is>
          <t>UND</t>
        </is>
      </c>
      <c r="Q30" s="396" t="inlineStr">
        <is>
          <t>011806-Acelerador Linear (Básico-Intermediário)</t>
        </is>
      </c>
      <c r="R30" s="338" t="n">
        <v>45289</v>
      </c>
      <c r="S30" s="100" t="n">
        <v>46149</v>
      </c>
      <c r="T30" s="100" t="n">
        <v>46209</v>
      </c>
      <c r="U30" s="323" t="inlineStr">
        <is>
          <t>PROGRAMA</t>
        </is>
      </c>
      <c r="V30" s="43" t="n">
        <v>7187873</v>
      </c>
      <c r="W30" s="323" t="inlineStr">
        <is>
          <t>R$ 7.171.200,00</t>
        </is>
      </c>
      <c r="X30" s="43" t="n">
        <v>0</v>
      </c>
      <c r="Y30" s="43" t="inlineStr">
        <is>
          <t>HOMOLOGADA E PAGA</t>
        </is>
      </c>
      <c r="Z30" s="338" t="n">
        <v>45609</v>
      </c>
      <c r="AA30" s="43" t="inlineStr">
        <is>
          <t>sim</t>
        </is>
      </c>
      <c r="AB30" s="43" t="inlineStr">
        <is>
          <t>VARIAN MEDICAL SYSTEMS INC</t>
        </is>
      </c>
      <c r="AC30" s="43" t="inlineStr">
        <is>
          <t>Acelerador Linear Modelo HALCYON</t>
        </is>
      </c>
      <c r="AD30" s="323" t="inlineStr">
        <is>
          <t>PAC</t>
        </is>
      </c>
      <c r="AE30" s="44" t="n">
        <v>80132</v>
      </c>
      <c r="AF30" s="43" t="inlineStr">
        <is>
          <t>EM EXECUÇÃO</t>
        </is>
      </c>
      <c r="AG30" s="43" t="inlineStr">
        <is>
          <t>Concluído</t>
        </is>
      </c>
      <c r="AH30" s="706">
        <f>IF(AF30="Em execução","Em execução",
IF(AF30="Em licitação","Em licitação / Leilão",
IF(AF30="Concluído","Concluído",)))</f>
        <v/>
      </c>
      <c r="AI30" s="428" t="n">
        <v>1</v>
      </c>
      <c r="AJ30" s="41" t="inlineStr">
        <is>
          <t>SAMUEL</t>
        </is>
      </c>
      <c r="AK30" s="41" t="inlineStr">
        <is>
          <t>PRISCILA</t>
        </is>
      </c>
      <c r="AL30" s="710" t="inlineStr">
        <is>
          <t>ESTRATÉGICO</t>
        </is>
      </c>
      <c r="AM30" s="706" t="inlineStr">
        <is>
          <t>Concluído</t>
        </is>
      </c>
      <c r="AN30" s="38" t="inlineStr">
        <is>
          <t>Substituição</t>
        </is>
      </c>
      <c r="AO30" s="46" t="inlineStr">
        <is>
          <t>Tratamento</t>
        </is>
      </c>
      <c r="AP30" s="46" t="n"/>
      <c r="AQ30" s="46" t="n"/>
      <c r="AR30" s="668" t="inlineStr">
        <is>
          <t xml:space="preserve">Reunião realizada em 05/02/2026. </t>
        </is>
      </c>
      <c r="AS30" s="43" t="inlineStr">
        <is>
          <t>NI</t>
        </is>
      </c>
      <c r="AT30" s="43" t="inlineStr">
        <is>
          <t>NI</t>
        </is>
      </c>
      <c r="AU30" s="338" t="n"/>
      <c r="AV30" s="338" t="n"/>
      <c r="AW30" s="338" t="n"/>
      <c r="AX30" s="338" t="n"/>
      <c r="AY30" s="338" t="n"/>
      <c r="AZ30" s="338" t="n"/>
      <c r="BA30" s="678" t="n"/>
      <c r="BB30" s="678" t="n"/>
      <c r="BC30" s="678" t="n"/>
      <c r="BD30" s="678" t="n"/>
      <c r="BE30" s="394" t="inlineStr">
        <is>
          <t>30/06/2026</t>
        </is>
      </c>
      <c r="BF30" s="38" t="n">
        <v>11514</v>
      </c>
      <c r="BG30" s="38" t="inlineStr">
        <is>
          <t>NI</t>
        </is>
      </c>
      <c r="BH30" s="38" t="inlineStr">
        <is>
          <t>NI</t>
        </is>
      </c>
      <c r="BI30" s="698" t="inlineStr">
        <is>
          <t xml:space="preserve">2025SCRA0777 </t>
        </is>
      </c>
      <c r="BJ30" s="697" t="inlineStr">
        <is>
          <t>Deferido</t>
        </is>
      </c>
      <c r="BK30" s="632" t="inlineStr">
        <is>
          <t>2026SCRA0851</t>
        </is>
      </c>
      <c r="BL30" s="631" t="inlineStr">
        <is>
          <t>Deferido</t>
        </is>
      </c>
      <c r="BM30" s="339" t="inlineStr">
        <is>
          <t>NA</t>
        </is>
      </c>
      <c r="BN30" s="38" t="n"/>
      <c r="BO30" s="38" t="n"/>
      <c r="BP30" s="38" t="n"/>
      <c r="BQ30" s="38" t="n"/>
    </row>
    <row r="31" ht="57" customHeight="1">
      <c r="A31" s="38" t="inlineStr">
        <is>
          <t>SUL</t>
        </is>
      </c>
      <c r="B31" s="38" t="inlineStr">
        <is>
          <t>SC</t>
        </is>
      </c>
      <c r="C31" s="426" t="inlineStr">
        <is>
          <t>JARAGUA DO SUL</t>
        </is>
      </c>
      <c r="D31" s="38" t="inlineStr">
        <is>
          <t>ASSOCIACAO HOSPITALAR SAO JOSE DE JARAGUA DO SUL</t>
        </is>
      </c>
      <c r="E31" s="46" t="inlineStr">
        <is>
          <t>12846027000189</t>
        </is>
      </c>
      <c r="F31" s="46" t="inlineStr">
        <is>
          <t>2306336</t>
        </is>
      </c>
      <c r="G31" s="46" t="inlineStr">
        <is>
          <t>Transferegov/SEI</t>
        </is>
      </c>
      <c r="H31" s="46" t="inlineStr">
        <is>
          <t>Convênio</t>
        </is>
      </c>
      <c r="I31" s="38" t="n">
        <v>954413</v>
      </c>
      <c r="J31" s="46" t="inlineStr">
        <is>
          <t>91284623003</t>
        </is>
      </c>
      <c r="K31" s="46" t="inlineStr">
        <is>
          <t>25000.186266/2023-66</t>
        </is>
      </c>
      <c r="L31" s="38" t="inlineStr">
        <is>
          <t>RENOVAÇÃO DO PARQUE TECNOLÓGICO DE RADIOTERAPIA NO SUS - PAC</t>
        </is>
      </c>
      <c r="M31" s="38" t="n">
        <v>1</v>
      </c>
      <c r="N31" s="46" t="inlineStr">
        <is>
          <t>2023</t>
        </is>
      </c>
      <c r="O31" s="38" t="n">
        <v>1</v>
      </c>
      <c r="P31" s="38" t="inlineStr">
        <is>
          <t>UND</t>
        </is>
      </c>
      <c r="Q31" s="396" t="inlineStr">
        <is>
          <t xml:space="preserve">	11806-Acelerador Linear (Básico Intermediário)</t>
        </is>
      </c>
      <c r="R31" s="338" t="n">
        <v>45291</v>
      </c>
      <c r="S31" s="100" t="n">
        <v>46382</v>
      </c>
      <c r="T31" s="100" t="n">
        <v>46442</v>
      </c>
      <c r="U31" s="323" t="inlineStr">
        <is>
          <t>PROGRAMA</t>
        </is>
      </c>
      <c r="V31" s="43" t="n">
        <v>8826551</v>
      </c>
      <c r="W31" s="323" t="inlineStr">
        <is>
          <t>R$ 8.826.551,00</t>
        </is>
      </c>
      <c r="X31" s="43" t="n">
        <v>2670344</v>
      </c>
      <c r="Y31" s="43" t="inlineStr">
        <is>
          <t>HOMOLOGADA E PAGA</t>
        </is>
      </c>
      <c r="Z31" s="338" t="n">
        <v>45754</v>
      </c>
      <c r="AA31" s="43" t="inlineStr">
        <is>
          <t>sim</t>
        </is>
      </c>
      <c r="AB31" s="43" t="inlineStr">
        <is>
          <t>VARIAN MEDICAL SYSTEMS INC</t>
        </is>
      </c>
      <c r="AC31" s="43" t="inlineStr">
        <is>
          <t>Acelerador Linear Modelo HALCYON</t>
        </is>
      </c>
      <c r="AD31" s="323" t="inlineStr">
        <is>
          <t>PAC</t>
        </is>
      </c>
      <c r="AE31" s="44" t="n">
        <v>80133</v>
      </c>
      <c r="AF31" s="43" t="inlineStr">
        <is>
          <t>PRESTAÇÃO DE CONTAS EM ANÁLISE</t>
        </is>
      </c>
      <c r="AG31" s="43" t="inlineStr">
        <is>
          <t>Concluído</t>
        </is>
      </c>
      <c r="AH31" s="706">
        <f>IF(AF31="Em execução","Em execução",
IF(AF31="Em licitação","Em licitação / Leilão",
IF(AF31="Concluído","Concluído",)))</f>
        <v/>
      </c>
      <c r="AI31" s="428" t="n">
        <v>1</v>
      </c>
      <c r="AJ31" s="41" t="inlineStr">
        <is>
          <t>SAMUEL</t>
        </is>
      </c>
      <c r="AK31" s="41" t="inlineStr">
        <is>
          <t>PRISCILA</t>
        </is>
      </c>
      <c r="AL31" s="710" t="inlineStr">
        <is>
          <t>ESTRATÉGICO</t>
        </is>
      </c>
      <c r="AM31" s="706" t="inlineStr">
        <is>
          <t>Concluído</t>
        </is>
      </c>
      <c r="AN31" s="38" t="inlineStr">
        <is>
          <t>Substituição</t>
        </is>
      </c>
      <c r="AO31" s="46" t="inlineStr">
        <is>
          <t>Tratamento</t>
        </is>
      </c>
      <c r="AP31" s="46" t="n"/>
      <c r="AQ31" s="46" t="n"/>
      <c r="AR31" s="668" t="inlineStr">
        <is>
          <t xml:space="preserve"> 02/03/2026 - licença de operação emitida</t>
        </is>
      </c>
      <c r="AS31" s="43" t="inlineStr">
        <is>
          <t>NI</t>
        </is>
      </c>
      <c r="AT31" s="43" t="inlineStr">
        <is>
          <t>NI</t>
        </is>
      </c>
      <c r="AU31" s="338" t="inlineStr">
        <is>
          <t>NI</t>
        </is>
      </c>
      <c r="AV31" s="338" t="n">
        <v>45979</v>
      </c>
      <c r="AW31" s="338" t="n">
        <v>46005</v>
      </c>
      <c r="AX31" s="338" t="n">
        <v>46006</v>
      </c>
      <c r="AY31" s="338" t="n">
        <v>46038</v>
      </c>
      <c r="AZ31" s="338" t="n">
        <v>46045</v>
      </c>
      <c r="BA31" s="686" t="n"/>
      <c r="BB31" s="686" t="n"/>
      <c r="BC31" s="686" t="n"/>
      <c r="BD31" s="686" t="n"/>
      <c r="BE31" s="394" t="inlineStr">
        <is>
          <t>30/03/2026</t>
        </is>
      </c>
      <c r="BF31" s="38" t="n">
        <v>16321</v>
      </c>
      <c r="BG31" s="38" t="inlineStr">
        <is>
          <t>NI</t>
        </is>
      </c>
      <c r="BH31" s="38" t="inlineStr">
        <is>
          <t>NI</t>
        </is>
      </c>
      <c r="BI31" s="698" t="inlineStr">
        <is>
          <t xml:space="preserve">2024SCRA1652  </t>
        </is>
      </c>
      <c r="BJ31" s="697" t="inlineStr">
        <is>
          <t>Deferido</t>
        </is>
      </c>
      <c r="BK31" s="698" t="inlineStr">
        <is>
          <t>Deferido</t>
        </is>
      </c>
      <c r="BL31" s="697" t="inlineStr">
        <is>
          <t>Deferido</t>
        </is>
      </c>
      <c r="BM31" s="339" t="inlineStr">
        <is>
          <t>NA</t>
        </is>
      </c>
      <c r="BN31" s="38" t="n"/>
      <c r="BO31" s="38" t="n"/>
      <c r="BP31" s="38" t="n"/>
      <c r="BQ31" s="38" t="n"/>
    </row>
    <row r="32" ht="55.5" customHeight="1">
      <c r="A32" s="38" t="inlineStr">
        <is>
          <t>SUDESTE</t>
        </is>
      </c>
      <c r="B32" s="38" t="inlineStr">
        <is>
          <t>MG</t>
        </is>
      </c>
      <c r="C32" s="38" t="inlineStr">
        <is>
          <t>DIVINOPOLIS</t>
        </is>
      </c>
      <c r="D32" s="38" t="inlineStr">
        <is>
          <t>FUNDACAO GERALDO CORREA</t>
        </is>
      </c>
      <c r="E32" s="46" t="inlineStr">
        <is>
          <t>20146064000102</t>
        </is>
      </c>
      <c r="F32" s="46" t="n">
        <v>2159252</v>
      </c>
      <c r="G32" s="46" t="inlineStr">
        <is>
          <t>Transferegov/SEI</t>
        </is>
      </c>
      <c r="H32" s="46" t="inlineStr">
        <is>
          <t>Convênio</t>
        </is>
      </c>
      <c r="I32" s="38" t="n">
        <v>954398</v>
      </c>
      <c r="J32" s="46" t="inlineStr">
        <is>
          <t>92014623002</t>
        </is>
      </c>
      <c r="K32" s="46" t="inlineStr">
        <is>
          <t>25000.151190/2023-58</t>
        </is>
      </c>
      <c r="L32" s="38" t="inlineStr">
        <is>
          <t>RENOVAÇÃO DO PARQUE TECNOLÓGICO DE RADIOTERAPIA NO SUS - PAC</t>
        </is>
      </c>
      <c r="M32" s="38" t="n">
        <v>1</v>
      </c>
      <c r="N32" s="731" t="inlineStr">
        <is>
          <t>2023</t>
        </is>
      </c>
      <c r="O32" s="38" t="n">
        <v>1</v>
      </c>
      <c r="P32" s="38" t="inlineStr">
        <is>
          <t>UND</t>
        </is>
      </c>
      <c r="Q32" s="396" t="inlineStr">
        <is>
          <t xml:space="preserve">	11806 - Acelerador Linear (Básico - Intermediário)</t>
        </is>
      </c>
      <c r="R32" s="338" t="n">
        <v>45289</v>
      </c>
      <c r="S32" s="100" t="n">
        <v>46470</v>
      </c>
      <c r="T32" s="100" t="inlineStr">
        <is>
          <t>23-mai-27</t>
        </is>
      </c>
      <c r="U32" s="323" t="inlineStr">
        <is>
          <t>PROGRAMA</t>
        </is>
      </c>
      <c r="V32" s="732" t="n">
        <v>10000000</v>
      </c>
      <c r="W32" s="733" t="n">
        <v>9968000</v>
      </c>
      <c r="X32" s="732" t="n">
        <v>0</v>
      </c>
      <c r="Y32" s="43" t="inlineStr">
        <is>
          <t>EM ANDAMENTO</t>
        </is>
      </c>
      <c r="Z32" s="338" t="n">
        <v>45930</v>
      </c>
      <c r="AA32" s="42" t="inlineStr">
        <is>
          <t>SIM</t>
        </is>
      </c>
      <c r="AB32" s="43" t="inlineStr">
        <is>
          <t>VARIAN MEDICAL SYSTEMS INC</t>
        </is>
      </c>
      <c r="AC32" s="43" t="inlineStr">
        <is>
          <t>Acelerador Linear HALCYON</t>
        </is>
      </c>
      <c r="AD32" s="733" t="inlineStr">
        <is>
          <t>PAC</t>
        </is>
      </c>
      <c r="AE32" s="734" t="n">
        <v>80134</v>
      </c>
      <c r="AF32" s="426" t="inlineStr">
        <is>
          <t>EM EXECUÇÃO</t>
        </is>
      </c>
      <c r="AG32" s="43" t="inlineStr">
        <is>
          <t>Contratado</t>
        </is>
      </c>
      <c r="AH32" s="706">
        <f>IF(AF32="Em execução","Em execução",
IF(AF32="Em licitação","Em licitação / Leilão",
IF(AF32="Concluído","Concluído",)))</f>
        <v/>
      </c>
      <c r="AI32" s="401" t="n">
        <v>0.5</v>
      </c>
      <c r="AJ32" s="665" t="inlineStr">
        <is>
          <t>SAMUEL</t>
        </is>
      </c>
      <c r="AK32" s="665" t="inlineStr">
        <is>
          <t>PRISCILA</t>
        </is>
      </c>
      <c r="AL32" s="41" t="inlineStr">
        <is>
          <t>Estratégico</t>
        </is>
      </c>
      <c r="AM32" s="41" t="inlineStr">
        <is>
          <t>Em monitoramento</t>
        </is>
      </c>
      <c r="AN32" s="38" t="inlineStr">
        <is>
          <t>Substituição</t>
        </is>
      </c>
      <c r="AO32" s="46" t="inlineStr">
        <is>
          <t>Tratamento</t>
        </is>
      </c>
      <c r="AP32" s="464" t="n"/>
      <c r="AQ32" s="464" t="n"/>
      <c r="AR32" s="690" t="inlineStr">
        <is>
          <t>23/07 - gestor da rede entrou em contato falando sobre o remanejamento de pacientes. Ofício inserido no sei, proposta de agenda para quinta feira 30/07 às 15h. Aguardando retorno. 10/02/2026 - previsão para 2027 - agendar reunião e emitir parecer com base na reunião. Encaminhar e-mail solicitando atualização e informando que uma nova reunião será realizada para apoio técnico.</t>
        </is>
      </c>
      <c r="AS32" s="742" t="inlineStr">
        <is>
          <t>dezembro/2025</t>
        </is>
      </c>
      <c r="AT32" s="744" t="n">
        <v>46243</v>
      </c>
      <c r="AU32" s="338" t="n"/>
      <c r="AV32" s="700" t="n"/>
      <c r="AW32" s="700" t="n"/>
      <c r="AX32" s="700" t="n"/>
      <c r="AY32" s="700" t="n"/>
      <c r="AZ32" s="700" t="n"/>
      <c r="BA32" s="38" t="n"/>
      <c r="BB32" s="426" t="n"/>
      <c r="BC32" s="426" t="n"/>
      <c r="BD32" s="426" t="n"/>
      <c r="BE32" s="420" t="n">
        <v>46389</v>
      </c>
      <c r="BF32" s="38" t="n">
        <v>13266</v>
      </c>
      <c r="BG32" s="38" t="inlineStr">
        <is>
          <t>NI</t>
        </is>
      </c>
      <c r="BH32" s="38" t="inlineStr">
        <is>
          <t>NI</t>
        </is>
      </c>
      <c r="BI32" s="743" t="inlineStr">
        <is>
          <t>2025SCRA2707</t>
        </is>
      </c>
      <c r="BJ32" s="612" t="inlineStr">
        <is>
          <t>deferido</t>
        </is>
      </c>
      <c r="BK32" s="714" t="inlineStr">
        <is>
          <t>NI</t>
        </is>
      </c>
      <c r="BL32" s="661" t="inlineStr">
        <is>
          <t>NI</t>
        </is>
      </c>
      <c r="BM32" s="339" t="inlineStr">
        <is>
          <t>NA</t>
        </is>
      </c>
      <c r="BN32" s="38" t="n"/>
      <c r="BO32" s="38" t="n"/>
      <c r="BP32" s="38" t="n"/>
      <c r="BQ32" s="38" t="n"/>
    </row>
    <row r="33" ht="47.25" customHeight="1">
      <c r="A33" s="38" t="inlineStr">
        <is>
          <t>NORDESTE</t>
        </is>
      </c>
      <c r="B33" s="38" t="inlineStr">
        <is>
          <t>PB</t>
        </is>
      </c>
      <c r="C33" s="38" t="inlineStr">
        <is>
          <t>CAMPINA GRANDE</t>
        </is>
      </c>
      <c r="D33" s="38" t="inlineStr">
        <is>
          <t>FUNDACAO ASSISTENCIAL DA PARAIBA- FAP</t>
        </is>
      </c>
      <c r="E33" s="46" t="inlineStr">
        <is>
          <t>08841421000157</t>
        </is>
      </c>
      <c r="F33" s="46" t="n">
        <v>2315793</v>
      </c>
      <c r="G33" s="46" t="inlineStr">
        <is>
          <t>Transferegov/SEI</t>
        </is>
      </c>
      <c r="H33" s="46" t="inlineStr">
        <is>
          <t>Convênio</t>
        </is>
      </c>
      <c r="I33" s="38" t="n">
        <v>954404</v>
      </c>
      <c r="J33" s="46" t="inlineStr">
        <is>
          <t>90884123001</t>
        </is>
      </c>
      <c r="K33" s="46" t="inlineStr">
        <is>
          <t>25000.186265/2023-11</t>
        </is>
      </c>
      <c r="L33" s="38" t="inlineStr">
        <is>
          <t>RENOVAÇÃO DO PARQUE TECNOLÓGICO DE RADIOTERAPIA NO SUS - PAC</t>
        </is>
      </c>
      <c r="M33" s="38" t="n">
        <v>1</v>
      </c>
      <c r="N33" s="46" t="inlineStr">
        <is>
          <t>2023</t>
        </is>
      </c>
      <c r="O33" s="38" t="n">
        <v>1</v>
      </c>
      <c r="P33" s="38" t="inlineStr">
        <is>
          <t>UND</t>
        </is>
      </c>
      <c r="Q33" s="396" t="inlineStr">
        <is>
          <t>010933-Acelerador Linear de Fótons e Elétrons (dual 10 MV)</t>
        </is>
      </c>
      <c r="R33" s="338" t="n">
        <v>45397</v>
      </c>
      <c r="S33" s="100" t="n">
        <v>46382</v>
      </c>
      <c r="T33" s="100" t="inlineStr">
        <is>
          <t>24-fev-27</t>
        </is>
      </c>
      <c r="U33" s="323" t="inlineStr">
        <is>
          <t>PROGRAMA</t>
        </is>
      </c>
      <c r="V33" s="43" t="n">
        <v>8800087</v>
      </c>
      <c r="W33" s="323" t="inlineStr">
        <is>
          <t>R$ 8.797.000,00</t>
        </is>
      </c>
      <c r="X33" s="43" t="n">
        <v>0</v>
      </c>
      <c r="Y33" s="43" t="inlineStr">
        <is>
          <t>HOMOLOGADA E PAGA</t>
        </is>
      </c>
      <c r="Z33" s="338" t="n">
        <v>45754</v>
      </c>
      <c r="AA33" s="42" t="inlineStr">
        <is>
          <t xml:space="preserve">SIM </t>
        </is>
      </c>
      <c r="AB33" s="43" t="inlineStr">
        <is>
          <t>ELEKTA SOLUTIONS AB</t>
        </is>
      </c>
      <c r="AC33" s="43" t="inlineStr">
        <is>
          <t>Acelerador Lienar Elektra Versa HD</t>
        </is>
      </c>
      <c r="AD33" s="323" t="inlineStr">
        <is>
          <t>PAC</t>
        </is>
      </c>
      <c r="AE33" s="44" t="n">
        <v>80135</v>
      </c>
      <c r="AF33" s="38" t="inlineStr">
        <is>
          <t>EM EXECUÇÃO</t>
        </is>
      </c>
      <c r="AG33" s="43" t="inlineStr">
        <is>
          <t>Contratado</t>
        </is>
      </c>
      <c r="AH33" s="706">
        <f>IF(AF33="Em execução","Em execução",
IF(AF33="Em licitação","Em licitação / Leilão",
IF(AF33="Concluído","Concluído",)))</f>
        <v/>
      </c>
      <c r="AI33" s="401" t="n">
        <v>0.5</v>
      </c>
      <c r="AJ33" s="41" t="inlineStr">
        <is>
          <t>BRUNA</t>
        </is>
      </c>
      <c r="AK33" s="41" t="inlineStr">
        <is>
          <t>LAYANE</t>
        </is>
      </c>
      <c r="AL33" s="41" t="n"/>
      <c r="AM33" s="41" t="inlineStr">
        <is>
          <t>Em monitoramento</t>
        </is>
      </c>
      <c r="AN33" s="38" t="inlineStr">
        <is>
          <t>Substituição</t>
        </is>
      </c>
      <c r="AO33" s="46" t="inlineStr">
        <is>
          <t>Tratamento</t>
        </is>
      </c>
      <c r="AP33" s="46" t="n"/>
      <c r="AQ33" s="46" t="n"/>
      <c r="AR33" s="406" t="inlineStr">
        <is>
          <t>30/06/2026 - Previsão para finalização da obra em 30/08/26, instalação prevista para inicio de setembro/26</t>
        </is>
      </c>
      <c r="AS33" s="630" t="n"/>
      <c r="AT33" s="630" t="n"/>
      <c r="AU33" s="338" t="n">
        <v>45992</v>
      </c>
      <c r="AV33" s="338" t="inlineStr">
        <is>
          <t>Pendente</t>
        </is>
      </c>
      <c r="AW33" s="338" t="inlineStr">
        <is>
          <t>março-26</t>
        </is>
      </c>
      <c r="AX33" s="338" t="n">
        <v>46160</v>
      </c>
      <c r="AY33" s="338" t="n">
        <v>46199</v>
      </c>
      <c r="AZ33" s="338" t="n"/>
      <c r="BA33" s="629" t="n">
        <v>46020</v>
      </c>
      <c r="BB33" s="406" t="n"/>
      <c r="BC33" s="628" t="n">
        <v>46157</v>
      </c>
      <c r="BD33" s="406" t="inlineStr">
        <is>
          <t>100 dias</t>
        </is>
      </c>
      <c r="BE33" s="682" t="inlineStr">
        <is>
          <t>30/12/2026</t>
        </is>
      </c>
      <c r="BF33" s="38" t="n">
        <v>11463</v>
      </c>
      <c r="BG33" s="38" t="inlineStr">
        <is>
          <t>NI</t>
        </is>
      </c>
      <c r="BH33" s="38" t="inlineStr">
        <is>
          <t>NI</t>
        </is>
      </c>
      <c r="BI33" s="698" t="inlineStr">
        <is>
          <t>2025SCRA2039</t>
        </is>
      </c>
      <c r="BJ33" s="697" t="inlineStr">
        <is>
          <t>Deferido</t>
        </is>
      </c>
      <c r="BK33" s="38" t="inlineStr">
        <is>
          <t>NI</t>
        </is>
      </c>
      <c r="BL33" s="685" t="inlineStr">
        <is>
          <t>NI</t>
        </is>
      </c>
      <c r="BM33" s="339" t="inlineStr">
        <is>
          <t>NA</t>
        </is>
      </c>
      <c r="BN33" s="38" t="n"/>
      <c r="BO33" s="38" t="n"/>
      <c r="BP33" s="38" t="n"/>
      <c r="BQ33" s="38" t="n"/>
    </row>
    <row r="34" ht="56.25" customHeight="1">
      <c r="A34" s="38" t="inlineStr">
        <is>
          <t>NORDESTE</t>
        </is>
      </c>
      <c r="B34" s="38" t="inlineStr">
        <is>
          <t>BA</t>
        </is>
      </c>
      <c r="C34" s="38" t="inlineStr">
        <is>
          <t>ITABUNA</t>
        </is>
      </c>
      <c r="D34" s="38" t="inlineStr">
        <is>
          <t>SANTA CASA DE MISERICORDIA DE ITABUNA</t>
        </is>
      </c>
      <c r="E34" s="46" t="inlineStr">
        <is>
          <t>14349740000223</t>
        </is>
      </c>
      <c r="F34" s="46" t="n">
        <v>2772280</v>
      </c>
      <c r="G34" s="46" t="inlineStr">
        <is>
          <t>Transferegov/SEI</t>
        </is>
      </c>
      <c r="H34" s="46" t="inlineStr">
        <is>
          <t>Convênio</t>
        </is>
      </c>
      <c r="I34" s="38" t="n">
        <v>954390</v>
      </c>
      <c r="J34" s="46" t="inlineStr">
        <is>
          <t>91434923001</t>
        </is>
      </c>
      <c r="K34" s="46" t="inlineStr">
        <is>
          <t>25000.179372/2023-93</t>
        </is>
      </c>
      <c r="L34" s="38" t="inlineStr">
        <is>
          <t>RENOVAÇÃO DO PARQUE TECNOLÓGICO DE RADIOTERAPIA NO SUS - PAC</t>
        </is>
      </c>
      <c r="M34" s="38" t="n">
        <v>1</v>
      </c>
      <c r="N34" s="731" t="inlineStr">
        <is>
          <t>2023</t>
        </is>
      </c>
      <c r="O34" s="38" t="n">
        <v>1</v>
      </c>
      <c r="P34" s="38" t="inlineStr">
        <is>
          <t>UND</t>
        </is>
      </c>
      <c r="Q34" s="396" t="inlineStr">
        <is>
          <t xml:space="preserve">	011806-Acelerador Linear (Básico - Intermediário)</t>
        </is>
      </c>
      <c r="R34" s="338" t="n">
        <v>45344</v>
      </c>
      <c r="S34" s="100" t="n">
        <v>46357</v>
      </c>
      <c r="T34" s="100" t="n">
        <v>46417</v>
      </c>
      <c r="U34" s="323" t="inlineStr">
        <is>
          <t>PROGRAMA</t>
        </is>
      </c>
      <c r="V34" s="732" t="n">
        <v>8881788</v>
      </c>
      <c r="W34" s="733" t="n">
        <v>8397168.74</v>
      </c>
      <c r="X34" s="732" t="n">
        <v>443902</v>
      </c>
      <c r="Y34" s="43" t="inlineStr">
        <is>
          <t>HOMOLOGADA E PAGA</t>
        </is>
      </c>
      <c r="Z34" s="338" t="n">
        <v>45863</v>
      </c>
      <c r="AA34" s="42" t="inlineStr">
        <is>
          <t>SIM</t>
        </is>
      </c>
      <c r="AB34" s="43" t="inlineStr">
        <is>
          <t>VARIAN MEDICAL SYSTEMS INC</t>
        </is>
      </c>
      <c r="AC34" s="43" t="inlineStr">
        <is>
          <t>Acelerador Linear Modelo HALCYON</t>
        </is>
      </c>
      <c r="AD34" s="733" t="inlineStr">
        <is>
          <t>PAC</t>
        </is>
      </c>
      <c r="AE34" s="734" t="n">
        <v>80136</v>
      </c>
      <c r="AF34" s="426" t="inlineStr">
        <is>
          <t>EM EXECUÇÃO</t>
        </is>
      </c>
      <c r="AG34" s="43" t="inlineStr">
        <is>
          <t>Em andamento</t>
        </is>
      </c>
      <c r="AH34" s="706">
        <f>IF(AF34="Em execução","Em execução",
IF(AF34="Em licitação","Em licitação / Leilão",
IF(AF34="Concluído","Concluído",)))</f>
        <v/>
      </c>
      <c r="AI34" s="400" t="n">
        <v>0.8</v>
      </c>
      <c r="AJ34" s="665" t="inlineStr">
        <is>
          <t>SAMUEL</t>
        </is>
      </c>
      <c r="AK34" s="665" t="inlineStr">
        <is>
          <t>PRISCILA</t>
        </is>
      </c>
      <c r="AL34" s="41" t="inlineStr">
        <is>
          <t>Estratégico</t>
        </is>
      </c>
      <c r="AM34" s="41" t="inlineStr">
        <is>
          <t>Em monitoramento</t>
        </is>
      </c>
      <c r="AN34" s="38" t="inlineStr">
        <is>
          <t>Substituição</t>
        </is>
      </c>
      <c r="AO34" s="46" t="inlineStr">
        <is>
          <t>Tratamento</t>
        </is>
      </c>
      <c r="AP34" s="464" t="n"/>
      <c r="AQ34" s="464" t="n"/>
      <c r="AR34" s="690" t="inlineStr">
        <is>
          <t>03/03/2026 -  Foram instalados e configurados os servidores do projeto (servidor T-BOX, servidor de aplicação, servidor de banco de dados, servidor de arquivos e de backup), instalado e configurado 2 workstations Eclipse (estações de cálculo), 2 workstations non-calc e 8 estações ARIA (sistema de gerenciamento).</t>
        </is>
      </c>
      <c r="AS34" s="819" t="inlineStr">
        <is>
          <t>27/01/2026</t>
        </is>
      </c>
      <c r="AT34" s="748" t="n">
        <v>46090</v>
      </c>
      <c r="AU34" s="338" t="n">
        <v>45914</v>
      </c>
      <c r="AV34" s="700" t="n">
        <v>46023</v>
      </c>
      <c r="AW34" s="700" t="n">
        <v>46055</v>
      </c>
      <c r="AX34" s="700" t="n">
        <v>46062</v>
      </c>
      <c r="AY34" s="700" t="n">
        <v>46077</v>
      </c>
      <c r="AZ34" s="700" t="inlineStr">
        <is>
          <t>NI</t>
        </is>
      </c>
      <c r="BA34" s="626" t="n">
        <v>45870</v>
      </c>
      <c r="BB34" s="426" t="inlineStr">
        <is>
          <t>NI</t>
        </is>
      </c>
      <c r="BC34" s="738" t="n">
        <v>45931</v>
      </c>
      <c r="BD34" s="426" t="inlineStr">
        <is>
          <t>NI</t>
        </is>
      </c>
      <c r="BE34" s="682" t="inlineStr">
        <is>
          <t>30/08/2026</t>
        </is>
      </c>
      <c r="BF34" s="38" t="n">
        <v>11451</v>
      </c>
      <c r="BG34" s="38" t="inlineStr">
        <is>
          <t>NI</t>
        </is>
      </c>
      <c r="BH34" s="38" t="inlineStr">
        <is>
          <t>NI</t>
        </is>
      </c>
      <c r="BI34" s="424" t="inlineStr">
        <is>
          <t xml:space="preserve"> 2025SCRA0648 </t>
        </is>
      </c>
      <c r="BJ34" s="634" t="inlineStr">
        <is>
          <t>Deferido</t>
        </is>
      </c>
      <c r="BK34" s="475" t="inlineStr">
        <is>
          <t>NI</t>
        </is>
      </c>
      <c r="BL34" s="670" t="inlineStr">
        <is>
          <t>NI</t>
        </is>
      </c>
      <c r="BM34" s="339" t="inlineStr">
        <is>
          <t>NA</t>
        </is>
      </c>
      <c r="BN34" s="38" t="n"/>
      <c r="BO34" s="38" t="n"/>
      <c r="BP34" s="38" t="n"/>
      <c r="BQ34" s="38" t="n"/>
    </row>
    <row r="35" ht="57.75" customHeight="1">
      <c r="A35" s="38" t="inlineStr">
        <is>
          <t>SUDESTE</t>
        </is>
      </c>
      <c r="B35" s="38" t="inlineStr">
        <is>
          <t>SP</t>
        </is>
      </c>
      <c r="C35" s="38" t="inlineStr">
        <is>
          <t>PIRACICABA</t>
        </is>
      </c>
      <c r="D35" s="38" t="inlineStr">
        <is>
          <t>IRMANDADE DA SANTA CASA DE MISERICORDIA DE PIRACICABA</t>
        </is>
      </c>
      <c r="E35" s="46" t="inlineStr">
        <is>
          <t>54370630000187</t>
        </is>
      </c>
      <c r="F35" s="46" t="inlineStr">
        <is>
          <t>2772310</t>
        </is>
      </c>
      <c r="G35" s="46" t="inlineStr">
        <is>
          <t>Transferegov/SEI</t>
        </is>
      </c>
      <c r="H35" s="46" t="inlineStr">
        <is>
          <t>Convênio</t>
        </is>
      </c>
      <c r="I35" s="38" t="n">
        <v>954420</v>
      </c>
      <c r="J35" s="46" t="inlineStr">
        <is>
          <t>95437023002</t>
        </is>
      </c>
      <c r="K35" s="46" t="inlineStr">
        <is>
          <t>25000.186268/2023-55</t>
        </is>
      </c>
      <c r="L35" s="38" t="inlineStr">
        <is>
          <t>RENOVAÇÃO DO PARQUE TECNOLÓGICO DE RADIOTERAPIA NO SUS - PAC</t>
        </is>
      </c>
      <c r="M35" s="38" t="n">
        <v>1</v>
      </c>
      <c r="N35" s="46" t="inlineStr">
        <is>
          <t>2023</t>
        </is>
      </c>
      <c r="O35" s="38" t="n">
        <v>1</v>
      </c>
      <c r="P35" s="38" t="inlineStr">
        <is>
          <t>UND</t>
        </is>
      </c>
      <c r="Q35" s="396" t="inlineStr">
        <is>
          <t xml:space="preserve">	010933-Acelerador Linear de Fótons e Elétrons (dual 10 MV)</t>
        </is>
      </c>
      <c r="R35" s="100" t="n">
        <v>45290</v>
      </c>
      <c r="S35" s="100" t="n">
        <v>46147</v>
      </c>
      <c r="T35" s="100" t="n">
        <v>46207</v>
      </c>
      <c r="U35" s="323" t="inlineStr">
        <is>
          <t>PROGRAMA</t>
        </is>
      </c>
      <c r="V35" s="43" t="n">
        <v>8872374</v>
      </c>
      <c r="W35" s="323" t="n">
        <v>7948269.25</v>
      </c>
      <c r="X35" s="43" t="inlineStr">
        <is>
          <t>562.364,05</t>
        </is>
      </c>
      <c r="Y35" s="43" t="inlineStr">
        <is>
          <t>HOMOLOGADA E PAGA</t>
        </is>
      </c>
      <c r="Z35" s="338" t="n">
        <v>45607</v>
      </c>
      <c r="AA35" s="43" t="inlineStr">
        <is>
          <t>sim</t>
        </is>
      </c>
      <c r="AB35" s="43" t="inlineStr">
        <is>
          <t>ELEKTA SOLUTIONS AB</t>
        </is>
      </c>
      <c r="AC35" s="43" t="inlineStr">
        <is>
          <t>Acelerador Linear Infinity</t>
        </is>
      </c>
      <c r="AD35" s="323" t="inlineStr">
        <is>
          <t>PAC</t>
        </is>
      </c>
      <c r="AE35" s="44" t="n">
        <v>80137</v>
      </c>
      <c r="AF35" s="43" t="inlineStr">
        <is>
          <t>PRESTAÇÃO DE CONTAS INICIADA POR ANTECIPAÇÃO</t>
        </is>
      </c>
      <c r="AG35" s="43" t="inlineStr">
        <is>
          <t>Concluído</t>
        </is>
      </c>
      <c r="AH35" s="706">
        <f>IF(AF35="Em execução","Em execução",
IF(AF35="Em licitação","Em licitação / Leilão",
IF(AF35="Concluído","Concluído",)))</f>
        <v/>
      </c>
      <c r="AI35" s="428" t="n">
        <v>1</v>
      </c>
      <c r="AJ35" s="41" t="inlineStr">
        <is>
          <t>SAMUEL</t>
        </is>
      </c>
      <c r="AK35" s="41" t="inlineStr">
        <is>
          <t>PRISCILA</t>
        </is>
      </c>
      <c r="AL35" s="710" t="inlineStr">
        <is>
          <t>ESTRATÉGICO</t>
        </is>
      </c>
      <c r="AM35" s="706" t="inlineStr">
        <is>
          <t>Concluído</t>
        </is>
      </c>
      <c r="AN35" s="38" t="inlineStr">
        <is>
          <t>Substituição</t>
        </is>
      </c>
      <c r="AO35" s="46" t="inlineStr">
        <is>
          <t>Tratamento</t>
        </is>
      </c>
      <c r="AP35" s="46" t="n"/>
      <c r="AQ35" s="46" t="n"/>
      <c r="AR35" s="668" t="inlineStr">
        <is>
          <t>7/04/2025 - licença de operação emitida. Em operação</t>
        </is>
      </c>
      <c r="AS35" s="43" t="inlineStr">
        <is>
          <t>NI</t>
        </is>
      </c>
      <c r="AT35" s="43" t="inlineStr">
        <is>
          <t>NI</t>
        </is>
      </c>
      <c r="AU35" s="338" t="inlineStr">
        <is>
          <t>Concluído</t>
        </is>
      </c>
      <c r="AV35" s="338" t="inlineStr">
        <is>
          <t>Concluído</t>
        </is>
      </c>
      <c r="AW35" s="338" t="inlineStr">
        <is>
          <t>Concluído</t>
        </is>
      </c>
      <c r="AX35" s="338" t="inlineStr">
        <is>
          <t>Concluído</t>
        </is>
      </c>
      <c r="AY35" s="338" t="inlineStr">
        <is>
          <t>Concluído</t>
        </is>
      </c>
      <c r="AZ35" s="338" t="inlineStr">
        <is>
          <t>Concluído</t>
        </is>
      </c>
      <c r="BA35" s="406" t="n"/>
      <c r="BB35" s="406" t="n"/>
      <c r="BC35" s="406" t="n"/>
      <c r="BD35" s="406" t="n"/>
      <c r="BE35" s="394" t="n">
        <v>45842</v>
      </c>
      <c r="BF35" s="706" t="n">
        <v>12881</v>
      </c>
      <c r="BG35" s="698" t="inlineStr">
        <is>
          <t>2024SLI13595</t>
        </is>
      </c>
      <c r="BH35" s="698" t="inlineStr">
        <is>
          <t>Deferido</t>
        </is>
      </c>
      <c r="BI35" s="698" t="inlineStr">
        <is>
          <t>Deferido</t>
        </is>
      </c>
      <c r="BJ35" s="697" t="inlineStr">
        <is>
          <t>Deferido</t>
        </is>
      </c>
      <c r="BK35" s="698" t="inlineStr">
        <is>
          <t>Deferido</t>
        </is>
      </c>
      <c r="BL35" s="697" t="inlineStr">
        <is>
          <t>Deferido</t>
        </is>
      </c>
      <c r="BM35" s="339" t="inlineStr">
        <is>
          <t>30/03/2025</t>
        </is>
      </c>
      <c r="BN35" s="38" t="n"/>
      <c r="BO35" s="38" t="n"/>
      <c r="BP35" s="38" t="n"/>
      <c r="BQ35" s="38" t="n"/>
    </row>
    <row r="36" ht="56.25" customFormat="1" customHeight="1" s="290">
      <c r="A36" s="426" t="inlineStr">
        <is>
          <t>SUDESTE</t>
        </is>
      </c>
      <c r="B36" s="426" t="inlineStr">
        <is>
          <t>SP</t>
        </is>
      </c>
      <c r="C36" s="426" t="inlineStr">
        <is>
          <t>SAO PAULO</t>
        </is>
      </c>
      <c r="D36" s="38" t="inlineStr">
        <is>
          <t>FUNDACAO FACULDADE DE MEDICINA</t>
        </is>
      </c>
      <c r="E36" s="46" t="inlineStr">
        <is>
          <t>56577059000100</t>
        </is>
      </c>
      <c r="F36" s="46" t="inlineStr">
        <is>
          <t>2078015</t>
        </is>
      </c>
      <c r="G36" s="46" t="inlineStr">
        <is>
          <t>Transferegov/SEI</t>
        </is>
      </c>
      <c r="H36" s="46" t="inlineStr">
        <is>
          <t>Convênio</t>
        </is>
      </c>
      <c r="I36" s="38" t="n">
        <v>948698</v>
      </c>
      <c r="J36" s="46" t="inlineStr">
        <is>
          <t>95657723009</t>
        </is>
      </c>
      <c r="K36" s="731" t="inlineStr">
        <is>
          <t>25000.151202/2023-44</t>
        </is>
      </c>
      <c r="L36" s="38" t="inlineStr">
        <is>
          <t>RADIOTERAPIA</t>
        </is>
      </c>
      <c r="M36" s="38" t="n">
        <v>1</v>
      </c>
      <c r="N36" s="731" t="inlineStr">
        <is>
          <t>2023</t>
        </is>
      </c>
      <c r="O36" s="38" t="n">
        <v>1</v>
      </c>
      <c r="P36" s="38" t="inlineStr">
        <is>
          <t>UND</t>
        </is>
      </c>
      <c r="Q36" s="396" t="inlineStr">
        <is>
          <t>010933-Acelerador Linear de Fótons e Elétrons (dual 10 MV)</t>
        </is>
      </c>
      <c r="R36" s="338" t="n">
        <v>45266</v>
      </c>
      <c r="S36" s="100" t="n">
        <v>46382</v>
      </c>
      <c r="T36" s="100" t="n">
        <v>46442</v>
      </c>
      <c r="U36" s="323" t="inlineStr">
        <is>
          <t>PROGRAMA</t>
        </is>
      </c>
      <c r="V36" s="732" t="n">
        <v>8535269</v>
      </c>
      <c r="W36" s="733" t="inlineStr">
        <is>
          <t>R$ 8.195.000,00</t>
        </is>
      </c>
      <c r="X36" s="732" t="n">
        <v>0</v>
      </c>
      <c r="Y36" s="43" t="inlineStr">
        <is>
          <t>HOMOLOGADA E PAGA</t>
        </is>
      </c>
      <c r="Z36" s="338" t="n">
        <v>45842</v>
      </c>
      <c r="AA36" s="42" t="inlineStr">
        <is>
          <t xml:space="preserve">SIM </t>
        </is>
      </c>
      <c r="AB36" s="43" t="inlineStr">
        <is>
          <t>ELEKTA SOLUTIONS AB</t>
        </is>
      </c>
      <c r="AC36" s="43" t="inlineStr">
        <is>
          <t>Acelerador Linear Elekta VERSA HD</t>
        </is>
      </c>
      <c r="AD36" s="733" t="inlineStr">
        <is>
          <t>PAC</t>
        </is>
      </c>
      <c r="AE36" s="734" t="n">
        <v>80139</v>
      </c>
      <c r="AF36" s="426" t="inlineStr">
        <is>
          <t>EM EXECUÇÃO</t>
        </is>
      </c>
      <c r="AG36" s="732" t="inlineStr">
        <is>
          <t>Em andamento</t>
        </is>
      </c>
      <c r="AH36" s="735">
        <f>IF(AF36="Em execução","Em execução",
IF(AF36="Em licitação","Em licitação / Leilão",
IF(AF36="Concluído","Concluído",)))</f>
        <v/>
      </c>
      <c r="AI36" s="368" t="n">
        <v>0.8</v>
      </c>
      <c r="AJ36" s="665" t="inlineStr">
        <is>
          <t>SAMUEL</t>
        </is>
      </c>
      <c r="AK36" s="665" t="inlineStr">
        <is>
          <t>PRISCILA</t>
        </is>
      </c>
      <c r="AL36" s="41" t="inlineStr">
        <is>
          <t>Estratégico</t>
        </is>
      </c>
      <c r="AM36" s="736" t="inlineStr">
        <is>
          <t>Em monitoramento</t>
        </is>
      </c>
      <c r="AN36" s="426" t="inlineStr">
        <is>
          <t>Substituição</t>
        </is>
      </c>
      <c r="AO36" s="731" t="inlineStr">
        <is>
          <t>Tratamento</t>
        </is>
      </c>
      <c r="AP36" s="739" t="n"/>
      <c r="AQ36" s="739" t="n"/>
      <c r="AR36" s="699" t="inlineStr">
        <is>
          <t>30/06/2026 - Obra finalizada, equipamento entregue dia 20/06/2026 no qual se encontra em instalação com previsão para a solicitação de operação prevista para novembro/2026</t>
        </is>
      </c>
      <c r="AS36" s="740" t="n"/>
      <c r="AT36" s="749" t="n"/>
      <c r="AU36" s="700" t="n"/>
      <c r="AV36" s="700" t="n"/>
      <c r="AW36" s="700" t="inlineStr">
        <is>
          <t>20-06-2026</t>
        </is>
      </c>
      <c r="AX36" s="700" t="n"/>
      <c r="AY36" s="700" t="n"/>
      <c r="AZ36" s="700" t="n"/>
      <c r="BA36" s="699" t="n"/>
      <c r="BB36" s="699" t="n"/>
      <c r="BC36" s="699" t="n"/>
      <c r="BD36" s="699" t="n"/>
      <c r="BE36" s="682" t="inlineStr">
        <is>
          <t>30/11/2026</t>
        </is>
      </c>
      <c r="BF36" s="426" t="n">
        <v>11479</v>
      </c>
      <c r="BG36" s="426" t="inlineStr">
        <is>
          <t>NI</t>
        </is>
      </c>
      <c r="BH36" s="426" t="inlineStr">
        <is>
          <t>NI</t>
        </is>
      </c>
      <c r="BI36" s="698" t="inlineStr">
        <is>
          <t xml:space="preserve">2025SCRAS1712 </t>
        </is>
      </c>
      <c r="BJ36" s="697" t="inlineStr">
        <is>
          <t>Deferido</t>
        </is>
      </c>
      <c r="BK36" s="708" t="inlineStr">
        <is>
          <t>NI</t>
        </is>
      </c>
      <c r="BL36" s="707" t="inlineStr">
        <is>
          <t>NI</t>
        </is>
      </c>
      <c r="BM36" s="737" t="inlineStr">
        <is>
          <t>NA</t>
        </is>
      </c>
      <c r="BN36" s="426" t="n"/>
      <c r="BO36" s="426" t="n"/>
      <c r="BP36" s="426" t="n"/>
      <c r="BQ36" s="426" t="n"/>
    </row>
    <row r="37" ht="53.25" customHeight="1">
      <c r="A37" s="38" t="inlineStr">
        <is>
          <t>SUDESTE</t>
        </is>
      </c>
      <c r="B37" s="38" t="inlineStr">
        <is>
          <t>SP</t>
        </is>
      </c>
      <c r="C37" s="38" t="inlineStr">
        <is>
          <t>CAMPINAS</t>
        </is>
      </c>
      <c r="D37" s="38" t="inlineStr">
        <is>
          <t>FUNDAÇÃO ESTADUAL DE SAÚDE - FUNDES</t>
        </is>
      </c>
      <c r="E37" s="46" t="inlineStr">
        <is>
          <t>13851748000140</t>
        </is>
      </c>
      <c r="F37" s="395" t="inlineStr">
        <is>
          <t>2079798</t>
        </is>
      </c>
      <c r="G37" s="46" t="inlineStr">
        <is>
          <t>SEI</t>
        </is>
      </c>
      <c r="H37" s="395" t="inlineStr">
        <is>
          <t>FAF</t>
        </is>
      </c>
      <c r="I37" s="647" t="inlineStr">
        <is>
          <t>25000.000157/2025-22</t>
        </is>
      </c>
      <c r="J37" s="395" t="inlineStr">
        <is>
          <t>13851748000123041</t>
        </is>
      </c>
      <c r="K37" s="46" t="inlineStr">
        <is>
          <t>25000.000157/2025-22</t>
        </is>
      </c>
      <c r="L37" s="38" t="inlineStr">
        <is>
          <t>RADIOTERAPIA - PORTARIA GM/MS Nº 544/2023</t>
        </is>
      </c>
      <c r="M37" s="38" t="n">
        <v>1</v>
      </c>
      <c r="N37" s="46" t="inlineStr">
        <is>
          <t>2023</t>
        </is>
      </c>
      <c r="O37" s="38" t="n">
        <v>1</v>
      </c>
      <c r="P37" s="38" t="inlineStr">
        <is>
          <t>UND</t>
        </is>
      </c>
      <c r="Q37" s="396" t="inlineStr">
        <is>
          <t>010933-Acelerador Linear de Fótons e Elétrons (dual 10 MV)</t>
        </is>
      </c>
      <c r="R37" s="338" t="n">
        <v>45289</v>
      </c>
      <c r="S37" s="646" t="n">
        <v>46116</v>
      </c>
      <c r="T37" s="646" t="n">
        <v>46116</v>
      </c>
      <c r="U37" s="323" t="inlineStr">
        <is>
          <t>PROGRAMA</t>
        </is>
      </c>
      <c r="V37" s="339" t="n">
        <v>8421420</v>
      </c>
      <c r="W37" s="323" t="inlineStr">
        <is>
          <t>R$ 8.421.420,00</t>
        </is>
      </c>
      <c r="X37" s="339" t="n">
        <v>0</v>
      </c>
      <c r="Y37" s="43" t="inlineStr">
        <is>
          <t>HOMOLOGADA E PAGA</t>
        </is>
      </c>
      <c r="Z37" s="338" t="n">
        <v>45386</v>
      </c>
      <c r="AA37" s="42" t="inlineStr">
        <is>
          <t>NÃO</t>
        </is>
      </c>
      <c r="AB37" s="43" t="inlineStr">
        <is>
          <t>NI</t>
        </is>
      </c>
      <c r="AC37" s="43" t="inlineStr">
        <is>
          <t>NI</t>
        </is>
      </c>
      <c r="AD37" s="323" t="inlineStr">
        <is>
          <t>NI</t>
        </is>
      </c>
      <c r="AE37" s="44" t="inlineStr">
        <is>
          <t>NI</t>
        </is>
      </c>
      <c r="AF37" s="43" t="inlineStr">
        <is>
          <t>Em execução</t>
        </is>
      </c>
      <c r="AG37" s="43" t="inlineStr">
        <is>
          <t>Equipamento em aquisição</t>
        </is>
      </c>
      <c r="AH37" s="706">
        <f>IF(AF37="Em execução","Em execução",
IF(AF37="Em licitação","Em licitação / Leilão",
IF(AF37="Concluído","Concluído",)))</f>
        <v/>
      </c>
      <c r="AI37" s="402" t="n">
        <v>0.3</v>
      </c>
      <c r="AJ37" s="41" t="inlineStr">
        <is>
          <t>PRISCILA</t>
        </is>
      </c>
      <c r="AK37" s="41" t="inlineStr">
        <is>
          <t>PRISCILA</t>
        </is>
      </c>
      <c r="AL37" s="41" t="inlineStr">
        <is>
          <t>Estratégico</t>
        </is>
      </c>
      <c r="AM37" s="41" t="inlineStr">
        <is>
          <t>Em monitoramento</t>
        </is>
      </c>
      <c r="AN37" s="38" t="inlineStr">
        <is>
          <t>Substituição</t>
        </is>
      </c>
      <c r="AO37" s="46" t="inlineStr">
        <is>
          <t>Tratamento</t>
        </is>
      </c>
      <c r="AP37" s="46" t="n"/>
      <c r="AQ37" s="46" t="n"/>
      <c r="AR37" s="690" t="inlineStr">
        <is>
          <t>0106/2026 - OFÍCIO Nº 155/2026/CGPCAN/DECAN/SAES/MS  solicita informações atualizadas. Vigência acabou</t>
        </is>
      </c>
      <c r="AS37" s="408" t="inlineStr">
        <is>
          <t>16/10/2025</t>
        </is>
      </c>
      <c r="AT37" s="625" t="inlineStr">
        <is>
          <t>Fevereiro de 2026</t>
        </is>
      </c>
      <c r="AU37" s="338" t="n"/>
      <c r="AV37" s="338" t="n"/>
      <c r="AW37" s="338" t="n"/>
      <c r="AX37" s="338" t="n"/>
      <c r="AY37" s="338" t="n"/>
      <c r="AZ37" s="338" t="n"/>
      <c r="BA37" s="406" t="n"/>
      <c r="BB37" s="406" t="n"/>
      <c r="BC37" s="406" t="n"/>
      <c r="BD37" s="406" t="n"/>
      <c r="BE37" s="624" t="inlineStr">
        <is>
          <t>NI</t>
        </is>
      </c>
      <c r="BF37" s="475" t="n">
        <v>12355</v>
      </c>
      <c r="BG37" s="475" t="inlineStr">
        <is>
          <t>NI</t>
        </is>
      </c>
      <c r="BH37" s="475" t="inlineStr">
        <is>
          <t>NI</t>
        </is>
      </c>
      <c r="BI37" s="623" t="inlineStr">
        <is>
          <t>2026SCRA0403 (enca. 02/03/2026)</t>
        </is>
      </c>
      <c r="BJ37" s="622" t="inlineStr">
        <is>
          <t xml:space="preserve">em análise </t>
        </is>
      </c>
      <c r="BK37" s="38" t="inlineStr">
        <is>
          <t>NI</t>
        </is>
      </c>
      <c r="BL37" s="685" t="inlineStr">
        <is>
          <t>NI</t>
        </is>
      </c>
      <c r="BM37" s="339" t="inlineStr">
        <is>
          <t>NA</t>
        </is>
      </c>
      <c r="BN37" s="38" t="n"/>
      <c r="BO37" s="38" t="n"/>
      <c r="BP37" s="38" t="n"/>
      <c r="BQ37" s="38" t="n"/>
    </row>
    <row r="38" ht="51.75" customHeight="1">
      <c r="A38" s="38" t="inlineStr">
        <is>
          <t>SUDESTE</t>
        </is>
      </c>
      <c r="B38" s="38" t="inlineStr">
        <is>
          <t>MG</t>
        </is>
      </c>
      <c r="C38" s="38" t="inlineStr">
        <is>
          <t>BELO HORIZONTE</t>
        </is>
      </c>
      <c r="D38" s="38" t="inlineStr">
        <is>
          <t>ASSOCIACAO MARIO PENNA</t>
        </is>
      </c>
      <c r="E38" s="395" t="inlineStr">
        <is>
          <t>17513235000180</t>
        </is>
      </c>
      <c r="F38" s="395" t="inlineStr">
        <is>
          <t>2200457</t>
        </is>
      </c>
      <c r="G38" s="46" t="inlineStr">
        <is>
          <t>Transferegov/SEI</t>
        </is>
      </c>
      <c r="H38" s="46" t="inlineStr">
        <is>
          <t>Convênio</t>
        </is>
      </c>
      <c r="I38" s="38" t="n">
        <v>949775</v>
      </c>
      <c r="J38" s="452" t="n">
        <v>91751323002</v>
      </c>
      <c r="K38" s="46" t="inlineStr">
        <is>
          <t>25000.173301/2023-87</t>
        </is>
      </c>
      <c r="L38" s="38" t="inlineStr">
        <is>
          <t>CENTRO DE ALTA COMPLEXIDADE EM ONCOLOGIA</t>
        </is>
      </c>
      <c r="M38" s="38" t="n">
        <v>1</v>
      </c>
      <c r="N38" s="46" t="inlineStr">
        <is>
          <t>2023</t>
        </is>
      </c>
      <c r="O38" s="38" t="n">
        <v>1</v>
      </c>
      <c r="P38" s="38" t="inlineStr">
        <is>
          <t>UND</t>
        </is>
      </c>
      <c r="Q38" s="396" t="inlineStr">
        <is>
          <t>010933-Acelerador Linear de Fótons e Elétrons (dual 10 MV)</t>
        </is>
      </c>
      <c r="R38" s="338" t="n">
        <v>45267</v>
      </c>
      <c r="S38" s="338" t="n">
        <v>46359</v>
      </c>
      <c r="T38" s="338" t="n">
        <v>46419</v>
      </c>
      <c r="U38" s="42" t="inlineStr">
        <is>
          <t>EMENDA</t>
        </is>
      </c>
      <c r="V38" s="43" t="n">
        <v>8821503</v>
      </c>
      <c r="W38" s="42" t="n">
        <v>8818037.42</v>
      </c>
      <c r="X38" s="43" t="n">
        <v>482152</v>
      </c>
      <c r="Y38" s="38" t="inlineStr">
        <is>
          <t>HOMOLOGADA E PAGA</t>
        </is>
      </c>
      <c r="Z38" s="338" t="n">
        <v>45819</v>
      </c>
      <c r="AA38" s="43" t="inlineStr">
        <is>
          <t>sim</t>
        </is>
      </c>
      <c r="AB38" s="43" t="inlineStr">
        <is>
          <t>ELEKTA SOLUTIONS AB</t>
        </is>
      </c>
      <c r="AC38" s="43" t="inlineStr">
        <is>
          <t>Acelerador Linear Infinity - ELEKTA</t>
        </is>
      </c>
      <c r="AD38" s="42" t="inlineStr">
        <is>
          <t>NÃO PAC</t>
        </is>
      </c>
      <c r="AE38" s="38" t="inlineStr">
        <is>
          <t>NA</t>
        </is>
      </c>
      <c r="AF38" s="43" t="inlineStr">
        <is>
          <t>EM EXECUÇÃO</t>
        </is>
      </c>
      <c r="AG38" s="43" t="inlineStr">
        <is>
          <t>Concluído</t>
        </is>
      </c>
      <c r="AH38" s="706">
        <f>IF(AF38="Em execução","Em execução",
IF(AF38="Em licitação","Em licitação / Leilão",
IF(AF38="Concluído","Concluído",)))</f>
        <v/>
      </c>
      <c r="AI38" s="428" t="n">
        <v>1</v>
      </c>
      <c r="AJ38" s="38" t="inlineStr">
        <is>
          <t>BRUNA</t>
        </is>
      </c>
      <c r="AK38" s="38" t="inlineStr">
        <is>
          <t>LOUISE</t>
        </is>
      </c>
      <c r="AL38" s="710" t="inlineStr">
        <is>
          <t>ESTRATÉGICO</t>
        </is>
      </c>
      <c r="AM38" s="41" t="inlineStr">
        <is>
          <t>Em monitoramento</t>
        </is>
      </c>
      <c r="AN38" s="621" t="inlineStr">
        <is>
          <t>Substituição</t>
        </is>
      </c>
      <c r="AO38" s="46" t="inlineStr">
        <is>
          <t>Tratamento</t>
        </is>
      </c>
      <c r="AP38" s="46" t="n"/>
      <c r="AQ38" s="46" t="n"/>
      <c r="AR38" s="422" t="inlineStr">
        <is>
          <t>Inaugurado - 19/06/2026 - O equipamento esta em fase final de instalação. No que se refere à centrífuga, informa-se que o equipamento já foi adquirido, tendo sido inseridos no Transferegov os documentos comprobatórios correspondentes. Emitido parecer 27/08/2026</t>
        </is>
      </c>
      <c r="AS38" s="43" t="inlineStr">
        <is>
          <t>NI</t>
        </is>
      </c>
      <c r="AT38" s="43" t="inlineStr">
        <is>
          <t>NI</t>
        </is>
      </c>
      <c r="AU38" s="338" t="n">
        <v>45983</v>
      </c>
      <c r="AV38" s="338" t="n">
        <v>46041</v>
      </c>
      <c r="AW38" s="338" t="n">
        <v>46055</v>
      </c>
      <c r="AX38" s="338" t="n">
        <v>46055</v>
      </c>
      <c r="AY38" s="338" t="n">
        <v>46094</v>
      </c>
      <c r="AZ38" s="620" t="n"/>
      <c r="BA38" s="619" t="n">
        <v>45989</v>
      </c>
      <c r="BB38" s="38" t="inlineStr">
        <is>
          <t>NA</t>
        </is>
      </c>
      <c r="BC38" s="396" t="n">
        <v>46050</v>
      </c>
      <c r="BD38" s="38" t="inlineStr">
        <is>
          <t>60 dias</t>
        </is>
      </c>
      <c r="BE38" s="394" t="inlineStr">
        <is>
          <t>30/06/2026</t>
        </is>
      </c>
      <c r="BF38" s="38" t="n"/>
      <c r="BG38" s="423" t="n"/>
      <c r="BH38" s="38" t="n"/>
      <c r="BI38" s="424" t="inlineStr">
        <is>
          <t>2025SCRA1438</t>
        </is>
      </c>
      <c r="BJ38" s="634" t="inlineStr">
        <is>
          <t>Deferido</t>
        </is>
      </c>
      <c r="BK38" s="38" t="n"/>
      <c r="BL38" s="685" t="n"/>
      <c r="BM38" s="339" t="inlineStr">
        <is>
          <t>NA</t>
        </is>
      </c>
      <c r="BN38" s="38" t="n"/>
      <c r="BO38" s="38" t="n"/>
      <c r="BP38" s="38" t="n"/>
      <c r="BQ38" s="38" t="n"/>
    </row>
    <row r="39" ht="54" customHeight="1">
      <c r="A39" s="38" t="inlineStr">
        <is>
          <t>NORDESTE</t>
        </is>
      </c>
      <c r="B39" s="38" t="inlineStr">
        <is>
          <t>BA</t>
        </is>
      </c>
      <c r="C39" s="38" t="inlineStr">
        <is>
          <t>IRECÊ</t>
        </is>
      </c>
      <c r="D39" s="38" t="inlineStr">
        <is>
          <t>FUNDO ESTADUAL DE SAUDE DO ESTADO DA BAHIA</t>
        </is>
      </c>
      <c r="E39" s="46" t="inlineStr">
        <is>
          <t>05816630000152</t>
        </is>
      </c>
      <c r="F39" s="395" t="inlineStr">
        <is>
          <t>4026896</t>
        </is>
      </c>
      <c r="G39" s="46" t="inlineStr">
        <is>
          <t>Transferegov/SEI</t>
        </is>
      </c>
      <c r="H39" s="46" t="inlineStr">
        <is>
          <t>Convênio</t>
        </is>
      </c>
      <c r="I39" s="38" t="n">
        <v>973049</v>
      </c>
      <c r="J39" s="46" t="inlineStr">
        <is>
          <t>90581624017</t>
        </is>
      </c>
      <c r="K39" s="46" t="inlineStr">
        <is>
          <t>25000.195562/2024-39</t>
        </is>
      </c>
      <c r="L39" s="38" t="inlineStr">
        <is>
          <t>REDE DE ATENÇÃO À PESSOA COM DOENÇAS CRÔNICAS - HOSPITAL HABILITADO NA ALTA COMPLEXIDADE EM ONCOLOGIA</t>
        </is>
      </c>
      <c r="M39" s="38" t="n">
        <v>1</v>
      </c>
      <c r="N39" s="46" t="inlineStr">
        <is>
          <t>2024</t>
        </is>
      </c>
      <c r="O39" s="38" t="n">
        <v>1</v>
      </c>
      <c r="P39" s="38" t="inlineStr">
        <is>
          <t>UND</t>
        </is>
      </c>
      <c r="Q39" s="38" t="inlineStr">
        <is>
          <t>011807-Acelerador Linear (Recursos avançados com IGRT 3D)</t>
        </is>
      </c>
      <c r="R39" s="338" t="n">
        <v>45656</v>
      </c>
      <c r="S39" s="338" t="n">
        <v>46196</v>
      </c>
      <c r="T39" s="338" t="n">
        <v>46256</v>
      </c>
      <c r="U39" s="323" t="inlineStr">
        <is>
          <t>PROGRAMA</t>
        </is>
      </c>
      <c r="V39" s="43" t="n">
        <v>12154901</v>
      </c>
      <c r="W39" s="323" t="n">
        <v>0</v>
      </c>
      <c r="X39" s="43" t="n">
        <v>0</v>
      </c>
      <c r="Y39" s="38" t="inlineStr">
        <is>
          <t>NÃO INICIADA</t>
        </is>
      </c>
      <c r="Z39" s="338" t="inlineStr">
        <is>
          <t>NA</t>
        </is>
      </c>
      <c r="AA39" s="32" t="inlineStr">
        <is>
          <t>NÃO</t>
        </is>
      </c>
      <c r="AB39" s="38" t="inlineStr">
        <is>
          <t>NI</t>
        </is>
      </c>
      <c r="AC39" s="38" t="inlineStr">
        <is>
          <t>NI</t>
        </is>
      </c>
      <c r="AD39" s="323" t="inlineStr">
        <is>
          <t>PAC</t>
        </is>
      </c>
      <c r="AE39" s="38" t="n">
        <v>136743</v>
      </c>
      <c r="AF39" s="43" t="inlineStr">
        <is>
          <t>EM EXECUÇÃO</t>
        </is>
      </c>
      <c r="AG39" s="43" t="inlineStr">
        <is>
          <t>Em licitação</t>
        </is>
      </c>
      <c r="AH39" s="706">
        <f>IF(AF39="Em execução","Em execução",
IF(AF39="Em licitação","Em licitação / Leilão",
IF(AF39="Concluído","Concluído",)))</f>
        <v/>
      </c>
      <c r="AI39" s="403" t="n">
        <v>0.1</v>
      </c>
      <c r="AJ39" s="38" t="inlineStr">
        <is>
          <t>PRISCILA</t>
        </is>
      </c>
      <c r="AK39" s="38" t="inlineStr">
        <is>
          <t>PRISCILA</t>
        </is>
      </c>
      <c r="AL39" s="41" t="inlineStr">
        <is>
          <t>Estratégico</t>
        </is>
      </c>
      <c r="AM39" s="41" t="inlineStr">
        <is>
          <t>Em monitoramento</t>
        </is>
      </c>
      <c r="AN39" s="621" t="inlineStr">
        <is>
          <t>Ampliação</t>
        </is>
      </c>
      <c r="AO39" s="46" t="inlineStr">
        <is>
          <t>Tratamento</t>
        </is>
      </c>
      <c r="AP39" s="46" t="n"/>
      <c r="AQ39" s="46" t="n"/>
      <c r="AR39" s="406" t="inlineStr">
        <is>
          <t>Em 02/12/2025 a instituição respondeu o parecer técnico 21, informando que o processo licitatório para aquisição do acelerador linear encontra-se em trâmite interno, e que assim que for validada será publicado o edital e inserido no transferegov. Conforme relatório técnico enviado, a estrutura do bunker já foi executada, e atende as especificações técnicas do equipamento a ser adquirido (Varian ou Elekta).</t>
        </is>
      </c>
      <c r="AS39" s="417" t="n">
        <v>45700</v>
      </c>
      <c r="AT39" s="618" t="inlineStr">
        <is>
          <t>16/06/2026</t>
        </is>
      </c>
      <c r="AU39" s="338" t="n"/>
      <c r="AV39" s="338" t="n"/>
      <c r="AW39" s="338" t="n"/>
      <c r="AX39" s="338" t="n"/>
      <c r="AY39" s="338" t="n"/>
      <c r="AZ39" s="338" t="n"/>
      <c r="BA39" s="406" t="n"/>
      <c r="BB39" s="406" t="n"/>
      <c r="BC39" s="406" t="n"/>
      <c r="BD39" s="406" t="n"/>
      <c r="BE39" s="420" t="inlineStr">
        <is>
          <t>NI</t>
        </is>
      </c>
      <c r="BF39" s="714" t="n"/>
      <c r="BG39" s="714" t="inlineStr">
        <is>
          <t>NI</t>
        </is>
      </c>
      <c r="BH39" s="714" t="inlineStr">
        <is>
          <t>NI</t>
        </is>
      </c>
      <c r="BI39" s="617" t="inlineStr">
        <is>
          <t>NI</t>
        </is>
      </c>
      <c r="BJ39" s="616" t="inlineStr">
        <is>
          <t>NI</t>
        </is>
      </c>
      <c r="BK39" s="38" t="inlineStr">
        <is>
          <t>NI</t>
        </is>
      </c>
      <c r="BL39" s="685" t="inlineStr">
        <is>
          <t>NI</t>
        </is>
      </c>
      <c r="BM39" s="339" t="inlineStr">
        <is>
          <t>NA</t>
        </is>
      </c>
      <c r="BN39" s="38" t="n"/>
      <c r="BO39" s="38" t="n"/>
      <c r="BP39" s="38" t="n"/>
      <c r="BQ39" s="38" t="n"/>
    </row>
    <row r="40" ht="72.75" customHeight="1">
      <c r="A40" s="38" t="inlineStr">
        <is>
          <t>CENTRO-OESTE</t>
        </is>
      </c>
      <c r="B40" s="38" t="inlineStr">
        <is>
          <t>MS</t>
        </is>
      </c>
      <c r="C40" s="38" t="inlineStr">
        <is>
          <t>CAMPO GRANDE</t>
        </is>
      </c>
      <c r="D40" s="38" t="inlineStr">
        <is>
          <t>FUNDACAO CARMEM PRUDENTE DE MATO GROSSO DO SUL</t>
        </is>
      </c>
      <c r="E40" s="46" t="inlineStr">
        <is>
          <t>03221702000193</t>
        </is>
      </c>
      <c r="F40" s="395" t="inlineStr">
        <is>
          <t>0009776</t>
        </is>
      </c>
      <c r="G40" s="46" t="inlineStr">
        <is>
          <t>Transferegov/SEI</t>
        </is>
      </c>
      <c r="H40" s="46" t="inlineStr">
        <is>
          <t>Convênio</t>
        </is>
      </c>
      <c r="I40" s="38" t="n">
        <v>961247</v>
      </c>
      <c r="J40" s="46" t="inlineStr">
        <is>
          <t>90322124002</t>
        </is>
      </c>
      <c r="K40" s="46" t="inlineStr">
        <is>
          <t>25000.076387/2024-81</t>
        </is>
      </c>
      <c r="L40" s="38" t="inlineStr">
        <is>
          <t>REDE DE ATENÇÃO À PESSOA COM DOENÇAS CRÔNICAS - HOSPITAL HABILITADO NA ALTA COMPLEXIDADE EM ONCOLOGIA</t>
        </is>
      </c>
      <c r="M40" s="38" t="n">
        <v>1</v>
      </c>
      <c r="N40" s="46" t="inlineStr">
        <is>
          <t>2024</t>
        </is>
      </c>
      <c r="O40" s="38" t="n">
        <v>1</v>
      </c>
      <c r="P40" s="38" t="inlineStr">
        <is>
          <t>UND</t>
        </is>
      </c>
      <c r="Q40" s="38" t="inlineStr">
        <is>
          <t xml:space="preserve">	011807-Acelerador Linear (Recursos avançados com IGRT 3D)</t>
        </is>
      </c>
      <c r="R40" s="338" t="n">
        <v>45582</v>
      </c>
      <c r="S40" s="338" t="n">
        <v>46408</v>
      </c>
      <c r="T40" s="338" t="n">
        <v>46468</v>
      </c>
      <c r="U40" s="339" t="inlineStr">
        <is>
          <t>PROGRAMA</t>
        </is>
      </c>
      <c r="V40" s="43" t="n">
        <v>9306616</v>
      </c>
      <c r="W40" s="339" t="inlineStr">
        <is>
          <t>R$ 8.042.937,54</t>
        </is>
      </c>
      <c r="X40" s="43" t="n">
        <v>1268272</v>
      </c>
      <c r="Y40" s="38" t="inlineStr">
        <is>
          <t>HOMOLOGADA E PAGA</t>
        </is>
      </c>
      <c r="Z40" s="338" t="n">
        <v>45868</v>
      </c>
      <c r="AA40" s="38" t="inlineStr">
        <is>
          <t>NÃO</t>
        </is>
      </c>
      <c r="AB40" s="38" t="inlineStr">
        <is>
          <t>ELEKTA SOLUTIONS AB</t>
        </is>
      </c>
      <c r="AC40" s="38" t="inlineStr">
        <is>
          <t>NI</t>
        </is>
      </c>
      <c r="AD40" s="323" t="inlineStr">
        <is>
          <t>PAC</t>
        </is>
      </c>
      <c r="AE40" s="38" t="n">
        <v>136740</v>
      </c>
      <c r="AF40" s="43" t="inlineStr">
        <is>
          <t>EM EXECUÇÃO</t>
        </is>
      </c>
      <c r="AG40" s="43" t="inlineStr">
        <is>
          <t>Equipamento em aquisição</t>
        </is>
      </c>
      <c r="AH40" s="706">
        <f>IF(AF40="Em execução","Em execução",
IF(AF40="Em licitação","Em licitação / Leilão",
IF(AF40="Concluído","Concluído",)))</f>
        <v/>
      </c>
      <c r="AI40" s="402" t="n">
        <v>0.3</v>
      </c>
      <c r="AJ40" s="692" t="inlineStr">
        <is>
          <t xml:space="preserve">SAMUEL </t>
        </is>
      </c>
      <c r="AK40" s="692" t="inlineStr">
        <is>
          <t>PRISCILA</t>
        </is>
      </c>
      <c r="AL40" s="38" t="inlineStr">
        <is>
          <t>ESTRATÉGICO</t>
        </is>
      </c>
      <c r="AM40" s="41" t="inlineStr">
        <is>
          <t>Em monitoramento</t>
        </is>
      </c>
      <c r="AN40" s="621" t="inlineStr">
        <is>
          <t>Substituição</t>
        </is>
      </c>
      <c r="AO40" s="46" t="inlineStr">
        <is>
          <t>Tratamento</t>
        </is>
      </c>
      <c r="AP40" s="464" t="n"/>
      <c r="AQ40" s="464" t="n"/>
      <c r="AR40" s="365" t="inlineStr">
        <is>
          <t>Reunião realizada em 20/10 às 15h. O Hospital informou que está finalizando a contratação da empresa para execução da obra(construção de um novo bunker), que ela ja fez vistoria e vai encaminhar um cronograma atualizado. Referente ao Parecer Técnico nº 11/2025 enviado em 03/09/25, a instituição respondeu em 16/09/25 com o envio das documentações. Firmou contrato com a Elekta em 05/08/25 com previsão de prazo de entrega em 180 dias. Ainda não iniciaram a obra de construção do novo bunker. Revisar os últimos encaminhamentos e enteder a próxima ação de monitroamento, planejar a reunião e novo parecer conforme resposta. Verificar as respostas encaminhadas por e-mail ou no transferegov</t>
        </is>
      </c>
      <c r="AS40" s="417" t="inlineStr">
        <is>
          <t>30/06/2026</t>
        </is>
      </c>
      <c r="AT40" s="750" t="inlineStr">
        <is>
          <t xml:space="preserve">Após análise das resposta, sugiro agendar para outubro. </t>
        </is>
      </c>
      <c r="AU40" s="338" t="n"/>
      <c r="AV40" s="338" t="n"/>
      <c r="AW40" s="338" t="n"/>
      <c r="AX40" s="338" t="n"/>
      <c r="AY40" s="338" t="n"/>
      <c r="AZ40" s="338" t="n"/>
      <c r="BA40" s="615" t="n"/>
      <c r="BB40" s="406" t="n"/>
      <c r="BC40" s="406" t="n"/>
      <c r="BD40" s="406" t="n"/>
      <c r="BE40" s="682" t="inlineStr">
        <is>
          <t>30/08/2026</t>
        </is>
      </c>
      <c r="BF40" s="38" t="n"/>
      <c r="BG40" s="38" t="inlineStr">
        <is>
          <t>NI</t>
        </is>
      </c>
      <c r="BH40" s="38" t="inlineStr">
        <is>
          <t>NI</t>
        </is>
      </c>
      <c r="BI40" s="614" t="inlineStr">
        <is>
          <t>NI</t>
        </is>
      </c>
      <c r="BJ40" s="613" t="inlineStr">
        <is>
          <t>NI</t>
        </is>
      </c>
      <c r="BK40" s="38" t="inlineStr">
        <is>
          <t>NI</t>
        </is>
      </c>
      <c r="BL40" s="685" t="inlineStr">
        <is>
          <t>NI</t>
        </is>
      </c>
      <c r="BM40" s="339" t="inlineStr">
        <is>
          <t>NA</t>
        </is>
      </c>
      <c r="BN40" s="38" t="n"/>
      <c r="BO40" s="38" t="n"/>
      <c r="BP40" s="38" t="n"/>
      <c r="BQ40" s="38" t="n"/>
    </row>
    <row r="41" ht="63.75" customHeight="1">
      <c r="A41" s="38" t="inlineStr">
        <is>
          <t>SUDESTE</t>
        </is>
      </c>
      <c r="B41" s="38" t="inlineStr">
        <is>
          <t>SP</t>
        </is>
      </c>
      <c r="C41" s="38" t="inlineStr">
        <is>
          <t>SANTOS</t>
        </is>
      </c>
      <c r="D41" s="38" t="inlineStr">
        <is>
          <t>IRMANDADE DA SANTA CASA DE MISERICORDIA DE SANTOS</t>
        </is>
      </c>
      <c r="E41" s="46" t="inlineStr">
        <is>
          <t>58198524000119</t>
        </is>
      </c>
      <c r="F41" s="395" t="inlineStr">
        <is>
          <t>2025752</t>
        </is>
      </c>
      <c r="G41" s="46" t="inlineStr">
        <is>
          <t>Transferegov/SEI</t>
        </is>
      </c>
      <c r="H41" s="46" t="inlineStr">
        <is>
          <t>Convênio</t>
        </is>
      </c>
      <c r="I41" s="38" t="n">
        <v>971195</v>
      </c>
      <c r="J41" s="46" t="inlineStr">
        <is>
          <t>95819824004</t>
        </is>
      </c>
      <c r="K41" s="46" t="inlineStr">
        <is>
          <t>25000.092694/2024-18</t>
        </is>
      </c>
      <c r="L41" s="38" t="inlineStr">
        <is>
          <t>REDE DE ATENÇÃO À PESSOA COM DOENÇAS CRÔNICAS - HOSPITAL HABILITADO NA ALTA COMPLEXIDADE EM ONCOLOGIA</t>
        </is>
      </c>
      <c r="M41" s="38" t="n">
        <v>1</v>
      </c>
      <c r="N41" s="46" t="inlineStr">
        <is>
          <t>2024</t>
        </is>
      </c>
      <c r="O41" s="38" t="n">
        <v>1</v>
      </c>
      <c r="P41" s="38" t="inlineStr">
        <is>
          <t>UND</t>
        </is>
      </c>
      <c r="Q41" s="38" t="inlineStr">
        <is>
          <t>011807-Acelerador Linear (Recursos avançados com IGRT 3D)</t>
        </is>
      </c>
      <c r="R41" s="338" t="n">
        <v>45649</v>
      </c>
      <c r="S41" s="338" t="n">
        <v>46368</v>
      </c>
      <c r="T41" s="338" t="n">
        <v>46428</v>
      </c>
      <c r="U41" s="323" t="inlineStr">
        <is>
          <t>EMENDA</t>
        </is>
      </c>
      <c r="V41" s="43" t="n">
        <v>1050</v>
      </c>
      <c r="W41" s="323" t="inlineStr">
        <is>
          <t>R$ 10.499.846,00</t>
        </is>
      </c>
      <c r="X41" s="43" t="n">
        <v>0</v>
      </c>
      <c r="Y41" s="38" t="inlineStr">
        <is>
          <t>HOMOLOGADA E PAGA</t>
        </is>
      </c>
      <c r="Z41" s="338" t="n">
        <v>45828</v>
      </c>
      <c r="AA41" s="32" t="inlineStr">
        <is>
          <t xml:space="preserve">SIM </t>
        </is>
      </c>
      <c r="AB41" s="38" t="inlineStr">
        <is>
          <t>NI</t>
        </is>
      </c>
      <c r="AC41" s="38" t="inlineStr">
        <is>
          <t>NI</t>
        </is>
      </c>
      <c r="AD41" s="323" t="inlineStr">
        <is>
          <t>NÃO PAC</t>
        </is>
      </c>
      <c r="AE41" s="38" t="inlineStr">
        <is>
          <t>NA</t>
        </is>
      </c>
      <c r="AF41" s="43" t="inlineStr">
        <is>
          <t>EM EXECUÇÃO</t>
        </is>
      </c>
      <c r="AG41" s="43" t="inlineStr">
        <is>
          <t>Em andamento</t>
        </is>
      </c>
      <c r="AH41" s="706">
        <f>IF(AF41="Em execução","Em execução",
IF(AF41="Em licitação","Em licitação / Leilão",
IF(AF41="Concluído","Concluído",)))</f>
        <v/>
      </c>
      <c r="AI41" s="400" t="n">
        <v>0.8</v>
      </c>
      <c r="AJ41" s="701" t="inlineStr">
        <is>
          <t>BRUNA</t>
        </is>
      </c>
      <c r="AK41" s="701" t="inlineStr">
        <is>
          <t>LAYANE</t>
        </is>
      </c>
      <c r="AL41" s="701" t="n"/>
      <c r="AM41" s="41" t="inlineStr">
        <is>
          <t>Em monitoramento</t>
        </is>
      </c>
      <c r="AN41" s="621" t="inlineStr">
        <is>
          <t>Ampliação</t>
        </is>
      </c>
      <c r="AO41" s="46" t="inlineStr">
        <is>
          <t>Tratamento</t>
        </is>
      </c>
      <c r="AP41" s="46" t="n"/>
      <c r="AQ41" s="46" t="n"/>
      <c r="AR41" s="406" t="inlineStr">
        <is>
          <t xml:space="preserve">Reunião:19/05/2026  – 14h30.  AGENDADA
INFORMAÇÕES ANSN (CNEN) - 2025SCRA0633 - Requerimento finalizado. Foi emitido Ofício de Pendências em 21/05/2025,  Ofício: 5076/2025 - CGMI/CNEN (Ofício em anexo). A instalação respondeu em 25/09/2025 ao Ofício de Pendências e foi concedida Autorização para Modificação, em 05/10/2025, Ofício: 6132/2025 – CGIR/DIRC/ANSN 
</t>
        </is>
      </c>
      <c r="AS41" s="414" t="inlineStr">
        <is>
          <t xml:space="preserve">15/05 fim da obra com o equipamento instalado, aguardando os treinamento e comissionamentos, equipamento ja esta no porto, </t>
        </is>
      </c>
      <c r="AT41" s="414" t="n"/>
      <c r="AU41" s="338" t="n">
        <v>45931</v>
      </c>
      <c r="AV41" s="338" t="n"/>
      <c r="AW41" s="338" t="n"/>
      <c r="AX41" s="338" t="n"/>
      <c r="AY41" s="338" t="n"/>
      <c r="AZ41" s="338" t="n"/>
      <c r="BA41" s="628" t="n">
        <v>45931</v>
      </c>
      <c r="BB41" s="406" t="inlineStr">
        <is>
          <t>Alinhar cronograma da obra com a fabricação do equipamento.</t>
        </is>
      </c>
      <c r="BC41" s="628" t="n">
        <v>45991</v>
      </c>
      <c r="BD41" s="406" t="inlineStr">
        <is>
          <t>2 meses</t>
        </is>
      </c>
      <c r="BE41" s="394" t="inlineStr">
        <is>
          <t>30/11/2026</t>
        </is>
      </c>
      <c r="BF41" s="38" t="n">
        <v>18097</v>
      </c>
      <c r="BG41" s="38" t="inlineStr">
        <is>
          <t>NI</t>
        </is>
      </c>
      <c r="BH41" s="685" t="inlineStr">
        <is>
          <t>NI</t>
        </is>
      </c>
      <c r="BI41" s="425" t="inlineStr">
        <is>
          <t>2025SCRA0633</t>
        </is>
      </c>
      <c r="BJ41" s="612" t="inlineStr">
        <is>
          <t>deferido</t>
        </is>
      </c>
      <c r="BK41" s="38" t="inlineStr">
        <is>
          <t>NI</t>
        </is>
      </c>
      <c r="BL41" s="685" t="inlineStr">
        <is>
          <t>NI</t>
        </is>
      </c>
      <c r="BM41" s="339" t="inlineStr">
        <is>
          <t>NA</t>
        </is>
      </c>
      <c r="BN41" s="38" t="n"/>
      <c r="BO41" s="38" t="n"/>
      <c r="BP41" s="38" t="n"/>
      <c r="BQ41" s="38" t="n"/>
    </row>
    <row r="42" ht="45" customHeight="1">
      <c r="A42" s="38" t="inlineStr">
        <is>
          <t>SUDESTE</t>
        </is>
      </c>
      <c r="B42" s="38" t="inlineStr">
        <is>
          <t>SP</t>
        </is>
      </c>
      <c r="C42" s="38" t="inlineStr">
        <is>
          <t>SAO CARLOS</t>
        </is>
      </c>
      <c r="D42" s="38" t="inlineStr">
        <is>
          <t>IRMANDADE DA SANTA CASA DE MISERICORDIA DE SAO CARLOS</t>
        </is>
      </c>
      <c r="E42" s="46" t="inlineStr">
        <is>
          <t>59610394000142</t>
        </is>
      </c>
      <c r="F42" s="395" t="inlineStr">
        <is>
          <t>2080931</t>
        </is>
      </c>
      <c r="G42" s="46" t="inlineStr">
        <is>
          <t>Transferegov/SEI</t>
        </is>
      </c>
      <c r="H42" s="46" t="inlineStr">
        <is>
          <t>Convênio</t>
        </is>
      </c>
      <c r="I42" s="38" t="n">
        <v>970621</v>
      </c>
      <c r="J42" s="46" t="inlineStr">
        <is>
          <t>95961024001</t>
        </is>
      </c>
      <c r="K42" s="46" t="inlineStr">
        <is>
          <t>25000.164378/2024-47</t>
        </is>
      </c>
      <c r="L42" s="38" t="inlineStr">
        <is>
          <t>REDE DE ATENÇÃO À PESSOA COM DOENÇAS CRÔNICAS - HOSPITAL HABILITADO NA ALTA COMPLEXIDADE EM ONCOLOGIA</t>
        </is>
      </c>
      <c r="M42" s="38" t="n">
        <v>1</v>
      </c>
      <c r="N42" s="46" t="inlineStr">
        <is>
          <t>2024</t>
        </is>
      </c>
      <c r="O42" s="38" t="n">
        <v>1</v>
      </c>
      <c r="P42" s="38" t="inlineStr">
        <is>
          <t>UND</t>
        </is>
      </c>
      <c r="Q42" s="38" t="inlineStr">
        <is>
          <t>011806-Acelerador Linear (Básico - Intermediário)</t>
        </is>
      </c>
      <c r="R42" s="338" t="n">
        <v>45653</v>
      </c>
      <c r="S42" s="338" t="inlineStr">
        <is>
          <t>9-fev-27</t>
        </is>
      </c>
      <c r="T42" s="338" t="inlineStr">
        <is>
          <t>10-abr-27</t>
        </is>
      </c>
      <c r="U42" s="323" t="inlineStr">
        <is>
          <t>PROGRAMA</t>
        </is>
      </c>
      <c r="V42" s="43" t="n">
        <v>10241429</v>
      </c>
      <c r="W42" s="323" t="inlineStr">
        <is>
          <t xml:space="preserve"> R$ 10.223.586,00 </t>
        </is>
      </c>
      <c r="X42" s="43" t="n">
        <v>0</v>
      </c>
      <c r="Y42" s="38" t="inlineStr">
        <is>
          <t>HOMOLOGADA E PAGA</t>
        </is>
      </c>
      <c r="Z42" s="338" t="n">
        <v>45887</v>
      </c>
      <c r="AA42" s="38" t="inlineStr">
        <is>
          <t xml:space="preserve">SIM </t>
        </is>
      </c>
      <c r="AB42" s="38" t="inlineStr">
        <is>
          <t>VARIAN MEDICAL SYSTEMS INC</t>
        </is>
      </c>
      <c r="AC42" s="43" t="inlineStr">
        <is>
          <t xml:space="preserve">Acelerador Linear Modelo HALCYON </t>
        </is>
      </c>
      <c r="AD42" s="323" t="inlineStr">
        <is>
          <t>PAC</t>
        </is>
      </c>
      <c r="AE42" s="38" t="n">
        <v>136742</v>
      </c>
      <c r="AF42" s="43" t="inlineStr">
        <is>
          <t>EM EXECUÇÃO</t>
        </is>
      </c>
      <c r="AG42" s="43" t="inlineStr">
        <is>
          <t>Em andamento</t>
        </is>
      </c>
      <c r="AH42" s="706">
        <f>IF(AF42="Em execução","Em execução",
IF(AF42="Em licitação","Em licitação / Leilão",
IF(AF42="Concluído","Concluído",)))</f>
        <v/>
      </c>
      <c r="AI42" s="400" t="n">
        <v>0.8</v>
      </c>
      <c r="AJ42" s="701" t="inlineStr">
        <is>
          <t>BRUNA</t>
        </is>
      </c>
      <c r="AK42" s="701" t="inlineStr">
        <is>
          <t>LAYANE</t>
        </is>
      </c>
      <c r="AL42" s="701" t="n"/>
      <c r="AM42" s="41" t="inlineStr">
        <is>
          <t>Em monitoramento</t>
        </is>
      </c>
      <c r="AN42" s="621" t="inlineStr">
        <is>
          <t>Substituição</t>
        </is>
      </c>
      <c r="AO42" s="46" t="inlineStr">
        <is>
          <t>Tratamento</t>
        </is>
      </c>
      <c r="AP42" s="46" t="n"/>
      <c r="AQ42" s="46" t="n"/>
      <c r="AR42" s="406" t="inlineStr">
        <is>
          <t xml:space="preserve">INFORMAÇÕES ANSN (CNEN) - 2025SCRA0633 - Requerimento finalizado. Foi emitido Ofício de Pendências em 21/05/2025,  Ofício: 5076/2025 - CGMI/CNEN (Ofício em anexo). A instalação respondeu em 25/09/2025 ao Ofício de Pendências e foi concedida Autorização para Modificação, em 05/10/2025, Ofício: 6132/2025 – CGIR/DIRC/ANSN </t>
        </is>
      </c>
      <c r="AS42" s="414" t="n"/>
      <c r="AT42" s="414" t="n"/>
      <c r="AU42" s="338" t="n">
        <v>45930</v>
      </c>
      <c r="AV42" s="338" t="n">
        <v>46037</v>
      </c>
      <c r="AW42" s="338" t="n">
        <v>46068</v>
      </c>
      <c r="AX42" s="338" t="n">
        <v>46090</v>
      </c>
      <c r="AY42" s="338" t="n">
        <v>46101</v>
      </c>
      <c r="AZ42" s="338" t="inlineStr">
        <is>
          <t>NI</t>
        </is>
      </c>
      <c r="BA42" s="406" t="n"/>
      <c r="BB42" s="406" t="n"/>
      <c r="BC42" s="406" t="n"/>
      <c r="BD42" s="406" t="n"/>
      <c r="BE42" s="682" t="inlineStr">
        <is>
          <t>30/11/2026</t>
        </is>
      </c>
      <c r="BF42" s="426" t="n">
        <v>2080931</v>
      </c>
      <c r="BG42" s="38" t="inlineStr">
        <is>
          <t>NI</t>
        </is>
      </c>
      <c r="BH42" s="38" t="inlineStr">
        <is>
          <t>NI</t>
        </is>
      </c>
      <c r="BI42" s="617" t="inlineStr">
        <is>
          <t>NI</t>
        </is>
      </c>
      <c r="BJ42" s="616" t="inlineStr">
        <is>
          <t>NI</t>
        </is>
      </c>
      <c r="BK42" s="38" t="inlineStr">
        <is>
          <t>NI</t>
        </is>
      </c>
      <c r="BL42" s="685" t="inlineStr">
        <is>
          <t>NI</t>
        </is>
      </c>
      <c r="BM42" s="339" t="inlineStr">
        <is>
          <t>NA</t>
        </is>
      </c>
      <c r="BN42" s="38" t="n"/>
      <c r="BO42" s="38" t="n"/>
      <c r="BP42" s="38" t="n"/>
      <c r="BQ42" s="38" t="n"/>
    </row>
    <row r="43" ht="47.25" customHeight="1">
      <c r="A43" s="38" t="inlineStr">
        <is>
          <t>SUDESTE</t>
        </is>
      </c>
      <c r="B43" s="38" t="inlineStr">
        <is>
          <t>SP</t>
        </is>
      </c>
      <c r="C43" s="38" t="inlineStr">
        <is>
          <t>CAMPINAS</t>
        </is>
      </c>
      <c r="D43" s="38" t="inlineStr">
        <is>
          <t>FUNDO ESTADUAL DE SAUDE - FUNDES</t>
        </is>
      </c>
      <c r="E43" s="46" t="inlineStr">
        <is>
          <t>13851748000140</t>
        </is>
      </c>
      <c r="F43" s="395" t="inlineStr">
        <is>
          <t>2079798</t>
        </is>
      </c>
      <c r="G43" s="46" t="inlineStr">
        <is>
          <t>Transferegov/SEI</t>
        </is>
      </c>
      <c r="H43" s="46" t="inlineStr">
        <is>
          <t>Convênio</t>
        </is>
      </c>
      <c r="I43" s="38" t="n">
        <v>968527</v>
      </c>
      <c r="J43" s="46" t="inlineStr">
        <is>
          <t>91385124002</t>
        </is>
      </c>
      <c r="K43" s="46" t="inlineStr">
        <is>
          <t>25000.117745/2024-13</t>
        </is>
      </c>
      <c r="L43" s="38" t="inlineStr">
        <is>
          <t>REDE DE ATENÇÃO À PESSOA COM DOENÇAS CRÔNICAS - HOSPITAL HABILITADO NA ALTA COMPLEXIDADE EM ONCOLOGIA</t>
        </is>
      </c>
      <c r="M43" s="38" t="n">
        <v>1</v>
      </c>
      <c r="N43" s="46" t="inlineStr">
        <is>
          <t>2024</t>
        </is>
      </c>
      <c r="O43" s="38" t="n">
        <v>1</v>
      </c>
      <c r="P43" s="38" t="inlineStr">
        <is>
          <t>UND</t>
        </is>
      </c>
      <c r="Q43" s="38" t="inlineStr">
        <is>
          <t>011806-Acelerador Linear (Básico - Intermediário)</t>
        </is>
      </c>
      <c r="R43" s="338" t="inlineStr">
        <is>
          <t>11-dez-24</t>
        </is>
      </c>
      <c r="S43" s="338" t="n">
        <v>46177</v>
      </c>
      <c r="T43" s="338" t="inlineStr">
        <is>
          <t>3-ago-26</t>
        </is>
      </c>
      <c r="U43" s="43" t="inlineStr">
        <is>
          <t>PROGRAMA</t>
        </is>
      </c>
      <c r="V43" s="43" t="n">
        <v>9306616</v>
      </c>
      <c r="W43" s="43" t="n">
        <v>0</v>
      </c>
      <c r="X43" s="43" t="n">
        <v>0</v>
      </c>
      <c r="Y43" s="38" t="inlineStr">
        <is>
          <t>EM ANDAMENTO</t>
        </is>
      </c>
      <c r="Z43" s="338" t="inlineStr">
        <is>
          <t>NA</t>
        </is>
      </c>
      <c r="AA43" s="38" t="inlineStr">
        <is>
          <t>NÃO</t>
        </is>
      </c>
      <c r="AB43" s="38" t="inlineStr">
        <is>
          <t>NI</t>
        </is>
      </c>
      <c r="AC43" s="38" t="inlineStr">
        <is>
          <t>NI</t>
        </is>
      </c>
      <c r="AD43" s="323" t="inlineStr">
        <is>
          <t>PAC</t>
        </is>
      </c>
      <c r="AE43" s="38" t="n">
        <v>136741</v>
      </c>
      <c r="AF43" s="43" t="inlineStr">
        <is>
          <t>EM EXECUÇÃO</t>
        </is>
      </c>
      <c r="AG43" s="43" t="inlineStr">
        <is>
          <t>Aguardando repasse</t>
        </is>
      </c>
      <c r="AH43" s="706">
        <f>IF(AF43="Em execução","Em execução",
IF(AF43="Em licitação","Em licitação / Leilão",
IF(AF43="Concluído","Concluído",)))</f>
        <v/>
      </c>
      <c r="AI43" s="403" t="n">
        <v>0.1</v>
      </c>
      <c r="AJ43" s="38" t="inlineStr">
        <is>
          <t>PRISCILA</t>
        </is>
      </c>
      <c r="AK43" s="38" t="inlineStr">
        <is>
          <t>LAYANE</t>
        </is>
      </c>
      <c r="AL43" s="41" t="inlineStr">
        <is>
          <t>Estratégico</t>
        </is>
      </c>
      <c r="AM43" s="41" t="inlineStr">
        <is>
          <t>Em monitoramento</t>
        </is>
      </c>
      <c r="AN43" s="621" t="inlineStr">
        <is>
          <t>Substituição</t>
        </is>
      </c>
      <c r="AO43" s="46" t="inlineStr">
        <is>
          <t>Tratamento</t>
        </is>
      </c>
      <c r="AP43" s="46" t="n"/>
      <c r="AQ43" s="46" t="n"/>
      <c r="AR43" s="611" t="inlineStr">
        <is>
          <t>Licitação - Pregão INSERIDOS NO TRANSFEREGOV EM 07/02/2025. ATUALMENTE PERMANECE
Em elaboração</t>
        </is>
      </c>
      <c r="AS43" s="409" t="inlineStr">
        <is>
          <t>16/10/2025</t>
        </is>
      </c>
      <c r="AT43" s="707" t="inlineStr">
        <is>
          <t xml:space="preserve">AGENDAR </t>
        </is>
      </c>
      <c r="AU43" s="338" t="n"/>
      <c r="AV43" s="338" t="n"/>
      <c r="AW43" s="338" t="n"/>
      <c r="AX43" s="338" t="n"/>
      <c r="AY43" s="338" t="n"/>
      <c r="AZ43" s="338" t="n"/>
      <c r="BA43" s="610" t="n"/>
      <c r="BB43" s="406" t="n"/>
      <c r="BC43" s="406" t="n"/>
      <c r="BD43" s="406" t="n"/>
      <c r="BE43" s="420" t="inlineStr">
        <is>
          <t>NI</t>
        </is>
      </c>
      <c r="BF43" s="38" t="n"/>
      <c r="BG43" s="38" t="inlineStr">
        <is>
          <t>NI</t>
        </is>
      </c>
      <c r="BH43" s="38" t="inlineStr">
        <is>
          <t>NI</t>
        </is>
      </c>
      <c r="BI43" s="692" t="inlineStr">
        <is>
          <t>NI</t>
        </is>
      </c>
      <c r="BJ43" s="691" t="inlineStr">
        <is>
          <t>NI</t>
        </is>
      </c>
      <c r="BK43" s="38" t="inlineStr">
        <is>
          <t>NI</t>
        </is>
      </c>
      <c r="BL43" s="685" t="inlineStr">
        <is>
          <t>NI</t>
        </is>
      </c>
      <c r="BM43" s="339" t="inlineStr">
        <is>
          <t>NA</t>
        </is>
      </c>
      <c r="BN43" s="38" t="n"/>
      <c r="BO43" s="38" t="n"/>
      <c r="BP43" s="38" t="n"/>
      <c r="BQ43" s="38" t="n"/>
    </row>
    <row r="44" ht="54" customHeight="1">
      <c r="A44" s="38" t="inlineStr">
        <is>
          <t>SUDESTE</t>
        </is>
      </c>
      <c r="B44" s="38" t="inlineStr">
        <is>
          <t>SP</t>
        </is>
      </c>
      <c r="C44" s="38" t="inlineStr">
        <is>
          <t>BOTUCATU</t>
        </is>
      </c>
      <c r="D44" s="38" t="inlineStr">
        <is>
          <t>FUNDACAO PARA O DESENVOLVIMENTO MEDICO E HOSPITALAR</t>
        </is>
      </c>
      <c r="E44" s="46" t="inlineStr">
        <is>
          <t>46230439000101</t>
        </is>
      </c>
      <c r="F44" s="46" t="n">
        <v>2748223</v>
      </c>
      <c r="G44" s="46" t="inlineStr">
        <is>
          <t>Transferegov/SEI</t>
        </is>
      </c>
      <c r="H44" s="46" t="inlineStr">
        <is>
          <t>Convênio</t>
        </is>
      </c>
      <c r="I44" s="38" t="n">
        <v>925320</v>
      </c>
      <c r="J44" s="46" t="inlineStr">
        <is>
          <t>94623021002</t>
        </is>
      </c>
      <c r="K44" s="46" t="inlineStr">
        <is>
          <t>25000.188707/2021-01</t>
        </is>
      </c>
      <c r="L44" s="38" t="inlineStr">
        <is>
          <t>HOSPITAL</t>
        </is>
      </c>
      <c r="M44" s="38" t="n">
        <v>1</v>
      </c>
      <c r="N44" s="46" t="inlineStr">
        <is>
          <t>2021</t>
        </is>
      </c>
      <c r="O44" s="38" t="n">
        <v>1</v>
      </c>
      <c r="P44" s="38" t="inlineStr">
        <is>
          <t>UND</t>
        </is>
      </c>
      <c r="Q44" s="396" t="inlineStr">
        <is>
          <t>010933-Acelerador Linear de Fótons e Elétrons (dual 10 MV)</t>
        </is>
      </c>
      <c r="R44" s="338" t="inlineStr">
        <is>
          <t>31-dez-21</t>
        </is>
      </c>
      <c r="S44" s="338" t="n">
        <v>46381</v>
      </c>
      <c r="T44" s="338" t="n">
        <v>46441</v>
      </c>
      <c r="U44" s="323" t="inlineStr">
        <is>
          <t>PROGRAMA</t>
        </is>
      </c>
      <c r="V44" s="43" t="n">
        <v>11932160</v>
      </c>
      <c r="W44" s="323" t="n">
        <v>11932160</v>
      </c>
      <c r="X44" s="43" t="n">
        <v>0</v>
      </c>
      <c r="Y44" s="38" t="inlineStr">
        <is>
          <t>HOMOLOGADA E PAGA</t>
        </is>
      </c>
      <c r="Z44" s="338" t="n">
        <v>44740</v>
      </c>
      <c r="AA44" s="475" t="inlineStr">
        <is>
          <t>NÃO</t>
        </is>
      </c>
      <c r="AB44" s="43" t="inlineStr">
        <is>
          <t>ELEKTA SOLUTIONS AB</t>
        </is>
      </c>
      <c r="AC44" s="43" t="inlineStr">
        <is>
          <t>Acelerador Linear Infinity</t>
        </is>
      </c>
      <c r="AD44" s="323" t="inlineStr">
        <is>
          <t>NÃO PAC</t>
        </is>
      </c>
      <c r="AE44" s="38" t="inlineStr">
        <is>
          <t>NA</t>
        </is>
      </c>
      <c r="AF44" s="43" t="inlineStr">
        <is>
          <t>EM EXECUÇÃO</t>
        </is>
      </c>
      <c r="AG44" s="43" t="inlineStr">
        <is>
          <t>Equipamento em aquisição</t>
        </is>
      </c>
      <c r="AH44" s="706">
        <f>IF(AF44="Em execução","Em execução",
IF(AF44="Em licitação","Em licitação / Leilão",
IF(AF44="Concluído","Concluído",)))</f>
        <v/>
      </c>
      <c r="AI44" s="402" t="n">
        <v>0.3</v>
      </c>
      <c r="AJ44" s="38" t="inlineStr">
        <is>
          <t>PRISCILA</t>
        </is>
      </c>
      <c r="AK44" s="38" t="inlineStr">
        <is>
          <t>BRUNA</t>
        </is>
      </c>
      <c r="AL44" s="41" t="inlineStr">
        <is>
          <t>Estratégico</t>
        </is>
      </c>
      <c r="AM44" s="41" t="inlineStr">
        <is>
          <t>Em monitoramento</t>
        </is>
      </c>
      <c r="AN44" s="621" t="inlineStr">
        <is>
          <t>Substituição</t>
        </is>
      </c>
      <c r="AO44" s="46" t="inlineStr">
        <is>
          <t>Tratamento</t>
        </is>
      </c>
      <c r="AP44" s="46" t="n"/>
      <c r="AQ44" s="46" t="n"/>
      <c r="AR44" s="609" t="inlineStr">
        <is>
          <t>Atualizado no SAGA em 08/12/2025. Agendar reunião para fevereiro de 2026</t>
        </is>
      </c>
      <c r="AS44" s="410" t="n"/>
      <c r="AT44" s="474" t="inlineStr">
        <is>
          <t>Fevereiro de 2026</t>
        </is>
      </c>
      <c r="AU44" s="338" t="n"/>
      <c r="AV44" s="338" t="n"/>
      <c r="AW44" s="338" t="n"/>
      <c r="AX44" s="338" t="n"/>
      <c r="AY44" s="338" t="n"/>
      <c r="AZ44" s="338" t="n"/>
      <c r="BA44" s="608" t="n"/>
      <c r="BB44" s="406" t="n"/>
      <c r="BC44" s="406" t="n"/>
      <c r="BD44" s="406" t="n"/>
      <c r="BE44" s="420" t="inlineStr">
        <is>
          <t>NI</t>
        </is>
      </c>
      <c r="BF44" s="38" t="n"/>
      <c r="BG44" s="38" t="inlineStr">
        <is>
          <t>NI</t>
        </is>
      </c>
      <c r="BH44" s="38" t="inlineStr">
        <is>
          <t>NI</t>
        </is>
      </c>
      <c r="BI44" s="692" t="inlineStr">
        <is>
          <t>NI</t>
        </is>
      </c>
      <c r="BJ44" s="691" t="inlineStr">
        <is>
          <t>NI</t>
        </is>
      </c>
      <c r="BK44" s="475" t="inlineStr">
        <is>
          <t>NI</t>
        </is>
      </c>
      <c r="BL44" s="670" t="inlineStr">
        <is>
          <t>NI</t>
        </is>
      </c>
      <c r="BM44" s="339" t="inlineStr">
        <is>
          <t>NA</t>
        </is>
      </c>
      <c r="BN44" s="38" t="n"/>
      <c r="BO44" s="38" t="n"/>
      <c r="BP44" s="38" t="n"/>
      <c r="BQ44" s="38" t="n"/>
    </row>
    <row r="45" ht="35.25" customFormat="1" customHeight="1" s="290">
      <c r="A45" s="38" t="inlineStr">
        <is>
          <t>SUDESTE</t>
        </is>
      </c>
      <c r="B45" s="38" t="inlineStr">
        <is>
          <t>SP</t>
        </is>
      </c>
      <c r="C45" s="38" t="inlineStr">
        <is>
          <t>LIMEIRA</t>
        </is>
      </c>
      <c r="D45" s="38" t="inlineStr">
        <is>
          <t xml:space="preserve"> IRMANDADE DA SANTA CASA DE MISERICORDIA DE LIMEIRA</t>
        </is>
      </c>
      <c r="E45" s="46" t="inlineStr">
        <is>
          <t>51473692000126</t>
        </is>
      </c>
      <c r="F45" s="46" t="n">
        <v>2081458</v>
      </c>
      <c r="G45" s="46" t="inlineStr">
        <is>
          <t>Transferegov/SEI</t>
        </is>
      </c>
      <c r="H45" s="46" t="inlineStr">
        <is>
          <t>Convênio</t>
        </is>
      </c>
      <c r="I45" s="38" t="n">
        <v>904824</v>
      </c>
      <c r="J45" s="46" t="inlineStr">
        <is>
          <t>95147320001</t>
        </is>
      </c>
      <c r="K45" s="46" t="inlineStr">
        <is>
          <t xml:space="preserve">
25000.154737/2020-24</t>
        </is>
      </c>
      <c r="L45" s="38" t="inlineStr">
        <is>
          <t>HOSPITAL GERAL E ESPECIALIZADO</t>
        </is>
      </c>
      <c r="M45" s="38" t="n">
        <v>1</v>
      </c>
      <c r="N45" s="46" t="inlineStr">
        <is>
          <t>2020</t>
        </is>
      </c>
      <c r="O45" s="38" t="n">
        <v>1</v>
      </c>
      <c r="P45" s="38" t="inlineStr">
        <is>
          <t>UND</t>
        </is>
      </c>
      <c r="Q45" s="396" t="inlineStr">
        <is>
          <t>010933-Acelerador Linear de Fótons e Elétrons (dual 10 MV)</t>
        </is>
      </c>
      <c r="R45" s="338" t="n">
        <v>44188</v>
      </c>
      <c r="S45" s="338" t="n">
        <v>45951</v>
      </c>
      <c r="T45" s="338" t="n">
        <v>46011</v>
      </c>
      <c r="U45" s="607" t="inlineStr">
        <is>
          <t>EMENDA</t>
        </is>
      </c>
      <c r="V45" s="43" t="n">
        <v>340</v>
      </c>
      <c r="W45" s="42" t="n">
        <v>3219262.63</v>
      </c>
      <c r="X45" s="43" t="n">
        <v>5182888</v>
      </c>
      <c r="Y45" s="38" t="inlineStr">
        <is>
          <t>HOMOLOGADA E PAGA</t>
        </is>
      </c>
      <c r="Z45" s="700" t="n">
        <v>45226</v>
      </c>
      <c r="AA45" s="43" t="inlineStr">
        <is>
          <t>sim</t>
        </is>
      </c>
      <c r="AB45" s="43" t="inlineStr">
        <is>
          <t>ELEKTA SOLUTIONS AB</t>
        </is>
      </c>
      <c r="AC45" s="43" t="inlineStr">
        <is>
          <t>Acelerador Linear Infinity</t>
        </is>
      </c>
      <c r="AD45" s="42" t="inlineStr">
        <is>
          <t>NÃO PAC</t>
        </is>
      </c>
      <c r="AE45" s="38" t="inlineStr">
        <is>
          <t>NA</t>
        </is>
      </c>
      <c r="AF45" s="43" t="inlineStr">
        <is>
          <t>PRESTAÇÃO DE CONTAS ENVIADA PARA ANÁLISE</t>
        </is>
      </c>
      <c r="AG45" s="43" t="inlineStr">
        <is>
          <t>Concluído</t>
        </is>
      </c>
      <c r="AH45" s="706">
        <f>IF(AF45="Em execução","Em execução",
IF(AF45="Em licitação","Em licitação / Leilão",
IF(AF45="Concluído","Concluído",)))</f>
        <v/>
      </c>
      <c r="AI45" s="428" t="n">
        <v>1</v>
      </c>
      <c r="AJ45" s="41" t="inlineStr">
        <is>
          <t>SAMUEL</t>
        </is>
      </c>
      <c r="AK45" s="41" t="inlineStr">
        <is>
          <t>PRISCILA</t>
        </is>
      </c>
      <c r="AL45" s="710" t="inlineStr">
        <is>
          <t>ESTRATÉGICO</t>
        </is>
      </c>
      <c r="AM45" s="706" t="inlineStr">
        <is>
          <t>Concluído</t>
        </is>
      </c>
      <c r="AN45" s="621" t="inlineStr">
        <is>
          <t>Substituição</t>
        </is>
      </c>
      <c r="AO45" s="46" t="inlineStr">
        <is>
          <t>Tratamento</t>
        </is>
      </c>
      <c r="AP45" s="46" t="n"/>
      <c r="AQ45" s="46" t="n"/>
      <c r="AR45" s="668" t="inlineStr">
        <is>
          <t>Licença emitida em 06/08/2025</t>
        </is>
      </c>
      <c r="AS45" s="43" t="inlineStr">
        <is>
          <t>NI</t>
        </is>
      </c>
      <c r="AT45" s="43" t="inlineStr">
        <is>
          <t>NI</t>
        </is>
      </c>
      <c r="AU45" s="700" t="n"/>
      <c r="AV45" s="700" t="n"/>
      <c r="AW45" s="700" t="n"/>
      <c r="AX45" s="700" t="n"/>
      <c r="AY45" s="700" t="n"/>
      <c r="AZ45" s="700" t="n"/>
      <c r="BA45" s="606" t="n"/>
      <c r="BB45" s="605" t="n"/>
      <c r="BC45" s="604" t="n"/>
      <c r="BD45" s="605" t="n"/>
      <c r="BE45" s="394" t="n">
        <v>45962</v>
      </c>
      <c r="BF45" s="38" t="n">
        <v>13357</v>
      </c>
      <c r="BG45" s="698" t="inlineStr">
        <is>
          <t>2025SCRA167</t>
        </is>
      </c>
      <c r="BH45" s="698" t="inlineStr">
        <is>
          <t>Deferido</t>
        </is>
      </c>
      <c r="BI45" s="698" t="inlineStr">
        <is>
          <t>Deferido</t>
        </is>
      </c>
      <c r="BJ45" s="697" t="inlineStr">
        <is>
          <t>Deferido</t>
        </is>
      </c>
      <c r="BK45" s="698" t="inlineStr">
        <is>
          <t>Deferido</t>
        </is>
      </c>
      <c r="BL45" s="603" t="inlineStr">
        <is>
          <t>Deferido</t>
        </is>
      </c>
      <c r="BM45" s="602" t="inlineStr">
        <is>
          <t>NA</t>
        </is>
      </c>
      <c r="BN45" s="601" t="n"/>
      <c r="BO45" s="601" t="n"/>
      <c r="BP45" s="601" t="n"/>
      <c r="BQ45" s="601" t="n"/>
    </row>
    <row r="46" ht="51.75" customHeight="1">
      <c r="A46" s="38" t="inlineStr">
        <is>
          <t>NORDESTE</t>
        </is>
      </c>
      <c r="B46" s="38" t="inlineStr">
        <is>
          <t>PE</t>
        </is>
      </c>
      <c r="C46" s="38" t="inlineStr">
        <is>
          <t>RECIFE</t>
        </is>
      </c>
      <c r="D46" s="38" t="inlineStr">
        <is>
          <t>SOCIEDADE PERNAMBUCANA DE COMBATE AO CANCER</t>
        </is>
      </c>
      <c r="E46" s="395" t="inlineStr">
        <is>
          <t>10894988000133</t>
        </is>
      </c>
      <c r="F46" s="395" t="inlineStr">
        <is>
          <t>0000582</t>
        </is>
      </c>
      <c r="G46" s="46" t="inlineStr">
        <is>
          <t>Transferegov/SEI</t>
        </is>
      </c>
      <c r="H46" s="46" t="inlineStr">
        <is>
          <t>Convênio</t>
        </is>
      </c>
      <c r="I46" s="38" t="n">
        <v>985655</v>
      </c>
      <c r="J46" s="46" t="inlineStr">
        <is>
          <t>91089425004</t>
        </is>
      </c>
      <c r="K46" s="46" t="inlineStr">
        <is>
          <t>25000.198462/2025-45</t>
        </is>
      </c>
      <c r="L46" s="38" t="inlineStr">
        <is>
          <t>HOSPITAL HABILITADO NA ALTA COMPLEXIDADE EM ONCOLOGIA</t>
        </is>
      </c>
      <c r="M46" s="38" t="n">
        <v>1</v>
      </c>
      <c r="N46" s="46" t="inlineStr">
        <is>
          <t>2025</t>
        </is>
      </c>
      <c r="O46" s="38" t="n">
        <v>1</v>
      </c>
      <c r="P46" s="38" t="inlineStr">
        <is>
          <t>UND</t>
        </is>
      </c>
      <c r="Q46" s="396" t="inlineStr">
        <is>
          <t>011806-Acelerador Linear (Básico - Intermediário)</t>
        </is>
      </c>
      <c r="R46" s="338" t="n">
        <v>46009</v>
      </c>
      <c r="S46" s="338" t="n">
        <v>46549</v>
      </c>
      <c r="T46" s="338" t="n">
        <v>46609</v>
      </c>
      <c r="U46" s="607" t="inlineStr">
        <is>
          <t>EMENDA</t>
        </is>
      </c>
      <c r="V46" s="43" t="n">
        <v>9611760</v>
      </c>
      <c r="W46" s="42" t="n">
        <v>0</v>
      </c>
      <c r="X46" s="43" t="n">
        <v>364352</v>
      </c>
      <c r="Y46" s="43" t="inlineStr">
        <is>
          <t>NI</t>
        </is>
      </c>
      <c r="Z46" s="338" t="inlineStr">
        <is>
          <t>NA</t>
        </is>
      </c>
      <c r="AA46" s="38" t="n"/>
      <c r="AB46" s="43" t="inlineStr">
        <is>
          <t>NI</t>
        </is>
      </c>
      <c r="AC46" s="43" t="inlineStr">
        <is>
          <t>NI</t>
        </is>
      </c>
      <c r="AD46" s="607" t="inlineStr">
        <is>
          <t>NÃO PAC</t>
        </is>
      </c>
      <c r="AE46" s="38" t="inlineStr">
        <is>
          <t>NA</t>
        </is>
      </c>
      <c r="AF46" s="43" t="inlineStr">
        <is>
          <t>EM EXECUÇÃO</t>
        </is>
      </c>
      <c r="AG46" s="43" t="inlineStr">
        <is>
          <t>Não iniciado</t>
        </is>
      </c>
      <c r="AH46" s="706" t="inlineStr">
        <is>
          <t>Em ação preparatória</t>
        </is>
      </c>
      <c r="AI46" s="69" t="n">
        <v>0</v>
      </c>
      <c r="AJ46" s="426" t="inlineStr">
        <is>
          <t>PRISCILA</t>
        </is>
      </c>
      <c r="AK46" s="38" t="inlineStr">
        <is>
          <t>LAYANE</t>
        </is>
      </c>
      <c r="AL46" s="41" t="inlineStr">
        <is>
          <t>Estratégico</t>
        </is>
      </c>
      <c r="AM46" s="41" t="inlineStr">
        <is>
          <t>Em monitoramento</t>
        </is>
      </c>
      <c r="AN46" s="621" t="inlineStr">
        <is>
          <t>Ampliação</t>
        </is>
      </c>
      <c r="AO46" s="46" t="inlineStr">
        <is>
          <t>Tratamento</t>
        </is>
      </c>
      <c r="AP46" s="46" t="n"/>
      <c r="AQ46" s="46" t="n"/>
      <c r="AR46" s="406" t="inlineStr">
        <is>
          <t>Licitação não iniciada, solicitaram 60 dias de dilação de prazo para iniciar a execução. Prazo de resposta no transferegov (05/03/2026)</t>
        </is>
      </c>
      <c r="AS46" s="600" t="inlineStr">
        <is>
          <t>INÍCIO DE MONITORAMENTO</t>
        </is>
      </c>
      <c r="AT46" s="599" t="inlineStr">
        <is>
          <t>AGENDAR PARA JUNHO</t>
        </is>
      </c>
      <c r="AU46" s="338" t="n"/>
      <c r="AV46" s="338" t="n"/>
      <c r="AW46" s="338" t="n"/>
      <c r="AX46" s="338" t="n"/>
      <c r="AY46" s="338" t="n"/>
      <c r="AZ46" s="338" t="n"/>
      <c r="BA46" s="618" t="n"/>
      <c r="BB46" s="650" t="n"/>
      <c r="BC46" s="598" t="n"/>
      <c r="BD46" s="650" t="n"/>
      <c r="BE46" s="692" t="inlineStr">
        <is>
          <t>NI</t>
        </is>
      </c>
      <c r="BF46" s="38" t="n"/>
      <c r="BG46" s="424" t="n"/>
      <c r="BH46" s="424" t="n"/>
      <c r="BI46" s="424" t="n"/>
      <c r="BJ46" s="634" t="n"/>
      <c r="BK46" s="427" t="n"/>
      <c r="BL46" s="703" t="n"/>
      <c r="BM46" s="602" t="inlineStr">
        <is>
          <t>NA</t>
        </is>
      </c>
      <c r="BN46" s="38" t="n"/>
      <c r="BO46" s="38" t="n"/>
      <c r="BP46" s="38" t="n"/>
      <c r="BQ46" s="38" t="n"/>
    </row>
    <row r="47" ht="73.5" customHeight="1">
      <c r="A47" s="334" t="inlineStr">
        <is>
          <t>NORTE</t>
        </is>
      </c>
      <c r="B47" s="334" t="inlineStr">
        <is>
          <t>PA</t>
        </is>
      </c>
      <c r="C47" s="334" t="inlineStr">
        <is>
          <t>SANTAREM</t>
        </is>
      </c>
      <c r="D47" s="334" t="inlineStr">
        <is>
          <t>HOSPITAL REGIONAL DO BAIXO AMAZONAS DO PA DR WALDEMAR PENNA (HRBA)</t>
        </is>
      </c>
      <c r="E47" s="597" t="n"/>
      <c r="F47" s="597" t="inlineStr">
        <is>
          <t>5585422</t>
        </is>
      </c>
      <c r="G47" s="367" t="inlineStr">
        <is>
          <t>Transferegov/SEI</t>
        </is>
      </c>
      <c r="H47" s="367" t="inlineStr">
        <is>
          <t>FAF</t>
        </is>
      </c>
      <c r="I47" s="596" t="inlineStr">
        <is>
          <t>25000.087503/2026-50</t>
        </is>
      </c>
      <c r="J47" s="367" t="inlineStr">
        <is>
          <t>83369835000125007</t>
        </is>
      </c>
      <c r="K47" s="596" t="inlineStr">
        <is>
          <t>25000.087503/2026-50</t>
        </is>
      </c>
      <c r="L47" s="334" t="inlineStr">
        <is>
          <t>Política Nacional de Prevenção e Controle do Câncer - Hospital habilitado na Alta Complexidade em Oncologia</t>
        </is>
      </c>
      <c r="M47" s="334" t="n">
        <v>1</v>
      </c>
      <c r="N47" s="367" t="inlineStr">
        <is>
          <t>2026</t>
        </is>
      </c>
      <c r="O47" s="334" t="n">
        <v>1</v>
      </c>
      <c r="P47" s="334" t="inlineStr">
        <is>
          <t>UND</t>
        </is>
      </c>
      <c r="Q47" s="595" t="inlineStr">
        <is>
          <t xml:space="preserve">010547-Braquiterapia com Sistema de Controle Remoto </t>
        </is>
      </c>
      <c r="R47" s="594" t="n">
        <v>46056</v>
      </c>
      <c r="S47" s="594" t="n">
        <v>46786</v>
      </c>
      <c r="T47" s="594" t="n">
        <v>46786</v>
      </c>
      <c r="U47" s="593" t="n"/>
      <c r="V47" s="592" t="inlineStr">
        <is>
          <t>R$ 1.990.263,00</t>
        </is>
      </c>
      <c r="W47" s="592" t="inlineStr">
        <is>
          <t>R$ 1.990.263,00</t>
        </is>
      </c>
      <c r="X47" s="592" t="n">
        <v>0</v>
      </c>
      <c r="Y47" s="592" t="inlineStr">
        <is>
          <t>HOMOLOGADA E PAGA</t>
        </is>
      </c>
      <c r="Z47" s="594" t="n">
        <v>46083</v>
      </c>
      <c r="AA47" s="334" t="inlineStr">
        <is>
          <t>NI</t>
        </is>
      </c>
      <c r="AB47" s="592" t="inlineStr">
        <is>
          <t>NI</t>
        </is>
      </c>
      <c r="AC47" s="592" t="inlineStr">
        <is>
          <t>NI</t>
        </is>
      </c>
      <c r="AD47" s="593" t="n"/>
      <c r="AE47" s="334" t="inlineStr">
        <is>
          <t>NA</t>
        </is>
      </c>
      <c r="AF47" s="592" t="n"/>
      <c r="AG47" s="591" t="n"/>
      <c r="AH47" s="590" t="n"/>
      <c r="AI47" s="368" t="n"/>
      <c r="AJ47" s="589" t="inlineStr">
        <is>
          <t>Leonardo Barsante</t>
        </is>
      </c>
      <c r="AK47" s="95" t="inlineStr">
        <is>
          <t>BRUNA</t>
        </is>
      </c>
      <c r="AL47" s="95" t="inlineStr">
        <is>
          <t>Tático</t>
        </is>
      </c>
      <c r="AM47" s="588" t="inlineStr">
        <is>
          <t>Em monitoramento</t>
        </is>
      </c>
      <c r="AN47" s="587" t="inlineStr">
        <is>
          <t>Substituição</t>
        </is>
      </c>
      <c r="AO47" s="95" t="inlineStr">
        <is>
          <t>Tratamento</t>
        </is>
      </c>
      <c r="AP47" s="380" t="n"/>
      <c r="AQ47" s="380" t="n"/>
      <c r="AR47" s="334" t="inlineStr">
        <is>
          <t>Instituição em processo interno de preparação de licitação. (01/07/2026)</t>
        </is>
      </c>
      <c r="AS47" s="334" t="n"/>
      <c r="AT47" s="586" t="n"/>
      <c r="AU47" s="594" t="n"/>
      <c r="AV47" s="594" t="n"/>
      <c r="AW47" s="594" t="n"/>
      <c r="AX47" s="594" t="n"/>
      <c r="AY47" s="594" t="n"/>
      <c r="AZ47" s="594" t="n"/>
      <c r="BA47" s="585" t="n"/>
      <c r="BB47" s="334" t="n"/>
      <c r="BC47" s="584" t="n"/>
      <c r="BD47" s="334" t="n"/>
      <c r="BE47" s="586" t="inlineStr">
        <is>
          <t>NI</t>
        </is>
      </c>
      <c r="BF47" s="334" t="n"/>
      <c r="BG47" s="583" t="n"/>
      <c r="BH47" s="583" t="n"/>
      <c r="BI47" s="583" t="n"/>
      <c r="BJ47" s="582" t="n"/>
      <c r="BK47" s="369" t="n"/>
      <c r="BL47" s="581" t="n"/>
      <c r="BM47" s="580" t="n"/>
    </row>
    <row r="48" ht="50.25" customHeight="1">
      <c r="A48" s="334" t="inlineStr">
        <is>
          <t>SUDESTE</t>
        </is>
      </c>
      <c r="B48" s="334" t="inlineStr">
        <is>
          <t>SP</t>
        </is>
      </c>
      <c r="C48" s="334" t="inlineStr">
        <is>
          <t>SAO PAULO</t>
        </is>
      </c>
      <c r="D48" s="334" t="inlineStr">
        <is>
          <t>CASA DE SAUDE SANTA MARCELINA</t>
        </is>
      </c>
      <c r="E48" s="367" t="inlineStr">
        <is>
          <t>60742616000160</t>
        </is>
      </c>
      <c r="F48" s="367" t="inlineStr">
        <is>
          <t>2077477</t>
        </is>
      </c>
      <c r="G48" s="367" t="inlineStr">
        <is>
          <t>Transferegov/SEI</t>
        </is>
      </c>
      <c r="H48" s="367" t="inlineStr">
        <is>
          <t>Convênio</t>
        </is>
      </c>
      <c r="I48" s="334" t="n">
        <v>949415</v>
      </c>
      <c r="J48" s="367" t="inlineStr">
        <is>
          <t>96074223008</t>
        </is>
      </c>
      <c r="K48" s="367" t="inlineStr">
        <is>
          <t>25000.166959/2023-32</t>
        </is>
      </c>
      <c r="L48" s="334" t="inlineStr">
        <is>
          <t>CENTRO DE ALTA COMPLEXIDADE EM ONCOLOGIA</t>
        </is>
      </c>
      <c r="M48" s="334" t="n">
        <v>4</v>
      </c>
      <c r="N48" s="367" t="inlineStr">
        <is>
          <t>2023</t>
        </is>
      </c>
      <c r="O48" s="334" t="inlineStr">
        <is>
          <t>NA</t>
        </is>
      </c>
      <c r="P48" s="334" t="inlineStr">
        <is>
          <t>UND</t>
        </is>
      </c>
      <c r="Q48" s="595" t="inlineStr">
        <is>
          <t xml:space="preserve">	NA</t>
        </is>
      </c>
      <c r="R48" s="594" t="n">
        <v>45279</v>
      </c>
      <c r="S48" s="579" t="n">
        <v>46147</v>
      </c>
      <c r="T48" s="579" t="n">
        <v>46207</v>
      </c>
      <c r="U48" s="578" t="inlineStr">
        <is>
          <t>PROGRAMA</t>
        </is>
      </c>
      <c r="V48" s="592" t="n">
        <v>10788018</v>
      </c>
      <c r="W48" s="578" t="inlineStr">
        <is>
          <t>R$ 10.601.500,00</t>
        </is>
      </c>
      <c r="X48" s="592" t="n">
        <v>83482</v>
      </c>
      <c r="Y48" s="592" t="inlineStr">
        <is>
          <t>HOMOLOGADA E PAGA</t>
        </is>
      </c>
      <c r="Z48" s="594" t="n">
        <v>45607</v>
      </c>
      <c r="AA48" s="577" t="inlineStr">
        <is>
          <t>SIM</t>
        </is>
      </c>
      <c r="AB48" s="592" t="inlineStr">
        <is>
          <t>NA</t>
        </is>
      </c>
      <c r="AC48" s="592" t="inlineStr">
        <is>
          <t>NA</t>
        </is>
      </c>
      <c r="AD48" s="578" t="inlineStr">
        <is>
          <t>PAC</t>
        </is>
      </c>
      <c r="AE48" s="576" t="n">
        <v>80140</v>
      </c>
      <c r="AF48" s="575" t="inlineStr">
        <is>
          <t>EM EXECUÇÃO</t>
        </is>
      </c>
      <c r="AG48" s="592" t="inlineStr">
        <is>
          <t>Em andamento</t>
        </is>
      </c>
      <c r="AH48" s="592">
        <f>IF(AF48="Em execução","Em execução",
IF(AF48="Em licitação","Em licitação / Leilão",
IF(AF48="Concluído","Concluído",)))</f>
        <v/>
      </c>
      <c r="AI48" s="382" t="n">
        <v>0.8</v>
      </c>
      <c r="AJ48" s="588" t="inlineStr">
        <is>
          <t>BRUNA</t>
        </is>
      </c>
      <c r="AK48" s="588" t="inlineStr">
        <is>
          <t>LAYANE</t>
        </is>
      </c>
      <c r="AL48" s="588" t="n"/>
      <c r="AM48" s="588" t="inlineStr">
        <is>
          <t>Em monitoramento</t>
        </is>
      </c>
      <c r="AN48" s="334" t="inlineStr">
        <is>
          <t>Substituição</t>
        </is>
      </c>
      <c r="AO48" s="367" t="inlineStr">
        <is>
          <t>Multiplas</t>
        </is>
      </c>
      <c r="AP48" s="367" t="n"/>
      <c r="AQ48" s="367" t="n"/>
      <c r="AR48" s="574" t="inlineStr">
        <is>
          <t xml:space="preserve">Em relação à braqui encontra-se no final da instalação, solicitado também uma data prevista para finalização. A hemodinâmica já esta em funcionamento, considerando que já possui Licença para Atendimento emitida e válida. Câmara, o equipamento encontra-se instalado, solicitei a autorização. </t>
        </is>
      </c>
      <c r="AS48" s="573" t="n"/>
      <c r="AT48" s="573" t="n"/>
      <c r="AU48" s="594" t="n"/>
      <c r="AV48" s="594" t="n"/>
      <c r="AW48" s="594" t="n"/>
      <c r="AX48" s="594" t="n"/>
      <c r="AY48" s="594" t="n"/>
      <c r="AZ48" s="594" t="n"/>
      <c r="BA48" s="574" t="n"/>
      <c r="BB48" s="572" t="n"/>
      <c r="BC48" s="572" t="n"/>
      <c r="BD48" s="572" t="n"/>
      <c r="BE48" s="571" t="inlineStr">
        <is>
          <t>31/07/2026</t>
        </is>
      </c>
      <c r="BF48" s="334" t="n">
        <v>13268</v>
      </c>
      <c r="BG48" s="583" t="inlineStr">
        <is>
          <t>2025SCRA0431</t>
        </is>
      </c>
      <c r="BH48" s="583" t="inlineStr">
        <is>
          <t>Deferido (da fonte braqui)</t>
        </is>
      </c>
      <c r="BI48" s="334" t="inlineStr">
        <is>
          <t>NI</t>
        </is>
      </c>
      <c r="BJ48" s="334" t="inlineStr">
        <is>
          <t>NI</t>
        </is>
      </c>
      <c r="BK48" s="570" t="inlineStr">
        <is>
          <t>NI</t>
        </is>
      </c>
      <c r="BL48" s="334" t="inlineStr">
        <is>
          <t>NI</t>
        </is>
      </c>
      <c r="BM48" s="578" t="inlineStr">
        <is>
          <t>NA</t>
        </is>
      </c>
    </row>
    <row r="49" ht="74.25" customHeight="1">
      <c r="A49" s="132" t="inlineStr">
        <is>
          <t>SUDESTE</t>
        </is>
      </c>
      <c r="B49" s="132" t="inlineStr">
        <is>
          <t>SP</t>
        </is>
      </c>
      <c r="C49" s="132" t="inlineStr">
        <is>
          <t>SAO PAULO</t>
        </is>
      </c>
      <c r="D49" s="132" t="inlineStr">
        <is>
          <t>CASA DE SAUDE SANTA MARCELINA</t>
        </is>
      </c>
      <c r="E49" s="341" t="inlineStr">
        <is>
          <t>60742616000160</t>
        </is>
      </c>
      <c r="F49" s="341" t="inlineStr">
        <is>
          <t>2077477</t>
        </is>
      </c>
      <c r="G49" s="341" t="inlineStr">
        <is>
          <t>Transferegov/SEI</t>
        </is>
      </c>
      <c r="H49" s="341" t="inlineStr">
        <is>
          <t>Convênio</t>
        </is>
      </c>
      <c r="I49" s="132" t="n">
        <v>949415</v>
      </c>
      <c r="J49" s="341" t="inlineStr">
        <is>
          <t>96074223008</t>
        </is>
      </c>
      <c r="K49" s="341" t="inlineStr">
        <is>
          <t>25000.166959/2023-32</t>
        </is>
      </c>
      <c r="L49" s="132" t="inlineStr">
        <is>
          <t>CENTRO DE ALTA COMPLEXIDADE EM ONCOLOGIA</t>
        </is>
      </c>
      <c r="M49" s="132" t="inlineStr">
        <is>
          <t>NA</t>
        </is>
      </c>
      <c r="N49" s="341" t="inlineStr">
        <is>
          <t>2023</t>
        </is>
      </c>
      <c r="O49" s="132" t="n">
        <v>1</v>
      </c>
      <c r="P49" s="132" t="inlineStr">
        <is>
          <t>UND</t>
        </is>
      </c>
      <c r="Q49" s="569" t="inlineStr">
        <is>
          <t xml:space="preserve">010547-Braquiterapia com Sistema de Controle Remoto </t>
        </is>
      </c>
      <c r="R49" s="154" t="n">
        <v>45279</v>
      </c>
      <c r="S49" s="568" t="n">
        <v>46147</v>
      </c>
      <c r="T49" s="568" t="n">
        <v>46119</v>
      </c>
      <c r="U49" s="154" t="inlineStr">
        <is>
          <t>NA</t>
        </is>
      </c>
      <c r="V49" s="567" t="n">
        <v>10788018</v>
      </c>
      <c r="W49" s="154" t="inlineStr">
        <is>
          <t>NA</t>
        </is>
      </c>
      <c r="X49" s="567" t="inlineStr">
        <is>
          <t>NA</t>
        </is>
      </c>
      <c r="Y49" s="567" t="inlineStr">
        <is>
          <t>HOMOLOGADA E PAGA</t>
        </is>
      </c>
      <c r="Z49" s="154" t="inlineStr">
        <is>
          <t>NA</t>
        </is>
      </c>
      <c r="AA49" s="567" t="n"/>
      <c r="AB49" s="567" t="inlineStr">
        <is>
          <t>VARIAN MEDICAL SYSTEMS INC</t>
        </is>
      </c>
      <c r="AC49" s="567" t="inlineStr">
        <is>
          <t>VARIAN/ GAMMAMED PLUS IX E SISTEMA DE PLANEJAMENTO BRACHYVISION</t>
        </is>
      </c>
      <c r="AD49" s="154" t="inlineStr">
        <is>
          <t>NA</t>
        </is>
      </c>
      <c r="AE49" s="566" t="n">
        <v>80140</v>
      </c>
      <c r="AF49" s="565" t="inlineStr">
        <is>
          <t>EM EXECUÇÃO</t>
        </is>
      </c>
      <c r="AG49" s="381" t="inlineStr">
        <is>
          <t>Em andamento</t>
        </is>
      </c>
      <c r="AH49" s="381">
        <f>Instrucional!D72</f>
        <v/>
      </c>
      <c r="AI49" s="383" t="n">
        <v>0.8</v>
      </c>
      <c r="AJ49" s="564" t="inlineStr">
        <is>
          <t>BRUNA</t>
        </is>
      </c>
      <c r="AK49" s="564" t="inlineStr">
        <is>
          <t>LAYANE</t>
        </is>
      </c>
      <c r="AL49" s="564" t="n"/>
      <c r="AM49" s="564" t="inlineStr">
        <is>
          <t>Em monitoramento</t>
        </is>
      </c>
      <c r="AN49" s="132" t="inlineStr">
        <is>
          <t>Substituição</t>
        </is>
      </c>
      <c r="AO49" s="341" t="inlineStr">
        <is>
          <t>Tratamento</t>
        </is>
      </c>
      <c r="AP49" s="341" t="n"/>
      <c r="AQ49" s="341" t="n"/>
      <c r="AR49" s="563" t="n"/>
      <c r="AS49" s="563" t="n"/>
      <c r="AT49" s="563" t="n"/>
      <c r="AU49" s="154" t="n">
        <v>45999</v>
      </c>
      <c r="AV49" s="154" t="n">
        <v>45989</v>
      </c>
      <c r="AW49" s="154" t="n">
        <v>46143</v>
      </c>
      <c r="AX49" s="154" t="n">
        <v>46174</v>
      </c>
      <c r="AY49" s="154" t="n">
        <v>46038</v>
      </c>
      <c r="AZ49" s="154" t="n"/>
      <c r="BA49" s="562" t="n"/>
      <c r="BB49" s="562" t="n"/>
      <c r="BC49" s="562" t="n"/>
      <c r="BD49" s="562" t="n"/>
      <c r="BE49" s="561" t="inlineStr">
        <is>
          <t>31/07/2026</t>
        </is>
      </c>
      <c r="BF49" s="132" t="n">
        <v>13268</v>
      </c>
      <c r="BG49" s="132" t="inlineStr">
        <is>
          <t>NI</t>
        </is>
      </c>
      <c r="BH49" s="132" t="inlineStr">
        <is>
          <t>NI</t>
        </is>
      </c>
      <c r="BI49" s="132" t="inlineStr">
        <is>
          <t>NI</t>
        </is>
      </c>
      <c r="BJ49" s="132" t="inlineStr">
        <is>
          <t>NI</t>
        </is>
      </c>
      <c r="BK49" s="132" t="inlineStr">
        <is>
          <t>NI</t>
        </is>
      </c>
      <c r="BL49" s="560" t="inlineStr">
        <is>
          <t>NI</t>
        </is>
      </c>
      <c r="BM49" s="154" t="inlineStr">
        <is>
          <t>NA</t>
        </is>
      </c>
    </row>
    <row r="50" ht="60.75" customHeight="1">
      <c r="A50" s="132" t="inlineStr">
        <is>
          <t>SUDESTE</t>
        </is>
      </c>
      <c r="B50" s="132" t="inlineStr">
        <is>
          <t>SP</t>
        </is>
      </c>
      <c r="C50" s="132" t="inlineStr">
        <is>
          <t>SAO PAULO</t>
        </is>
      </c>
      <c r="D50" s="132" t="inlineStr">
        <is>
          <t>CASA DE SAUDE SANTA MARCELINA</t>
        </is>
      </c>
      <c r="E50" s="341" t="inlineStr">
        <is>
          <t>60742616000160</t>
        </is>
      </c>
      <c r="F50" s="341" t="inlineStr">
        <is>
          <t>2077477</t>
        </is>
      </c>
      <c r="G50" s="341" t="inlineStr">
        <is>
          <t>Transferegov/SEI</t>
        </is>
      </c>
      <c r="H50" s="341" t="inlineStr">
        <is>
          <t>Convênio</t>
        </is>
      </c>
      <c r="I50" s="132" t="n">
        <v>949415</v>
      </c>
      <c r="J50" s="341" t="n">
        <v>96074223008</v>
      </c>
      <c r="K50" s="341" t="inlineStr">
        <is>
          <t>25000.166959/2023-32</t>
        </is>
      </c>
      <c r="L50" s="132" t="inlineStr">
        <is>
          <t>CENTRO DE ALTA COMPLEXIDADE EM ONCOLOGIA</t>
        </is>
      </c>
      <c r="M50" s="132" t="inlineStr">
        <is>
          <t>NA</t>
        </is>
      </c>
      <c r="N50" s="341" t="inlineStr">
        <is>
          <t>2023</t>
        </is>
      </c>
      <c r="O50" s="132" t="n">
        <v>1</v>
      </c>
      <c r="P50" s="132" t="inlineStr">
        <is>
          <t>UND</t>
        </is>
      </c>
      <c r="Q50" s="569" t="inlineStr">
        <is>
          <t xml:space="preserve">	000595-Câmara Cintilográfica (Gama Câmara)</t>
        </is>
      </c>
      <c r="R50" s="154" t="n">
        <v>45279</v>
      </c>
      <c r="S50" s="568" t="n">
        <v>46147</v>
      </c>
      <c r="T50" s="568" t="n">
        <v>46119</v>
      </c>
      <c r="U50" s="154" t="inlineStr">
        <is>
          <t>NA</t>
        </is>
      </c>
      <c r="V50" s="567" t="n">
        <v>10788018</v>
      </c>
      <c r="W50" s="154" t="inlineStr">
        <is>
          <t>NA</t>
        </is>
      </c>
      <c r="X50" s="567" t="inlineStr">
        <is>
          <t>NA</t>
        </is>
      </c>
      <c r="Y50" s="567" t="inlineStr">
        <is>
          <t>HOMOLOGADA E PAGA</t>
        </is>
      </c>
      <c r="Z50" s="154" t="inlineStr">
        <is>
          <t>NA</t>
        </is>
      </c>
      <c r="AA50" s="567" t="n"/>
      <c r="AB50" s="567" t="inlineStr">
        <is>
          <t>SIEMENS HEALTHCASE DIAGNOSTICOS LTDA</t>
        </is>
      </c>
      <c r="AC50" s="567" t="inlineStr">
        <is>
          <t>SIEMENS/ SYMBIA EVO EXCEL</t>
        </is>
      </c>
      <c r="AD50" s="154" t="inlineStr">
        <is>
          <t>NA</t>
        </is>
      </c>
      <c r="AE50" s="566" t="n">
        <v>80140</v>
      </c>
      <c r="AF50" s="559" t="inlineStr">
        <is>
          <t>EM EXECUÇÃO</t>
        </is>
      </c>
      <c r="AG50" s="558" t="inlineStr">
        <is>
          <t>Concluído</t>
        </is>
      </c>
      <c r="AH50" s="78">
        <f>IF(AF50="Em execução","Em execução",
IF(AF50="Em licitação","Em licitação / Leilão",
IF(AF50="Concluído","Concluído",)))</f>
        <v/>
      </c>
      <c r="AI50" s="429" t="n">
        <v>1</v>
      </c>
      <c r="AJ50" s="321" t="inlineStr">
        <is>
          <t xml:space="preserve">SAMUEL </t>
        </is>
      </c>
      <c r="AK50" s="321" t="inlineStr">
        <is>
          <t>PRISCILA</t>
        </is>
      </c>
      <c r="AL50" s="710" t="inlineStr">
        <is>
          <t>ESTRATÉGICO</t>
        </is>
      </c>
      <c r="AM50" s="320" t="inlineStr">
        <is>
          <t>Concluído</t>
        </is>
      </c>
      <c r="AN50" s="132" t="inlineStr">
        <is>
          <t>Substituição</t>
        </is>
      </c>
      <c r="AO50" s="341" t="inlineStr">
        <is>
          <t>Diagnóstico</t>
        </is>
      </c>
      <c r="AP50" s="341" t="n"/>
      <c r="AQ50" s="341" t="n"/>
      <c r="AR50" s="563" t="n"/>
      <c r="AS50" s="563" t="n"/>
      <c r="AT50" s="563" t="n"/>
      <c r="AU50" s="154" t="n"/>
      <c r="AV50" s="154" t="n"/>
      <c r="AW50" s="154" t="n">
        <v>45948</v>
      </c>
      <c r="AX50" s="154" t="n">
        <v>45948</v>
      </c>
      <c r="AY50" s="154" t="n"/>
      <c r="AZ50" s="154" t="n"/>
      <c r="BA50" s="562" t="n"/>
      <c r="BB50" s="562" t="n"/>
      <c r="BC50" s="562" t="n"/>
      <c r="BD50" s="562" t="n"/>
      <c r="BE50" s="561" t="n">
        <v>45669</v>
      </c>
      <c r="BF50" s="132" t="n">
        <v>13268</v>
      </c>
      <c r="BG50" s="132" t="inlineStr">
        <is>
          <t>NI</t>
        </is>
      </c>
      <c r="BH50" s="132" t="inlineStr">
        <is>
          <t>NI</t>
        </is>
      </c>
      <c r="BI50" s="132" t="inlineStr">
        <is>
          <t>NI</t>
        </is>
      </c>
      <c r="BJ50" s="132" t="inlineStr">
        <is>
          <t>NI</t>
        </is>
      </c>
      <c r="BK50" s="132" t="inlineStr">
        <is>
          <t>NI</t>
        </is>
      </c>
      <c r="BL50" s="132" t="inlineStr">
        <is>
          <t>NI</t>
        </is>
      </c>
      <c r="BM50" s="154" t="inlineStr">
        <is>
          <t>NA</t>
        </is>
      </c>
    </row>
    <row r="51" ht="68.25" customHeight="1">
      <c r="A51" s="132" t="inlineStr">
        <is>
          <t>SUDESTE</t>
        </is>
      </c>
      <c r="B51" s="132" t="inlineStr">
        <is>
          <t>SP</t>
        </is>
      </c>
      <c r="C51" s="132" t="inlineStr">
        <is>
          <t>SAO PAULO</t>
        </is>
      </c>
      <c r="D51" s="132" t="inlineStr">
        <is>
          <t>CASA DE SAUDE SANTA MARCELINA</t>
        </is>
      </c>
      <c r="E51" s="341" t="inlineStr">
        <is>
          <t>60742616000160</t>
        </is>
      </c>
      <c r="F51" s="341" t="inlineStr">
        <is>
          <t>2077477</t>
        </is>
      </c>
      <c r="G51" s="341" t="inlineStr">
        <is>
          <t>Transferegov/SEI</t>
        </is>
      </c>
      <c r="H51" s="341" t="inlineStr">
        <is>
          <t>Convênio</t>
        </is>
      </c>
      <c r="I51" s="132" t="n">
        <v>949415</v>
      </c>
      <c r="J51" s="341" t="inlineStr">
        <is>
          <t>96074223008</t>
        </is>
      </c>
      <c r="K51" s="341" t="inlineStr">
        <is>
          <t>25000.166959/2023-32</t>
        </is>
      </c>
      <c r="L51" s="132" t="inlineStr">
        <is>
          <t>CENTRO DE ALTA COMPLEXIDADE EM ONCOLOGIA</t>
        </is>
      </c>
      <c r="M51" s="132" t="inlineStr">
        <is>
          <t>NA</t>
        </is>
      </c>
      <c r="N51" s="341" t="inlineStr">
        <is>
          <t>2023</t>
        </is>
      </c>
      <c r="O51" s="132" t="n">
        <v>2</v>
      </c>
      <c r="P51" s="132" t="inlineStr">
        <is>
          <t>UND</t>
        </is>
      </c>
      <c r="Q51" s="569" t="inlineStr">
        <is>
          <t>000282-Sistema de Hemodinâmica</t>
        </is>
      </c>
      <c r="R51" s="154" t="n">
        <v>45279</v>
      </c>
      <c r="S51" s="568" t="n">
        <v>46147</v>
      </c>
      <c r="T51" s="568" t="n">
        <v>46119</v>
      </c>
      <c r="U51" s="154" t="inlineStr">
        <is>
          <t>NA</t>
        </is>
      </c>
      <c r="V51" s="567" t="n">
        <v>10788018</v>
      </c>
      <c r="W51" s="154" t="inlineStr">
        <is>
          <t>NA</t>
        </is>
      </c>
      <c r="X51" s="567" t="inlineStr">
        <is>
          <t>NA</t>
        </is>
      </c>
      <c r="Y51" s="567" t="inlineStr">
        <is>
          <t>HOMOLOGADA E PAGA</t>
        </is>
      </c>
      <c r="Z51" s="154" t="inlineStr">
        <is>
          <t>NA</t>
        </is>
      </c>
      <c r="AA51" s="567" t="n"/>
      <c r="AB51" s="567" t="inlineStr">
        <is>
          <t>SIEMENS HEALTHCASE DIAGNOSTICOS LTDA</t>
        </is>
      </c>
      <c r="AC51" s="567" t="inlineStr">
        <is>
          <t>SIEMENS/ARTIS ICONO CEILING</t>
        </is>
      </c>
      <c r="AD51" s="154" t="inlineStr">
        <is>
          <t>NA</t>
        </is>
      </c>
      <c r="AE51" s="566" t="n">
        <v>80140</v>
      </c>
      <c r="AF51" s="565" t="inlineStr">
        <is>
          <t>EM EXECUÇÃO</t>
        </is>
      </c>
      <c r="AG51" s="381" t="inlineStr">
        <is>
          <t>Em andamento</t>
        </is>
      </c>
      <c r="AH51" s="78">
        <f>IF(AF51="Em execução","Em execução",IF(AF51="Não iniciado","Em ação preparatória",
IF(AF51="Em licitação","Em licitação / Leilão",
IF(AF51="Concluído","Concluído",))))</f>
        <v/>
      </c>
      <c r="AI51" s="383" t="n">
        <v>0.8</v>
      </c>
      <c r="AJ51" s="564" t="inlineStr">
        <is>
          <t>BRUNA</t>
        </is>
      </c>
      <c r="AK51" s="564" t="inlineStr">
        <is>
          <t>LAYANE</t>
        </is>
      </c>
      <c r="AL51" s="564" t="n"/>
      <c r="AM51" s="564" t="inlineStr">
        <is>
          <t>Em monitoramento</t>
        </is>
      </c>
      <c r="AN51" s="132" t="inlineStr">
        <is>
          <t>Substituição</t>
        </is>
      </c>
      <c r="AO51" s="341" t="inlineStr">
        <is>
          <t>Apoio</t>
        </is>
      </c>
      <c r="AP51" s="341" t="n"/>
      <c r="AQ51" s="341" t="n"/>
      <c r="AR51" s="563" t="n"/>
      <c r="AS51" s="563" t="n"/>
      <c r="AT51" s="563" t="n"/>
      <c r="AU51" s="154" t="n"/>
      <c r="AV51" s="154" t="n"/>
      <c r="AW51" s="154" t="inlineStr">
        <is>
          <t>4.11.2025</t>
        </is>
      </c>
      <c r="AX51" s="154" t="n"/>
      <c r="AY51" s="154" t="n"/>
      <c r="AZ51" s="154" t="n"/>
      <c r="BA51" s="562" t="n"/>
      <c r="BB51" s="562" t="n"/>
      <c r="BC51" s="562" t="n"/>
      <c r="BD51" s="562" t="n"/>
      <c r="BE51" s="561" t="inlineStr">
        <is>
          <t>25/05/2026</t>
        </is>
      </c>
      <c r="BF51" s="132" t="n">
        <v>13268</v>
      </c>
      <c r="BG51" s="132" t="inlineStr">
        <is>
          <t>NI</t>
        </is>
      </c>
      <c r="BH51" s="132" t="inlineStr">
        <is>
          <t>NI</t>
        </is>
      </c>
      <c r="BI51" s="132" t="inlineStr">
        <is>
          <t>NI</t>
        </is>
      </c>
      <c r="BJ51" s="132" t="inlineStr">
        <is>
          <t>NI</t>
        </is>
      </c>
      <c r="BK51" s="132" t="inlineStr">
        <is>
          <t>NI</t>
        </is>
      </c>
      <c r="BL51" s="132" t="inlineStr">
        <is>
          <t>NI</t>
        </is>
      </c>
      <c r="BM51" s="154" t="inlineStr">
        <is>
          <t>NA</t>
        </is>
      </c>
    </row>
    <row r="52" ht="72.75" customHeight="1">
      <c r="A52" s="95" t="inlineStr">
        <is>
          <t>NORTE</t>
        </is>
      </c>
      <c r="B52" s="95" t="inlineStr">
        <is>
          <t>TO</t>
        </is>
      </c>
      <c r="C52" s="95" t="inlineStr">
        <is>
          <t>ARAGUAINA</t>
        </is>
      </c>
      <c r="D52" s="95" t="inlineStr">
        <is>
          <t>CASA DE CARIDADE DOM ORIONE</t>
        </is>
      </c>
      <c r="E52" s="557" t="inlineStr">
        <is>
          <t>01368232000160</t>
        </is>
      </c>
      <c r="F52" s="557" t="n">
        <v>2755165</v>
      </c>
      <c r="G52" s="95" t="inlineStr">
        <is>
          <t>Transferegov/SEI</t>
        </is>
      </c>
      <c r="H52" s="95" t="inlineStr">
        <is>
          <t>Convênio</t>
        </is>
      </c>
      <c r="I52" s="95" t="n">
        <v>971355</v>
      </c>
      <c r="J52" s="556" t="inlineStr">
        <is>
          <t>90136824006</t>
        </is>
      </c>
      <c r="K52" s="557" t="inlineStr">
        <is>
          <t>25000.164391/2024-04</t>
        </is>
      </c>
      <c r="L52" s="95" t="inlineStr">
        <is>
          <t>REDE DE ATENÇÃO À PESSOA COM DOENÇAS CRÔNICAS - SERVIÇO DE REFERÊNCIA PARA O DIAGNÓSTICO DO CÂNCER DE MAMA (SDM)</t>
        </is>
      </c>
      <c r="M52" s="95" t="n">
        <v>1</v>
      </c>
      <c r="N52" s="95" t="n">
        <v>2024</v>
      </c>
      <c r="O52" s="95" t="n">
        <v>1</v>
      </c>
      <c r="P52" s="95" t="inlineStr">
        <is>
          <t>UND</t>
        </is>
      </c>
      <c r="Q52" s="95" t="inlineStr">
        <is>
          <t>010925-Mamógrafo</t>
        </is>
      </c>
      <c r="R52" s="555" t="n">
        <v>45645</v>
      </c>
      <c r="S52" s="555" t="n">
        <v>46359</v>
      </c>
      <c r="T52" s="555" t="inlineStr">
        <is>
          <t>19-12-26</t>
        </is>
      </c>
      <c r="U52" s="554" t="inlineStr">
        <is>
          <t>EMENDA</t>
        </is>
      </c>
      <c r="V52" s="554" t="n">
        <v>1203313</v>
      </c>
      <c r="W52" s="554" t="n">
        <v>1203313</v>
      </c>
      <c r="X52" s="554" t="n">
        <v>0</v>
      </c>
      <c r="Y52" s="95" t="inlineStr">
        <is>
          <t>HOMOLOGADA E PAGA</t>
        </is>
      </c>
      <c r="Z52" s="555" t="n">
        <v>45819</v>
      </c>
      <c r="AA52" s="96" t="inlineStr">
        <is>
          <t>5-Set-25</t>
        </is>
      </c>
      <c r="AB52" s="95" t="inlineStr">
        <is>
          <t>VMI Tecnologias Ltda</t>
        </is>
      </c>
      <c r="AC52" s="95" t="inlineStr">
        <is>
          <t>DIGIMAMO TM 3D</t>
        </is>
      </c>
      <c r="AD52" s="554" t="n"/>
      <c r="AE52" s="95" t="inlineStr">
        <is>
          <t>NA</t>
        </is>
      </c>
      <c r="AF52" s="95" t="inlineStr">
        <is>
          <t>NORMAL</t>
        </is>
      </c>
      <c r="AG52" s="553" t="inlineStr">
        <is>
          <t>Concluído</t>
        </is>
      </c>
      <c r="AH52" s="384">
        <f>IF(AF52="Em execução","Em execução",IF(AF52="Não iniciado","Em ação preparatória",
IF(AF52="Em licitação","Em licitação / Leilão",
IF(AF52="Concluído","Concluído",IF(AF52="NI","NI")))))</f>
        <v/>
      </c>
      <c r="AI52" s="552" t="n">
        <v>1</v>
      </c>
      <c r="AJ52" s="95" t="inlineStr">
        <is>
          <t>Leonardo Barsante</t>
        </is>
      </c>
      <c r="AK52" s="95" t="inlineStr">
        <is>
          <t>BRUNA</t>
        </is>
      </c>
      <c r="AL52" s="95" t="inlineStr">
        <is>
          <t>Tático</t>
        </is>
      </c>
      <c r="AM52" s="95" t="inlineStr">
        <is>
          <t>Concluído</t>
        </is>
      </c>
      <c r="AN52" s="95" t="inlineStr">
        <is>
          <t>Ampliação</t>
        </is>
      </c>
      <c r="AO52" s="95" t="inlineStr">
        <is>
          <t>Rastreamento</t>
        </is>
      </c>
      <c r="AP52" s="95" t="inlineStr">
        <is>
          <t>Rosirania Frida</t>
        </is>
      </c>
      <c r="AQ52" s="95" t="inlineStr">
        <is>
          <t>(063)3411 8787 Ramal  2379</t>
        </is>
      </c>
      <c r="AR52" s="95" t="inlineStr">
        <is>
          <t>Em consulta ao Transferegov, identificamos o relatório fotográfico inserido no sistema, que demonstra que o equiopamento encontra-se instalado. Encaminhar solicitação de informações sobre o inicio do tratamento. Licença VISA e comporvação de contratualizção com o gestor local (Estado ou Município.</t>
        </is>
      </c>
      <c r="AS52" s="95" t="inlineStr">
        <is>
          <t>NA</t>
        </is>
      </c>
      <c r="AT52" s="95" t="inlineStr">
        <is>
          <t>NA</t>
        </is>
      </c>
      <c r="AU52" s="555" t="n">
        <v>45881</v>
      </c>
      <c r="AV52" s="555" t="inlineStr">
        <is>
          <t>NA</t>
        </is>
      </c>
      <c r="AW52" s="555" t="inlineStr">
        <is>
          <t>16-09-25</t>
        </is>
      </c>
      <c r="AX52" s="555" t="inlineStr">
        <is>
          <t> </t>
        </is>
      </c>
      <c r="AY52" s="555" t="inlineStr">
        <is>
          <t> </t>
        </is>
      </c>
      <c r="AZ52" s="555" t="inlineStr">
        <is>
          <t>NA</t>
        </is>
      </c>
      <c r="BA52" s="95" t="n"/>
      <c r="BB52" s="95" t="n"/>
      <c r="BC52" s="95" t="n"/>
      <c r="BD52" s="95" t="n"/>
      <c r="BE52" s="96" t="inlineStr">
        <is>
          <t>NI</t>
        </is>
      </c>
      <c r="BF52" s="95" t="inlineStr">
        <is>
          <t>NA</t>
        </is>
      </c>
      <c r="BG52" s="95" t="inlineStr">
        <is>
          <t>NA</t>
        </is>
      </c>
      <c r="BH52" s="95" t="inlineStr">
        <is>
          <t>NA</t>
        </is>
      </c>
      <c r="BI52" s="95" t="inlineStr">
        <is>
          <t>NA</t>
        </is>
      </c>
      <c r="BJ52" s="95" t="inlineStr">
        <is>
          <t>NA</t>
        </is>
      </c>
      <c r="BK52" s="95" t="inlineStr">
        <is>
          <t>NA</t>
        </is>
      </c>
      <c r="BL52" s="95" t="inlineStr">
        <is>
          <t>NA</t>
        </is>
      </c>
      <c r="BM52" s="554" t="inlineStr">
        <is>
          <t>NA</t>
        </is>
      </c>
      <c r="BN52" s="83" t="inlineStr">
        <is>
          <t> </t>
        </is>
      </c>
    </row>
    <row r="53" ht="66.75" customHeight="1">
      <c r="A53" s="95" t="inlineStr">
        <is>
          <t>SUL</t>
        </is>
      </c>
      <c r="B53" s="95" t="inlineStr">
        <is>
          <t>PR</t>
        </is>
      </c>
      <c r="C53" s="95" t="inlineStr">
        <is>
          <t>IBIPORA</t>
        </is>
      </c>
      <c r="D53" s="95" t="inlineStr">
        <is>
          <t>ASSOCIACAO DA SANTA CASA DE IBIPORA</t>
        </is>
      </c>
      <c r="E53" s="557" t="inlineStr">
        <is>
          <t>78077906000100</t>
        </is>
      </c>
      <c r="F53" s="557" t="n">
        <v>2729385</v>
      </c>
      <c r="G53" s="95" t="inlineStr">
        <is>
          <t>Transferegov/SEI</t>
        </is>
      </c>
      <c r="H53" s="95" t="inlineStr">
        <is>
          <t>Convênio</t>
        </is>
      </c>
      <c r="I53" s="95" t="n">
        <v>971131</v>
      </c>
      <c r="J53" s="556" t="inlineStr">
        <is>
          <t>97807724003</t>
        </is>
      </c>
      <c r="K53" s="557" t="inlineStr">
        <is>
          <t>25000.148666/2024-54</t>
        </is>
      </c>
      <c r="L53" s="95" t="inlineStr">
        <is>
          <t>REDE DE ATENÇÃO À PESSOA COM DOENÇAS CRÔNICAS - SERVIÇO DE REFERÊNCIA PARA O DIAGNÓSTICO DO CÂNCER DE MAMA (SDM)</t>
        </is>
      </c>
      <c r="M53" s="95" t="n">
        <v>1</v>
      </c>
      <c r="N53" s="95" t="n">
        <v>2024</v>
      </c>
      <c r="O53" s="95" t="n">
        <v>1</v>
      </c>
      <c r="P53" s="95" t="inlineStr">
        <is>
          <t>UND</t>
        </is>
      </c>
      <c r="Q53" s="95" t="inlineStr">
        <is>
          <t>010925-Mamógrafo</t>
        </is>
      </c>
      <c r="R53" s="555" t="n">
        <v>45792</v>
      </c>
      <c r="S53" s="555" t="inlineStr">
        <is>
          <t>23-07-27</t>
        </is>
      </c>
      <c r="T53" s="555" t="inlineStr">
        <is>
          <t>21-09-27</t>
        </is>
      </c>
      <c r="U53" s="554" t="n"/>
      <c r="V53" s="554" t="n">
        <v>50</v>
      </c>
      <c r="W53" s="554" t="n">
        <v>499800</v>
      </c>
      <c r="X53" s="554" t="n">
        <v>0</v>
      </c>
      <c r="Y53" s="95" t="inlineStr">
        <is>
          <t>HOMOLOGADA E PAGA</t>
        </is>
      </c>
      <c r="Z53" s="555" t="inlineStr">
        <is>
          <t>29-01-26</t>
        </is>
      </c>
      <c r="AA53" s="95" t="inlineStr">
        <is>
          <t>31-03-26</t>
        </is>
      </c>
      <c r="AB53" s="95" t="inlineStr">
        <is>
          <t>VMI Tecnologias Ltda</t>
        </is>
      </c>
      <c r="AC53" s="95" t="inlineStr">
        <is>
          <t>DIGIMAMO D</t>
        </is>
      </c>
      <c r="AD53" s="554" t="n"/>
      <c r="AE53" s="95" t="inlineStr">
        <is>
          <t>NA</t>
        </is>
      </c>
      <c r="AF53" s="95" t="inlineStr">
        <is>
          <t>PRESTAÇÃO DE CONTAS INICIADA POR ANTECIPAÇÃO</t>
        </is>
      </c>
      <c r="AG53" s="95" t="inlineStr">
        <is>
          <t>Concluído</t>
        </is>
      </c>
      <c r="AH53" s="79">
        <f>IF(AF53="Em execução","Em execução",IF(AF53="Não iniciado","Em ação preparatória",
IF(AF53="Em licitação","Em licitação / Leilão",
IF(AF53="Concluído","Concluído",IF(AF53="NI","NI")))))</f>
        <v/>
      </c>
      <c r="AI53" s="552" t="n">
        <v>1</v>
      </c>
      <c r="AJ53" s="95" t="inlineStr">
        <is>
          <t>Leonardo Barsante</t>
        </is>
      </c>
      <c r="AK53" s="95" t="inlineStr">
        <is>
          <t>BRUNA</t>
        </is>
      </c>
      <c r="AL53" s="95" t="inlineStr">
        <is>
          <t>Tático</t>
        </is>
      </c>
      <c r="AM53" s="95" t="inlineStr">
        <is>
          <t>Concluído</t>
        </is>
      </c>
      <c r="AN53" s="95" t="inlineStr">
        <is>
          <t>Substituição</t>
        </is>
      </c>
      <c r="AO53" s="95" t="inlineStr">
        <is>
          <t>Rastreamento</t>
        </is>
      </c>
      <c r="AP53" s="95" t="inlineStr">
        <is>
          <t>Artemizia Bertolazzi</t>
        </is>
      </c>
      <c r="AQ53" s="95" t="inlineStr">
        <is>
          <t>(043)  3178 2300</t>
        </is>
      </c>
      <c r="AR53" s="95" t="inlineStr">
        <is>
          <t>Em consulta ao Transferegov, identificamos o relatório fotográfico inserido no sistema, que demonstra que o equiopamento encontra-se instalado. Encaminhar solicitação de informações sobre o inicio do tratamento. Licença VISA e comporvação de contratualizção com o gestor local (Estado ou Município.</t>
        </is>
      </c>
      <c r="AS53" s="95" t="n"/>
      <c r="AT53" s="95" t="n"/>
      <c r="AU53" s="555" t="n"/>
      <c r="AV53" s="555" t="inlineStr">
        <is>
          <t>NA</t>
        </is>
      </c>
      <c r="AW53" s="555" t="inlineStr">
        <is>
          <t>31-3-2025</t>
        </is>
      </c>
      <c r="AX53" s="555" t="inlineStr">
        <is>
          <t> </t>
        </is>
      </c>
      <c r="AY53" s="555" t="inlineStr">
        <is>
          <t> </t>
        </is>
      </c>
      <c r="AZ53" s="555" t="inlineStr">
        <is>
          <t>NA</t>
        </is>
      </c>
      <c r="BA53" s="95" t="n"/>
      <c r="BB53" s="95" t="n"/>
      <c r="BC53" s="95" t="n"/>
      <c r="BD53" s="95" t="n"/>
      <c r="BE53" s="96" t="inlineStr">
        <is>
          <t>NI</t>
        </is>
      </c>
      <c r="BF53" s="95" t="inlineStr">
        <is>
          <t>NA</t>
        </is>
      </c>
      <c r="BG53" s="95" t="inlineStr">
        <is>
          <t>NA</t>
        </is>
      </c>
      <c r="BH53" s="95" t="inlineStr">
        <is>
          <t>NA</t>
        </is>
      </c>
      <c r="BI53" s="95" t="inlineStr">
        <is>
          <t>NA</t>
        </is>
      </c>
      <c r="BJ53" s="95" t="inlineStr">
        <is>
          <t>NA</t>
        </is>
      </c>
      <c r="BK53" s="95" t="inlineStr">
        <is>
          <t>NA</t>
        </is>
      </c>
      <c r="BL53" s="95" t="inlineStr">
        <is>
          <t>NA</t>
        </is>
      </c>
      <c r="BM53" s="554" t="inlineStr">
        <is>
          <t>NA</t>
        </is>
      </c>
      <c r="BN53" s="83" t="inlineStr">
        <is>
          <t> </t>
        </is>
      </c>
    </row>
    <row r="54" ht="61.5" customHeight="1">
      <c r="A54" s="95" t="inlineStr">
        <is>
          <t>SUDESTE</t>
        </is>
      </c>
      <c r="B54" s="95" t="inlineStr">
        <is>
          <t>ES</t>
        </is>
      </c>
      <c r="C54" s="95" t="inlineStr">
        <is>
          <t>VITORIA</t>
        </is>
      </c>
      <c r="D54" s="95" t="inlineStr">
        <is>
          <t>ASSOCIACAO FEMININA DE EDUCACAO E COMBATE AO CANCER</t>
        </is>
      </c>
      <c r="E54" s="557" t="inlineStr">
        <is>
          <t>28137925000106</t>
        </is>
      </c>
      <c r="F54" s="557" t="inlineStr">
        <is>
          <t>0011738</t>
        </is>
      </c>
      <c r="G54" s="95" t="inlineStr">
        <is>
          <t>Transferegov/SEI</t>
        </is>
      </c>
      <c r="H54" s="95" t="inlineStr">
        <is>
          <t>Convênio</t>
        </is>
      </c>
      <c r="I54" s="95" t="n">
        <v>961305</v>
      </c>
      <c r="J54" s="556" t="inlineStr">
        <is>
          <t>92813724004</t>
        </is>
      </c>
      <c r="K54" s="557" t="inlineStr">
        <is>
          <t>25000.065799/2024-96</t>
        </is>
      </c>
      <c r="L54" s="95" t="inlineStr">
        <is>
          <t>REDE DE ATENÇÃO À PESSOA COM DOENÇAS CRÔNICAS - HOSPITAL HABILITADO NA ALTA COMPLEXIDADE EM ONCOLOGIA</t>
        </is>
      </c>
      <c r="M54" s="95" t="n">
        <v>3</v>
      </c>
      <c r="N54" s="95" t="n">
        <v>2024</v>
      </c>
      <c r="O54" s="95" t="inlineStr">
        <is>
          <t>NA</t>
        </is>
      </c>
      <c r="P54" s="95" t="inlineStr">
        <is>
          <t>UND</t>
        </is>
      </c>
      <c r="Q54" s="95" t="inlineStr">
        <is>
          <t>NA</t>
        </is>
      </c>
      <c r="R54" s="555" t="n">
        <v>45636</v>
      </c>
      <c r="S54" s="555" t="n">
        <v>46176</v>
      </c>
      <c r="T54" s="555" t="n">
        <v>46236</v>
      </c>
      <c r="U54" s="554" t="n"/>
      <c r="V54" s="554" t="n">
        <v>1717896</v>
      </c>
      <c r="W54" s="554" t="n">
        <v>1563000</v>
      </c>
      <c r="X54" s="554" t="n">
        <v>0</v>
      </c>
      <c r="Y54" s="95" t="n"/>
      <c r="Z54" s="555" t="n">
        <v>45919</v>
      </c>
      <c r="AA54" s="95" t="inlineStr">
        <is>
          <t> </t>
        </is>
      </c>
      <c r="AB54" s="95" t="inlineStr">
        <is>
          <t>NA</t>
        </is>
      </c>
      <c r="AC54" s="95" t="inlineStr">
        <is>
          <t>NA</t>
        </is>
      </c>
      <c r="AD54" s="554" t="n"/>
      <c r="AE54" s="95" t="inlineStr">
        <is>
          <t>NA</t>
        </is>
      </c>
      <c r="AF54" s="95" t="inlineStr">
        <is>
          <t>PRESTAÇÃO DE CONTAS EM ANÁLISE</t>
        </is>
      </c>
      <c r="AG54" s="95" t="inlineStr">
        <is>
          <t>NI</t>
        </is>
      </c>
      <c r="AH54" s="79">
        <f>IF(AF54="Em execução","Em execução",IF(AF54="Não iniciado","Em ação preparatória",
IF(AF54="Em licitação","Em licitação / Leilão",
IF(AF54="Concluído","Concluído",IF(AF54="NI","NI")))))</f>
        <v/>
      </c>
      <c r="AI54" s="552" t="inlineStr">
        <is>
          <t>NI</t>
        </is>
      </c>
      <c r="AJ54" s="95" t="inlineStr">
        <is>
          <t>NI</t>
        </is>
      </c>
      <c r="AK54" s="95" t="inlineStr">
        <is>
          <t>NI</t>
        </is>
      </c>
      <c r="AL54" s="95" t="n"/>
      <c r="AM54" s="95" t="inlineStr">
        <is>
          <t>Não iniciado</t>
        </is>
      </c>
      <c r="AN54" s="95" t="inlineStr">
        <is>
          <t>Substituição</t>
        </is>
      </c>
      <c r="AO54" s="95" t="inlineStr">
        <is>
          <t>Várias</t>
        </is>
      </c>
      <c r="AP54" s="95" t="n"/>
      <c r="AQ54" s="95" t="n"/>
      <c r="AR54" s="551" t="inlineStr">
        <is>
          <t> </t>
        </is>
      </c>
      <c r="AS54" s="95" t="n"/>
      <c r="AT54" s="95" t="n"/>
      <c r="AU54" s="555" t="inlineStr">
        <is>
          <t> </t>
        </is>
      </c>
      <c r="AV54" s="555" t="inlineStr">
        <is>
          <t> </t>
        </is>
      </c>
      <c r="AW54" s="555" t="inlineStr">
        <is>
          <t> </t>
        </is>
      </c>
      <c r="AX54" s="555" t="inlineStr">
        <is>
          <t> </t>
        </is>
      </c>
      <c r="AY54" s="555" t="inlineStr">
        <is>
          <t> </t>
        </is>
      </c>
      <c r="AZ54" s="555" t="inlineStr">
        <is>
          <t> </t>
        </is>
      </c>
      <c r="BA54" s="95" t="n"/>
      <c r="BB54" s="95" t="n"/>
      <c r="BC54" s="95" t="n"/>
      <c r="BD54" s="95" t="n"/>
      <c r="BE54" s="96" t="inlineStr">
        <is>
          <t>NI</t>
        </is>
      </c>
      <c r="BF54" s="95" t="inlineStr">
        <is>
          <t> </t>
        </is>
      </c>
      <c r="BG54" s="95" t="inlineStr">
        <is>
          <t> </t>
        </is>
      </c>
      <c r="BH54" s="95" t="n"/>
      <c r="BI54" s="95" t="inlineStr">
        <is>
          <t> </t>
        </is>
      </c>
      <c r="BJ54" s="95" t="inlineStr">
        <is>
          <t> </t>
        </is>
      </c>
      <c r="BK54" s="95" t="inlineStr">
        <is>
          <t> </t>
        </is>
      </c>
      <c r="BL54" s="95" t="inlineStr">
        <is>
          <t> </t>
        </is>
      </c>
      <c r="BM54" s="554" t="inlineStr">
        <is>
          <t>NA</t>
        </is>
      </c>
      <c r="BN54" s="83" t="inlineStr">
        <is>
          <t> </t>
        </is>
      </c>
    </row>
    <row r="55" ht="75" customHeight="1">
      <c r="A55" s="97" t="inlineStr">
        <is>
          <t>SUDESTE</t>
        </is>
      </c>
      <c r="B55" s="97" t="inlineStr">
        <is>
          <t>ES</t>
        </is>
      </c>
      <c r="C55" s="97" t="inlineStr">
        <is>
          <t>VITORIA</t>
        </is>
      </c>
      <c r="D55" s="97" t="inlineStr">
        <is>
          <t>ASSOCIACAO FEMININA DE EDUCACAO E COMBATE AO CANCER</t>
        </is>
      </c>
      <c r="E55" s="550" t="inlineStr">
        <is>
          <t>28137925000106</t>
        </is>
      </c>
      <c r="F55" s="549" t="inlineStr">
        <is>
          <t>0011738</t>
        </is>
      </c>
      <c r="G55" s="97" t="inlineStr">
        <is>
          <t>Transferegov/SEI</t>
        </is>
      </c>
      <c r="H55" s="97" t="inlineStr">
        <is>
          <t>Convênio</t>
        </is>
      </c>
      <c r="I55" s="97" t="n">
        <v>961305</v>
      </c>
      <c r="J55" s="549" t="inlineStr">
        <is>
          <t>92813724004</t>
        </is>
      </c>
      <c r="K55" s="550" t="inlineStr">
        <is>
          <t>25000.065799/2024-96</t>
        </is>
      </c>
      <c r="L55" s="97" t="inlineStr">
        <is>
          <t>REDE DE ATENÇÃO À PESSOA COM DOENÇAS CRÔNICAS - HOSPITAL HABILITADO NA ALTA COMPLEXIDADE EM ONCOLOGIA</t>
        </is>
      </c>
      <c r="M55" s="97" t="inlineStr">
        <is>
          <t>NA</t>
        </is>
      </c>
      <c r="N55" s="97" t="n">
        <v>2024</v>
      </c>
      <c r="O55" s="97" t="n">
        <v>1</v>
      </c>
      <c r="P55" s="97" t="inlineStr">
        <is>
          <t>UND</t>
        </is>
      </c>
      <c r="Q55" s="97" t="inlineStr">
        <is>
          <t>010925-Mamógrafo</t>
        </is>
      </c>
      <c r="R55" s="548" t="n">
        <v>45636</v>
      </c>
      <c r="S55" s="548" t="inlineStr">
        <is>
          <t>13-03-27</t>
        </is>
      </c>
      <c r="T55" s="548" t="n">
        <v>46726</v>
      </c>
      <c r="U55" s="154" t="n"/>
      <c r="V55" s="547" t="n">
        <v>1717896</v>
      </c>
      <c r="W55" s="154" t="inlineStr">
        <is>
          <t>R$ 1.563.000,00</t>
        </is>
      </c>
      <c r="X55" s="547" t="n">
        <v>0</v>
      </c>
      <c r="Y55" s="97" t="n"/>
      <c r="Z55" s="154" t="inlineStr">
        <is>
          <t>19-09-2026</t>
        </is>
      </c>
      <c r="AA55" s="97" t="inlineStr">
        <is>
          <t>17-03-2026</t>
        </is>
      </c>
      <c r="AB55" s="97" t="inlineStr">
        <is>
          <t>FUJIFILM</t>
        </is>
      </c>
      <c r="AC55" s="97" t="inlineStr">
        <is>
          <t>FDR 3500 AMULET Innovality</t>
        </is>
      </c>
      <c r="AD55" s="154" t="n"/>
      <c r="AE55" s="97" t="inlineStr">
        <is>
          <t>NA</t>
        </is>
      </c>
      <c r="AF55" s="97" t="inlineStr">
        <is>
          <t>PRESTAÇÃO DE CONTAS EM ANÁLISE</t>
        </is>
      </c>
      <c r="AG55" s="97" t="inlineStr">
        <is>
          <t>NI</t>
        </is>
      </c>
      <c r="AH55" s="78">
        <f>IF(AF55="Em execução","Em execução",IF(AF55="Não iniciado","Em ação preparatória",
IF(AF55="Em licitação","Em licitação / Leilão",
IF(AF55="Concluído","Concluído",IF(AF55="NI","NI")))))</f>
        <v/>
      </c>
      <c r="AI55" s="546" t="inlineStr">
        <is>
          <t>NI</t>
        </is>
      </c>
      <c r="AJ55" s="97" t="inlineStr">
        <is>
          <t>Leonardo Barsante</t>
        </is>
      </c>
      <c r="AK55" s="97" t="inlineStr">
        <is>
          <t>NI</t>
        </is>
      </c>
      <c r="AL55" s="97" t="inlineStr">
        <is>
          <t>Tático</t>
        </is>
      </c>
      <c r="AM55" s="97" t="inlineStr">
        <is>
          <t>Iniciando</t>
        </is>
      </c>
      <c r="AN55" s="97" t="inlineStr">
        <is>
          <t>Substituição</t>
        </is>
      </c>
      <c r="AO55" s="97" t="inlineStr">
        <is>
          <t>Rastreamento</t>
        </is>
      </c>
      <c r="AP55" s="97" t="inlineStr">
        <is>
          <t>Juliana Mara</t>
        </is>
      </c>
      <c r="AQ55" s="97" t="inlineStr">
        <is>
          <t>(027) 3334 8000</t>
        </is>
      </c>
      <c r="AR55" s="457" t="inlineStr">
        <is>
          <t>Prestação de Contas enviada para Análise</t>
        </is>
      </c>
      <c r="AS55" s="97" t="n"/>
      <c r="AT55" s="97" t="n"/>
      <c r="AU55" s="548" t="inlineStr">
        <is>
          <t> </t>
        </is>
      </c>
      <c r="AV55" s="548" t="inlineStr">
        <is>
          <t>NA</t>
        </is>
      </c>
      <c r="AW55" s="548" t="inlineStr">
        <is>
          <t>17-03-2026</t>
        </is>
      </c>
      <c r="AX55" s="548" t="inlineStr">
        <is>
          <t> </t>
        </is>
      </c>
      <c r="AY55" s="548" t="inlineStr">
        <is>
          <t> </t>
        </is>
      </c>
      <c r="AZ55" s="548" t="inlineStr">
        <is>
          <t>NA</t>
        </is>
      </c>
      <c r="BA55" s="97" t="n"/>
      <c r="BB55" s="97" t="n"/>
      <c r="BC55" s="97" t="n"/>
      <c r="BD55" s="97" t="n"/>
      <c r="BE55" s="545" t="inlineStr">
        <is>
          <t>NI</t>
        </is>
      </c>
      <c r="BF55" s="97" t="inlineStr">
        <is>
          <t>NA</t>
        </is>
      </c>
      <c r="BG55" s="97" t="inlineStr">
        <is>
          <t>NA</t>
        </is>
      </c>
      <c r="BH55" s="97" t="inlineStr">
        <is>
          <t>NA</t>
        </is>
      </c>
      <c r="BI55" s="97" t="inlineStr">
        <is>
          <t>NA</t>
        </is>
      </c>
      <c r="BJ55" s="97" t="inlineStr">
        <is>
          <t>NA</t>
        </is>
      </c>
      <c r="BK55" s="97" t="inlineStr">
        <is>
          <t>NA</t>
        </is>
      </c>
      <c r="BL55" s="97" t="inlineStr">
        <is>
          <t>NA</t>
        </is>
      </c>
      <c r="BM55" s="154" t="inlineStr">
        <is>
          <t>NA</t>
        </is>
      </c>
      <c r="BN55" s="83" t="inlineStr">
        <is>
          <t> </t>
        </is>
      </c>
    </row>
    <row r="56" ht="63" customHeight="1">
      <c r="A56" s="97" t="inlineStr">
        <is>
          <t>SUDESTE</t>
        </is>
      </c>
      <c r="B56" s="97" t="inlineStr">
        <is>
          <t>ES</t>
        </is>
      </c>
      <c r="C56" s="97" t="inlineStr">
        <is>
          <t>VITORIA</t>
        </is>
      </c>
      <c r="D56" s="97" t="inlineStr">
        <is>
          <t>ASSOCIACAO FEMININA DE EDUCACAO E COMBATE AO CANCER</t>
        </is>
      </c>
      <c r="E56" s="549" t="inlineStr">
        <is>
          <t>28137925000106</t>
        </is>
      </c>
      <c r="F56" s="549" t="inlineStr">
        <is>
          <t>0011738</t>
        </is>
      </c>
      <c r="G56" s="97" t="inlineStr">
        <is>
          <t>Transferegov/SEI</t>
        </is>
      </c>
      <c r="H56" s="97" t="inlineStr">
        <is>
          <t>Convênio</t>
        </is>
      </c>
      <c r="I56" s="97" t="n">
        <v>961305</v>
      </c>
      <c r="J56" s="550" t="inlineStr">
        <is>
          <t>92813724004</t>
        </is>
      </c>
      <c r="K56" s="550" t="inlineStr">
        <is>
          <t>25000.065799/2024-96</t>
        </is>
      </c>
      <c r="L56" s="97" t="inlineStr">
        <is>
          <t>REDE DE ATENÇÃO À PESSOA COM DOENÇAS CRÔNICAS - HOSPITAL HABILITADO NA ALTA COMPLEXIDADE EM ONCOLOGIA</t>
        </is>
      </c>
      <c r="M56" s="97" t="inlineStr">
        <is>
          <t>NA</t>
        </is>
      </c>
      <c r="N56" s="97" t="n">
        <v>2024</v>
      </c>
      <c r="O56" s="97" t="n">
        <v>1</v>
      </c>
      <c r="P56" s="97" t="inlineStr">
        <is>
          <t>UND</t>
        </is>
      </c>
      <c r="Q56" s="97" t="inlineStr">
        <is>
          <t>11268-Sistema de Vídeo Endoscopia Flexível</t>
        </is>
      </c>
      <c r="R56" s="548" t="n">
        <v>45636</v>
      </c>
      <c r="S56" s="548" t="n">
        <v>46176</v>
      </c>
      <c r="T56" s="548" t="n">
        <v>46236</v>
      </c>
      <c r="U56" s="154" t="n"/>
      <c r="V56" s="547" t="n">
        <v>1717896</v>
      </c>
      <c r="W56" s="154" t="inlineStr">
        <is>
          <t>NA</t>
        </is>
      </c>
      <c r="X56" s="547" t="inlineStr">
        <is>
          <t>NA</t>
        </is>
      </c>
      <c r="Y56" s="97" t="n"/>
      <c r="Z56" s="154" t="inlineStr">
        <is>
          <t>NA</t>
        </is>
      </c>
      <c r="AA56" s="97" t="inlineStr">
        <is>
          <t> </t>
        </is>
      </c>
      <c r="AB56" s="97" t="inlineStr">
        <is>
          <t>NI</t>
        </is>
      </c>
      <c r="AC56" s="97" t="inlineStr">
        <is>
          <t>NI</t>
        </is>
      </c>
      <c r="AD56" s="154" t="n"/>
      <c r="AE56" s="97" t="inlineStr">
        <is>
          <t>NA</t>
        </is>
      </c>
      <c r="AF56" s="97" t="inlineStr">
        <is>
          <t>PRESTAÇÃO DE CONTAS EM ANÁLISE</t>
        </is>
      </c>
      <c r="AG56" s="97" t="inlineStr">
        <is>
          <t>NI</t>
        </is>
      </c>
      <c r="AH56" s="78">
        <f>IF(AF56="Em execução","Em execução",IF(AF56="Não iniciado","Em ação preparatória",
IF(AF56="Em licitação","Em licitação / Leilão",
IF(AF56="Concluído","Concluído",IF(AF56="NI","NI")))))</f>
        <v/>
      </c>
      <c r="AI56" s="546" t="inlineStr">
        <is>
          <t>NI</t>
        </is>
      </c>
      <c r="AJ56" s="97" t="inlineStr">
        <is>
          <t>NI</t>
        </is>
      </c>
      <c r="AK56" s="97" t="inlineStr">
        <is>
          <t>NI</t>
        </is>
      </c>
      <c r="AL56" s="97" t="n"/>
      <c r="AM56" s="97" t="inlineStr">
        <is>
          <t>Não iniciado</t>
        </is>
      </c>
      <c r="AN56" s="97" t="inlineStr">
        <is>
          <t>Substituição</t>
        </is>
      </c>
      <c r="AO56" s="97" t="inlineStr">
        <is>
          <t>Diagnóstico</t>
        </is>
      </c>
      <c r="AP56" s="97" t="n"/>
      <c r="AQ56" s="97" t="n"/>
      <c r="AR56" s="544" t="inlineStr">
        <is>
          <t> </t>
        </is>
      </c>
      <c r="AS56" s="97" t="n"/>
      <c r="AT56" s="97" t="n"/>
      <c r="AU56" s="548" t="inlineStr">
        <is>
          <t> </t>
        </is>
      </c>
      <c r="AV56" s="548" t="inlineStr">
        <is>
          <t> </t>
        </is>
      </c>
      <c r="AW56" s="548" t="inlineStr">
        <is>
          <t> </t>
        </is>
      </c>
      <c r="AX56" s="548" t="inlineStr">
        <is>
          <t> </t>
        </is>
      </c>
      <c r="AY56" s="548" t="inlineStr">
        <is>
          <t> </t>
        </is>
      </c>
      <c r="AZ56" s="548" t="inlineStr">
        <is>
          <t> </t>
        </is>
      </c>
      <c r="BA56" s="97" t="n"/>
      <c r="BB56" s="97" t="n"/>
      <c r="BC56" s="97" t="n"/>
      <c r="BD56" s="97" t="n"/>
      <c r="BE56" s="545" t="inlineStr">
        <is>
          <t>NI</t>
        </is>
      </c>
      <c r="BF56" s="97" t="inlineStr">
        <is>
          <t> </t>
        </is>
      </c>
      <c r="BG56" s="97" t="inlineStr">
        <is>
          <t> </t>
        </is>
      </c>
      <c r="BH56" s="97" t="n"/>
      <c r="BI56" s="97" t="inlineStr">
        <is>
          <t> </t>
        </is>
      </c>
      <c r="BJ56" s="97" t="inlineStr">
        <is>
          <t> </t>
        </is>
      </c>
      <c r="BK56" s="97" t="inlineStr">
        <is>
          <t> </t>
        </is>
      </c>
      <c r="BL56" s="97" t="inlineStr">
        <is>
          <t> </t>
        </is>
      </c>
      <c r="BM56" s="154" t="inlineStr">
        <is>
          <t>NA</t>
        </is>
      </c>
      <c r="BN56" s="83" t="inlineStr">
        <is>
          <t> </t>
        </is>
      </c>
    </row>
    <row r="57" ht="107.25" customHeight="1">
      <c r="A57" s="95" t="inlineStr">
        <is>
          <t>NORDESTE</t>
        </is>
      </c>
      <c r="B57" s="95" t="inlineStr">
        <is>
          <t>PB</t>
        </is>
      </c>
      <c r="C57" s="95" t="inlineStr">
        <is>
          <t>JOAO PESSOA</t>
        </is>
      </c>
      <c r="D57" s="95" t="inlineStr">
        <is>
          <t>FUNDACAO NAPOLEAO LAUREANO</t>
        </is>
      </c>
      <c r="E57" s="556" t="inlineStr">
        <is>
          <t>09112236000194</t>
        </is>
      </c>
      <c r="F57" s="557" t="n">
        <v>2399741</v>
      </c>
      <c r="G57" s="95" t="inlineStr">
        <is>
          <t>Transferegov/SEI</t>
        </is>
      </c>
      <c r="H57" s="95" t="inlineStr">
        <is>
          <t>Convênio</t>
        </is>
      </c>
      <c r="I57" s="95" t="n">
        <v>971549</v>
      </c>
      <c r="J57" s="556" t="inlineStr">
        <is>
          <t>90911224005</t>
        </is>
      </c>
      <c r="K57" s="557" t="inlineStr">
        <is>
          <t>25000.082280/2024-72</t>
        </is>
      </c>
      <c r="L57" s="95" t="inlineStr">
        <is>
          <t>REDE DE ATENÇÃO À PESSOA COM DOENÇAS CRÔNICAS - HOSPITAL HABILITADO NA ALTA COMPLEXIDADE EM ONCOLOGIA</t>
        </is>
      </c>
      <c r="M57" s="95" t="n">
        <v>4</v>
      </c>
      <c r="N57" s="95" t="n">
        <v>2024</v>
      </c>
      <c r="O57" s="95" t="inlineStr">
        <is>
          <t>NA</t>
        </is>
      </c>
      <c r="P57" s="95" t="inlineStr">
        <is>
          <t>UND</t>
        </is>
      </c>
      <c r="Q57" s="95" t="inlineStr">
        <is>
          <t>NA</t>
        </is>
      </c>
      <c r="R57" s="555" t="n">
        <v>45649</v>
      </c>
      <c r="S57" s="555" t="n">
        <v>46189</v>
      </c>
      <c r="T57" s="555" t="n">
        <v>46249</v>
      </c>
      <c r="U57" s="554" t="n"/>
      <c r="V57" s="554" t="n">
        <v>2306011</v>
      </c>
      <c r="W57" s="554" t="n">
        <v>2238960</v>
      </c>
      <c r="X57" s="554" t="n">
        <v>0</v>
      </c>
      <c r="Y57" s="95" t="inlineStr">
        <is>
          <t>HOMOLOGADA E PAGA</t>
        </is>
      </c>
      <c r="Z57" s="555" t="n">
        <v>45891</v>
      </c>
      <c r="AA57" s="95" t="inlineStr">
        <is>
          <t> </t>
        </is>
      </c>
      <c r="AB57" s="95" t="inlineStr">
        <is>
          <t>SAFE SOLUCOES TECNOLOGICAS</t>
        </is>
      </c>
      <c r="AC57" s="95" t="inlineStr">
        <is>
          <t>HOLOGIC/SELENA SOLUTIONS</t>
        </is>
      </c>
      <c r="AD57" s="554" t="n"/>
      <c r="AE57" s="95" t="inlineStr">
        <is>
          <t>NA</t>
        </is>
      </c>
      <c r="AF57" s="95" t="inlineStr">
        <is>
          <t>EM EXECUÇÃO</t>
        </is>
      </c>
      <c r="AG57" s="95" t="inlineStr">
        <is>
          <t>NI</t>
        </is>
      </c>
      <c r="AH57" s="79">
        <f>IF(AF57="Em execução","Em execução",IF(AF57="Não iniciado","Em ação preparatória",
IF(AF57="Em licitação","Em licitação / Leilão",
IF(AF57="Concluído","Concluído",IF(AF57="NI","NI")))))</f>
        <v/>
      </c>
      <c r="AI57" s="552" t="inlineStr">
        <is>
          <t>NI</t>
        </is>
      </c>
      <c r="AJ57" s="95" t="inlineStr">
        <is>
          <t>NI</t>
        </is>
      </c>
      <c r="AK57" s="95" t="inlineStr">
        <is>
          <t>NI</t>
        </is>
      </c>
      <c r="AL57" s="95" t="n"/>
      <c r="AM57" s="95" t="inlineStr">
        <is>
          <t>Não iniciado</t>
        </is>
      </c>
      <c r="AN57" s="95" t="inlineStr">
        <is>
          <t>Substituição</t>
        </is>
      </c>
      <c r="AO57" s="95" t="inlineStr">
        <is>
          <t>Várias</t>
        </is>
      </c>
      <c r="AP57" s="95" t="n"/>
      <c r="AQ57" s="95" t="n"/>
      <c r="AR57" s="551" t="inlineStr">
        <is>
          <t> </t>
        </is>
      </c>
      <c r="AS57" s="95" t="n"/>
      <c r="AT57" s="95" t="n"/>
      <c r="AU57" s="555" t="inlineStr">
        <is>
          <t> </t>
        </is>
      </c>
      <c r="AV57" s="555" t="inlineStr">
        <is>
          <t> </t>
        </is>
      </c>
      <c r="AW57" s="555" t="inlineStr">
        <is>
          <t> </t>
        </is>
      </c>
      <c r="AX57" s="555" t="inlineStr">
        <is>
          <t> </t>
        </is>
      </c>
      <c r="AY57" s="555" t="inlineStr">
        <is>
          <t> </t>
        </is>
      </c>
      <c r="AZ57" s="555" t="inlineStr">
        <is>
          <t> </t>
        </is>
      </c>
      <c r="BA57" s="95" t="n"/>
      <c r="BB57" s="95" t="n"/>
      <c r="BC57" s="95" t="n"/>
      <c r="BD57" s="95" t="n"/>
      <c r="BE57" s="96" t="inlineStr">
        <is>
          <t>NI</t>
        </is>
      </c>
      <c r="BF57" s="95" t="inlineStr">
        <is>
          <t> </t>
        </is>
      </c>
      <c r="BG57" s="95" t="inlineStr">
        <is>
          <t> </t>
        </is>
      </c>
      <c r="BH57" s="95" t="n"/>
      <c r="BI57" s="95" t="inlineStr">
        <is>
          <t> </t>
        </is>
      </c>
      <c r="BJ57" s="95" t="inlineStr">
        <is>
          <t> </t>
        </is>
      </c>
      <c r="BK57" s="95" t="inlineStr">
        <is>
          <t> </t>
        </is>
      </c>
      <c r="BL57" s="95" t="inlineStr">
        <is>
          <t> </t>
        </is>
      </c>
      <c r="BM57" s="554" t="inlineStr">
        <is>
          <t>NA</t>
        </is>
      </c>
      <c r="BN57" s="83" t="inlineStr">
        <is>
          <t> </t>
        </is>
      </c>
    </row>
    <row r="58" ht="87.75" customHeight="1">
      <c r="A58" s="97" t="inlineStr">
        <is>
          <t>NORDESTE</t>
        </is>
      </c>
      <c r="B58" s="97" t="inlineStr">
        <is>
          <t>PB</t>
        </is>
      </c>
      <c r="C58" s="97" t="inlineStr">
        <is>
          <t>JOAO PESSOA</t>
        </is>
      </c>
      <c r="D58" s="97" t="inlineStr">
        <is>
          <t>FUNDACAO NAPOLEAO LAUREANO</t>
        </is>
      </c>
      <c r="E58" s="549" t="inlineStr">
        <is>
          <t>09112236000194</t>
        </is>
      </c>
      <c r="F58" s="550" t="n">
        <v>2399741</v>
      </c>
      <c r="G58" s="97" t="inlineStr">
        <is>
          <t>Transferegov/SEI</t>
        </is>
      </c>
      <c r="H58" s="97" t="inlineStr">
        <is>
          <t>Convênio</t>
        </is>
      </c>
      <c r="I58" s="97" t="n">
        <v>971549</v>
      </c>
      <c r="J58" s="549" t="inlineStr">
        <is>
          <t>90911224005</t>
        </is>
      </c>
      <c r="K58" s="550" t="inlineStr">
        <is>
          <t>25000.082280/2024-72</t>
        </is>
      </c>
      <c r="L58" s="97" t="inlineStr">
        <is>
          <t>REDE DE ATENÇÃO À PESSOA COM DOENÇAS CRÔNICAS - HOSPITAL HABILITADO NA ALTA COMPLEXIDADE EM ONCOLOGIA</t>
        </is>
      </c>
      <c r="M58" s="97" t="inlineStr">
        <is>
          <t>NA</t>
        </is>
      </c>
      <c r="N58" s="97" t="n">
        <v>2024</v>
      </c>
      <c r="O58" s="97" t="n">
        <v>2</v>
      </c>
      <c r="P58" s="97" t="inlineStr">
        <is>
          <t>UND</t>
        </is>
      </c>
      <c r="Q58" s="97" t="inlineStr">
        <is>
          <t>010925-Mamógrafo</t>
        </is>
      </c>
      <c r="R58" s="548" t="n">
        <v>45649</v>
      </c>
      <c r="S58" s="548" t="inlineStr">
        <is>
          <t>24-12-26</t>
        </is>
      </c>
      <c r="T58" s="548" t="inlineStr">
        <is>
          <t>22-02-2027</t>
        </is>
      </c>
      <c r="U58" s="154" t="n"/>
      <c r="V58" s="547" t="n">
        <v>2306011</v>
      </c>
      <c r="W58" s="554" t="inlineStr">
        <is>
          <t>R$ 2.238.960,00</t>
        </is>
      </c>
      <c r="X58" s="547" t="n">
        <v>0</v>
      </c>
      <c r="Y58" s="97" t="n"/>
      <c r="Z58" s="555" t="inlineStr">
        <is>
          <t>7/2/2025 e 22-08-25</t>
        </is>
      </c>
      <c r="AA58" s="96" t="inlineStr">
        <is>
          <t>15-07/25 e 1/10/2025</t>
        </is>
      </c>
      <c r="AB58" s="97" t="inlineStr">
        <is>
          <t>SAFE SOLUCOES TECNOLOGICAS</t>
        </is>
      </c>
      <c r="AC58" s="95" t="inlineStr">
        <is>
          <t>HOLOGIC/ DIMENSIONS</t>
        </is>
      </c>
      <c r="AD58" s="154" t="n"/>
      <c r="AE58" s="97" t="inlineStr">
        <is>
          <t>NA</t>
        </is>
      </c>
      <c r="AF58" s="97" t="inlineStr">
        <is>
          <t>EM EXECUÇÃO</t>
        </is>
      </c>
      <c r="AG58" s="97" t="inlineStr">
        <is>
          <t>Concluído</t>
        </is>
      </c>
      <c r="AH58" s="78">
        <f>IF(AF58="Em execução","Em execução",IF(AF58="Não iniciado","Em ação preparatória",
IF(AF58="Em licitação","Em licitação / Leilão",
IF(AF58="Concluído","Concluído",IF(AF58="NI","NI")))))</f>
        <v/>
      </c>
      <c r="AI58" s="546" t="n">
        <v>1</v>
      </c>
      <c r="AJ58" s="97" t="inlineStr">
        <is>
          <t>Leonardo Barsante</t>
        </is>
      </c>
      <c r="AK58" s="97" t="inlineStr">
        <is>
          <t>NI</t>
        </is>
      </c>
      <c r="AL58" s="97" t="inlineStr">
        <is>
          <t>Tático</t>
        </is>
      </c>
      <c r="AM58" s="97" t="inlineStr">
        <is>
          <t>Iniciando</t>
        </is>
      </c>
      <c r="AN58" s="97" t="inlineStr">
        <is>
          <t>Substituição</t>
        </is>
      </c>
      <c r="AO58" s="97" t="inlineStr">
        <is>
          <t>Rastreamento</t>
        </is>
      </c>
      <c r="AP58" s="97" t="inlineStr">
        <is>
          <t>Marcelo Pinheiro</t>
        </is>
      </c>
      <c r="AQ58" s="97" t="inlineStr">
        <is>
          <t>(83) 3015 6265</t>
        </is>
      </c>
      <c r="AR58" s="97" t="inlineStr">
        <is>
          <t>Solicitar a prestação de contas</t>
        </is>
      </c>
      <c r="AS58" s="97" t="n"/>
      <c r="AT58" s="97" t="inlineStr">
        <is>
          <t>NA</t>
        </is>
      </c>
      <c r="AU58" s="548" t="inlineStr">
        <is>
          <t> </t>
        </is>
      </c>
      <c r="AV58" s="548" t="inlineStr">
        <is>
          <t>NA</t>
        </is>
      </c>
      <c r="AW58" s="548" t="inlineStr">
        <is>
          <t> </t>
        </is>
      </c>
      <c r="AX58" s="548" t="inlineStr">
        <is>
          <t> </t>
        </is>
      </c>
      <c r="AY58" s="548" t="inlineStr">
        <is>
          <t> </t>
        </is>
      </c>
      <c r="AZ58" s="548" t="inlineStr">
        <is>
          <t>NA</t>
        </is>
      </c>
      <c r="BA58" s="97" t="n"/>
      <c r="BB58" s="97" t="n"/>
      <c r="BC58" s="97" t="n"/>
      <c r="BD58" s="97" t="n"/>
      <c r="BE58" s="545" t="inlineStr">
        <is>
          <t>NI</t>
        </is>
      </c>
      <c r="BF58" s="97" t="inlineStr">
        <is>
          <t>NA</t>
        </is>
      </c>
      <c r="BG58" s="97" t="inlineStr">
        <is>
          <t>NA</t>
        </is>
      </c>
      <c r="BH58" s="97" t="inlineStr">
        <is>
          <t>NA</t>
        </is>
      </c>
      <c r="BI58" s="97" t="inlineStr">
        <is>
          <t>NA</t>
        </is>
      </c>
      <c r="BJ58" s="97" t="inlineStr">
        <is>
          <t>NA</t>
        </is>
      </c>
      <c r="BK58" s="97" t="inlineStr">
        <is>
          <t>NA</t>
        </is>
      </c>
      <c r="BL58" s="97" t="inlineStr">
        <is>
          <t>NA</t>
        </is>
      </c>
      <c r="BM58" s="154" t="inlineStr">
        <is>
          <t>NA</t>
        </is>
      </c>
      <c r="BN58" s="83" t="inlineStr">
        <is>
          <t> </t>
        </is>
      </c>
    </row>
    <row r="59" ht="78" customHeight="1">
      <c r="A59" s="95" t="inlineStr">
        <is>
          <t>SUL</t>
        </is>
      </c>
      <c r="B59" s="95" t="inlineStr">
        <is>
          <t>RS</t>
        </is>
      </c>
      <c r="C59" s="95" t="inlineStr">
        <is>
          <t>PORTO ALEGRE</t>
        </is>
      </c>
      <c r="D59" s="95" t="inlineStr">
        <is>
          <t>ASSOCIACAO HOSPITALAR VILA NOVA</t>
        </is>
      </c>
      <c r="E59" s="556" t="inlineStr">
        <is>
          <t>04994418000384</t>
        </is>
      </c>
      <c r="F59" s="557" t="n">
        <v>7513151</v>
      </c>
      <c r="G59" s="95" t="inlineStr">
        <is>
          <t>Transferegov/SEI</t>
        </is>
      </c>
      <c r="H59" s="95" t="inlineStr">
        <is>
          <t>Convênio</t>
        </is>
      </c>
      <c r="I59" s="95" t="n">
        <v>970388</v>
      </c>
      <c r="J59" s="556" t="inlineStr">
        <is>
          <t>90499424017</t>
        </is>
      </c>
      <c r="K59" s="557" t="inlineStr">
        <is>
          <t>25000.171335/2024-18</t>
        </is>
      </c>
      <c r="L59" s="95" t="inlineStr">
        <is>
          <t>REDE DE ATENÇÃO À PESSOA COM DOENÇAS CRÔNICAS - HOSPITAL HABILITADO NA ALTA COMPLEXIDADE EM ONCOLOGIA</t>
        </is>
      </c>
      <c r="M59" s="95" t="n">
        <v>1</v>
      </c>
      <c r="N59" s="95" t="n">
        <v>2024</v>
      </c>
      <c r="O59" s="95" t="n">
        <v>1</v>
      </c>
      <c r="P59" s="95" t="inlineStr">
        <is>
          <t>UND</t>
        </is>
      </c>
      <c r="Q59" s="95" t="inlineStr">
        <is>
          <t>010925-Mamógrafo</t>
        </is>
      </c>
      <c r="R59" s="555" t="n">
        <v>45644</v>
      </c>
      <c r="S59" s="555" t="n">
        <v>46519</v>
      </c>
      <c r="T59" s="555" t="n">
        <v>46579</v>
      </c>
      <c r="U59" s="554" t="n"/>
      <c r="V59" s="554" t="n">
        <v>1000000</v>
      </c>
      <c r="W59" s="554" t="inlineStr">
        <is>
          <t>R$ 999.879,81</t>
        </is>
      </c>
      <c r="X59" s="554" t="n">
        <v>0</v>
      </c>
      <c r="Y59" s="95" t="n"/>
      <c r="Z59" s="555" t="inlineStr">
        <is>
          <t>18-11-25</t>
        </is>
      </c>
      <c r="AA59" s="96" t="n">
        <v>46359</v>
      </c>
      <c r="AB59" s="95" t="inlineStr">
        <is>
          <t>FUJIFILM</t>
        </is>
      </c>
      <c r="AC59" s="95" t="inlineStr">
        <is>
          <t>FDR 3500 AMULET Innovality</t>
        </is>
      </c>
      <c r="AD59" s="554" t="n"/>
      <c r="AE59" s="95" t="inlineStr">
        <is>
          <t>NI</t>
        </is>
      </c>
      <c r="AF59" s="95" t="inlineStr">
        <is>
          <t>EM EXECUÇÃO</t>
        </is>
      </c>
      <c r="AG59" s="95" t="inlineStr">
        <is>
          <t>Concluído</t>
        </is>
      </c>
      <c r="AH59" s="79">
        <f>IF(AF59="Em execução","Em execução",IF(AF59="Não iniciado","Em ação preparatória",
IF(AF59="Em licitação","Em licitação / Leilão",
IF(AF59="Concluído","Concluído",IF(AF59="NI","NI")))))</f>
        <v/>
      </c>
      <c r="AI59" s="552" t="n">
        <v>1</v>
      </c>
      <c r="AJ59" s="95" t="inlineStr">
        <is>
          <t>Leonardo Barsante</t>
        </is>
      </c>
      <c r="AK59" s="95" t="inlineStr">
        <is>
          <t>NI</t>
        </is>
      </c>
      <c r="AL59" s="95" t="inlineStr">
        <is>
          <t>Tático</t>
        </is>
      </c>
      <c r="AM59" s="97" t="inlineStr">
        <is>
          <t>Iniciando</t>
        </is>
      </c>
      <c r="AN59" s="95" t="inlineStr">
        <is>
          <t>Substituição</t>
        </is>
      </c>
      <c r="AO59" s="95" t="inlineStr">
        <is>
          <t>Rastreamento</t>
        </is>
      </c>
      <c r="AP59" s="95" t="inlineStr">
        <is>
          <t>Dirceu Beltrame</t>
        </is>
      </c>
      <c r="AQ59" s="95" t="inlineStr">
        <is>
          <t>(51) 3010 5712</t>
        </is>
      </c>
      <c r="AR59" s="95" t="inlineStr">
        <is>
          <t>Equipamento instalado</t>
        </is>
      </c>
      <c r="AS59" s="95" t="n"/>
      <c r="AT59" s="95" t="inlineStr">
        <is>
          <t>NA</t>
        </is>
      </c>
      <c r="AU59" s="555" t="inlineStr">
        <is>
          <t> </t>
        </is>
      </c>
      <c r="AV59" s="555" t="inlineStr">
        <is>
          <t>NA</t>
        </is>
      </c>
      <c r="AW59" s="555" t="inlineStr">
        <is>
          <t> </t>
        </is>
      </c>
      <c r="AX59" s="555" t="inlineStr">
        <is>
          <t> </t>
        </is>
      </c>
      <c r="AY59" s="555" t="inlineStr">
        <is>
          <t> </t>
        </is>
      </c>
      <c r="AZ59" s="555" t="inlineStr">
        <is>
          <t>NA</t>
        </is>
      </c>
      <c r="BA59" s="95" t="n"/>
      <c r="BB59" s="95" t="n"/>
      <c r="BC59" s="95" t="n"/>
      <c r="BD59" s="95" t="n"/>
      <c r="BE59" s="96" t="inlineStr">
        <is>
          <t>NI</t>
        </is>
      </c>
      <c r="BF59" s="95" t="inlineStr">
        <is>
          <t>NA</t>
        </is>
      </c>
      <c r="BG59" s="95" t="inlineStr">
        <is>
          <t>NA</t>
        </is>
      </c>
      <c r="BH59" s="95" t="inlineStr">
        <is>
          <t>NA</t>
        </is>
      </c>
      <c r="BI59" s="95" t="inlineStr">
        <is>
          <t>NA</t>
        </is>
      </c>
      <c r="BJ59" s="95" t="inlineStr">
        <is>
          <t>NA</t>
        </is>
      </c>
      <c r="BK59" s="95" t="inlineStr">
        <is>
          <t>NA</t>
        </is>
      </c>
      <c r="BL59" s="95" t="inlineStr">
        <is>
          <t>NA</t>
        </is>
      </c>
      <c r="BM59" s="554" t="inlineStr">
        <is>
          <t>NA</t>
        </is>
      </c>
      <c r="BN59" s="83" t="inlineStr">
        <is>
          <t> </t>
        </is>
      </c>
    </row>
    <row r="60" ht="74.25" customFormat="1" customHeight="1" s="477">
      <c r="A60" s="132" t="inlineStr">
        <is>
          <t>NORDESTE</t>
        </is>
      </c>
      <c r="B60" s="132" t="inlineStr">
        <is>
          <t>PE</t>
        </is>
      </c>
      <c r="C60" s="132" t="inlineStr">
        <is>
          <t>RECIFE</t>
        </is>
      </c>
      <c r="D60" s="132" t="inlineStr">
        <is>
          <t>INSTITUTO DE MEDICINA INTEGRAL PROFESSOR FERNANDO FIGUEIRA - IMIP</t>
        </is>
      </c>
      <c r="E60" s="341" t="inlineStr">
        <is>
          <t>10988301000129</t>
        </is>
      </c>
      <c r="F60" s="543" t="inlineStr">
        <is>
          <t>0000434</t>
        </is>
      </c>
      <c r="G60" s="132" t="inlineStr">
        <is>
          <t>Transferegov/SEI</t>
        </is>
      </c>
      <c r="H60" s="132" t="inlineStr">
        <is>
          <t>Convênio</t>
        </is>
      </c>
      <c r="I60" s="132" t="n">
        <v>962425</v>
      </c>
      <c r="J60" s="543" t="inlineStr">
        <is>
          <t>91098824004</t>
        </is>
      </c>
      <c r="K60" s="341" t="inlineStr">
        <is>
          <t>25000.082287/2024-94</t>
        </is>
      </c>
      <c r="L60" s="132" t="inlineStr">
        <is>
          <t>REDE DE ATENÇÃO À PESSOA COM DOENÇAS CRÔNICAS - HOSPITAL HABILITADO NA ALTA COMPLEXIDADE EM ONCOLOGIA</t>
        </is>
      </c>
      <c r="M60" s="132" t="n">
        <v>7</v>
      </c>
      <c r="N60" s="132" t="n">
        <v>2024</v>
      </c>
      <c r="O60" s="132" t="inlineStr">
        <is>
          <t>NA</t>
        </is>
      </c>
      <c r="P60" s="132" t="inlineStr">
        <is>
          <t>UND</t>
        </is>
      </c>
      <c r="Q60" s="132" t="inlineStr">
        <is>
          <t>NA</t>
        </is>
      </c>
      <c r="R60" s="154" t="n">
        <v>45635</v>
      </c>
      <c r="S60" s="154" t="n">
        <v>46175</v>
      </c>
      <c r="T60" s="154" t="n">
        <v>46579</v>
      </c>
      <c r="U60" s="542" t="n"/>
      <c r="V60" s="542" t="n">
        <v>1016608</v>
      </c>
      <c r="W60" s="542" t="n"/>
      <c r="X60" s="542" t="n"/>
      <c r="Y60" s="132" t="inlineStr">
        <is>
          <t>NI</t>
        </is>
      </c>
      <c r="Z60" s="154" t="n"/>
      <c r="AA60" s="132" t="n"/>
      <c r="AB60" s="132" t="inlineStr">
        <is>
          <t>NI</t>
        </is>
      </c>
      <c r="AC60" s="132" t="n"/>
      <c r="AD60" s="542" t="n"/>
      <c r="AE60" s="132" t="inlineStr">
        <is>
          <t>NI</t>
        </is>
      </c>
      <c r="AF60" s="132" t="inlineStr">
        <is>
          <t>EM EXECUÇÃO</t>
        </is>
      </c>
      <c r="AG60" s="132" t="n"/>
      <c r="AH60" s="78" t="n"/>
      <c r="AI60" s="541" t="inlineStr">
        <is>
          <t>NI</t>
        </is>
      </c>
      <c r="AJ60" s="132" t="n"/>
      <c r="AK60" s="132" t="n"/>
      <c r="AL60" s="132" t="n"/>
      <c r="AM60" s="132" t="n"/>
      <c r="AN60" s="132" t="inlineStr">
        <is>
          <t>Substituição</t>
        </is>
      </c>
      <c r="AO60" s="132" t="inlineStr">
        <is>
          <t>Rastreamento</t>
        </is>
      </c>
      <c r="AP60" s="132" t="n"/>
      <c r="AQ60" s="132" t="n"/>
      <c r="AR60" s="563" t="n"/>
      <c r="AS60" s="132" t="n"/>
      <c r="AT60" s="132" t="n"/>
      <c r="AU60" s="154" t="n"/>
      <c r="AV60" s="154" t="n"/>
      <c r="AW60" s="154" t="n"/>
      <c r="AX60" s="154" t="n"/>
      <c r="AY60" s="154" t="n"/>
      <c r="AZ60" s="154" t="n"/>
      <c r="BA60" s="132" t="n"/>
      <c r="BB60" s="132" t="n"/>
      <c r="BC60" s="132" t="n"/>
      <c r="BD60" s="132" t="n"/>
      <c r="BE60" s="569" t="n"/>
      <c r="BF60" s="132" t="n"/>
      <c r="BG60" s="132" t="n"/>
      <c r="BH60" s="132" t="n"/>
      <c r="BI60" s="132" t="n"/>
      <c r="BJ60" s="132" t="n"/>
      <c r="BK60" s="132" t="n"/>
      <c r="BL60" s="132" t="n"/>
      <c r="BM60" s="542" t="n"/>
    </row>
    <row r="61" ht="66.75" customHeight="1">
      <c r="A61" s="95" t="inlineStr">
        <is>
          <t>NORDESTE</t>
        </is>
      </c>
      <c r="B61" s="95" t="inlineStr">
        <is>
          <t>PE</t>
        </is>
      </c>
      <c r="C61" s="95" t="inlineStr">
        <is>
          <t>RECIFE</t>
        </is>
      </c>
      <c r="D61" s="95" t="inlineStr">
        <is>
          <t>INSTITUTO DE MEDICINA INTEGRAL PROFESSOR FERNANDO FIGUEIRA - IMIP</t>
        </is>
      </c>
      <c r="E61" s="557" t="inlineStr">
        <is>
          <t>10988301000129</t>
        </is>
      </c>
      <c r="F61" s="556" t="inlineStr">
        <is>
          <t>0000434</t>
        </is>
      </c>
      <c r="G61" s="95" t="inlineStr">
        <is>
          <t>Transferegov/SEI</t>
        </is>
      </c>
      <c r="H61" s="95" t="inlineStr">
        <is>
          <t>Convênio</t>
        </is>
      </c>
      <c r="I61" s="95" t="n">
        <v>962425</v>
      </c>
      <c r="J61" s="556" t="inlineStr">
        <is>
          <t>91098824004</t>
        </is>
      </c>
      <c r="K61" s="557" t="inlineStr">
        <is>
          <t>25000.082287/2024-94</t>
        </is>
      </c>
      <c r="L61" s="95" t="inlineStr">
        <is>
          <t>REDE DE ATENÇÃO À PESSOA COM DOENÇAS CRÔNICAS - HOSPITAL HABILITADO NA ALTA COMPLEXIDADE EM ONCOLOGIA</t>
        </is>
      </c>
      <c r="M61" s="95" t="n">
        <v>4</v>
      </c>
      <c r="N61" s="95" t="n">
        <v>2024</v>
      </c>
      <c r="O61" s="95" t="n">
        <v>1</v>
      </c>
      <c r="P61" s="95" t="inlineStr">
        <is>
          <t>UND</t>
        </is>
      </c>
      <c r="Q61" s="95" t="inlineStr">
        <is>
          <t>11423-Ultrassom Diagnóstico</t>
        </is>
      </c>
      <c r="R61" s="555" t="n">
        <v>45635</v>
      </c>
      <c r="S61" s="555" t="n">
        <v>46175</v>
      </c>
      <c r="T61" s="555" t="n">
        <v>46235</v>
      </c>
      <c r="U61" s="554" t="n"/>
      <c r="V61" s="554" t="n">
        <v>1016608</v>
      </c>
      <c r="W61" s="554" t="n">
        <v>0</v>
      </c>
      <c r="X61" s="554" t="n">
        <v>124792</v>
      </c>
      <c r="Y61" s="95" t="inlineStr">
        <is>
          <t>NI</t>
        </is>
      </c>
      <c r="Z61" s="555" t="inlineStr">
        <is>
          <t>NA</t>
        </is>
      </c>
      <c r="AA61" s="95" t="inlineStr">
        <is>
          <t> </t>
        </is>
      </c>
      <c r="AB61" s="95" t="inlineStr">
        <is>
          <t>NI</t>
        </is>
      </c>
      <c r="AC61" s="95" t="inlineStr">
        <is>
          <t>NI</t>
        </is>
      </c>
      <c r="AD61" s="554" t="n"/>
      <c r="AE61" s="95" t="inlineStr">
        <is>
          <t>NI</t>
        </is>
      </c>
      <c r="AF61" s="95" t="inlineStr">
        <is>
          <t>EM EXECUÇÃO</t>
        </is>
      </c>
      <c r="AG61" s="95" t="inlineStr">
        <is>
          <t>NI</t>
        </is>
      </c>
      <c r="AH61" s="79">
        <f>IF(AF61="Em execução","Em execução",IF(AF61="Não iniciado","Em ação preparatória",
IF(AF61="Em licitação","Em licitação / Leilão",
IF(AF61="Concluído","Concluído",IF(AF61="NI","NI")))))</f>
        <v/>
      </c>
      <c r="AI61" s="552" t="inlineStr">
        <is>
          <t>NI</t>
        </is>
      </c>
      <c r="AJ61" s="95" t="inlineStr">
        <is>
          <t>NI</t>
        </is>
      </c>
      <c r="AK61" s="95" t="inlineStr">
        <is>
          <t>NI</t>
        </is>
      </c>
      <c r="AL61" s="95" t="n"/>
      <c r="AM61" s="95" t="inlineStr">
        <is>
          <t>Não iniciado</t>
        </is>
      </c>
      <c r="AN61" s="95" t="inlineStr">
        <is>
          <t>Substituição</t>
        </is>
      </c>
      <c r="AO61" s="95" t="inlineStr">
        <is>
          <t>Rastreamento</t>
        </is>
      </c>
      <c r="AP61" s="95" t="n"/>
      <c r="AQ61" s="95" t="n"/>
      <c r="AR61" s="551" t="inlineStr">
        <is>
          <t> </t>
        </is>
      </c>
      <c r="AS61" s="95" t="n"/>
      <c r="AT61" s="95" t="n"/>
      <c r="AU61" s="555" t="inlineStr">
        <is>
          <t> </t>
        </is>
      </c>
      <c r="AV61" s="555" t="inlineStr">
        <is>
          <t> </t>
        </is>
      </c>
      <c r="AW61" s="555" t="inlineStr">
        <is>
          <t> </t>
        </is>
      </c>
      <c r="AX61" s="555" t="inlineStr">
        <is>
          <t> </t>
        </is>
      </c>
      <c r="AY61" s="555" t="inlineStr">
        <is>
          <t> </t>
        </is>
      </c>
      <c r="AZ61" s="555" t="inlineStr">
        <is>
          <t> </t>
        </is>
      </c>
      <c r="BA61" s="95" t="n"/>
      <c r="BB61" s="95" t="n"/>
      <c r="BC61" s="95" t="n"/>
      <c r="BD61" s="95" t="n"/>
      <c r="BE61" s="96" t="inlineStr">
        <is>
          <t>NI</t>
        </is>
      </c>
      <c r="BF61" s="95" t="inlineStr">
        <is>
          <t> </t>
        </is>
      </c>
      <c r="BG61" s="95" t="inlineStr">
        <is>
          <t> </t>
        </is>
      </c>
      <c r="BH61" s="95" t="n"/>
      <c r="BI61" s="95" t="inlineStr">
        <is>
          <t> </t>
        </is>
      </c>
      <c r="BJ61" s="95" t="inlineStr">
        <is>
          <t> </t>
        </is>
      </c>
      <c r="BK61" s="95" t="inlineStr">
        <is>
          <t> </t>
        </is>
      </c>
      <c r="BL61" s="95" t="inlineStr">
        <is>
          <t> </t>
        </is>
      </c>
      <c r="BM61" s="554" t="inlineStr">
        <is>
          <t>NA</t>
        </is>
      </c>
      <c r="BN61" s="83" t="inlineStr">
        <is>
          <t> </t>
        </is>
      </c>
    </row>
    <row r="62" ht="64.5" customHeight="1">
      <c r="A62" s="95" t="inlineStr">
        <is>
          <t>SUL</t>
        </is>
      </c>
      <c r="B62" s="95" t="inlineStr">
        <is>
          <t>RS</t>
        </is>
      </c>
      <c r="C62" s="95" t="inlineStr">
        <is>
          <t>NOVO HAMBURGO</t>
        </is>
      </c>
      <c r="D62" s="95" t="inlineStr">
        <is>
          <t>ASSOCIACAO PRO ENSINO SUPERIOR EM NOVO HAMBURGO</t>
        </is>
      </c>
      <c r="E62" s="557" t="inlineStr">
        <is>
          <t>91693531000162</t>
        </is>
      </c>
      <c r="F62" s="557" t="n">
        <v>6068502</v>
      </c>
      <c r="G62" s="95" t="inlineStr">
        <is>
          <t>Transferegov/SEI</t>
        </is>
      </c>
      <c r="H62" s="95" t="inlineStr">
        <is>
          <t>Convênio</t>
        </is>
      </c>
      <c r="I62" s="95" t="n">
        <v>970392</v>
      </c>
      <c r="J62" s="556" t="inlineStr">
        <is>
          <t>99169324001</t>
        </is>
      </c>
      <c r="K62" s="557" t="inlineStr">
        <is>
          <t>25000.082355/2024-15</t>
        </is>
      </c>
      <c r="L62" s="95" t="inlineStr">
        <is>
          <t>REDE DE ATENÇÃO À PESSOA COM DOENÇAS CRÔNICAS - AMBULATÓRIO PARA DIAGNÓSTICO EM ONCOLOGIA</t>
        </is>
      </c>
      <c r="M62" s="95" t="n">
        <v>36</v>
      </c>
      <c r="N62" s="95" t="n">
        <v>2024</v>
      </c>
      <c r="O62" s="95" t="inlineStr">
        <is>
          <t>NA</t>
        </is>
      </c>
      <c r="P62" s="95" t="inlineStr">
        <is>
          <t>UND</t>
        </is>
      </c>
      <c r="Q62" s="95" t="inlineStr">
        <is>
          <t>NA</t>
        </is>
      </c>
      <c r="R62" s="555" t="n">
        <v>45646</v>
      </c>
      <c r="S62" s="555" t="n">
        <v>45821</v>
      </c>
      <c r="T62" s="555" t="n">
        <v>46246</v>
      </c>
      <c r="U62" s="554" t="n"/>
      <c r="V62" s="554" t="n">
        <v>1250000</v>
      </c>
      <c r="W62" s="554" t="n">
        <v>0</v>
      </c>
      <c r="X62" s="554" t="n">
        <v>0</v>
      </c>
      <c r="Y62" s="95" t="inlineStr">
        <is>
          <t>EM ELABORAÇÃO</t>
        </is>
      </c>
      <c r="Z62" s="555" t="inlineStr">
        <is>
          <t>NA</t>
        </is>
      </c>
      <c r="AA62" s="95" t="inlineStr">
        <is>
          <t> </t>
        </is>
      </c>
      <c r="AB62" s="95" t="inlineStr">
        <is>
          <t>NI</t>
        </is>
      </c>
      <c r="AC62" s="95" t="inlineStr">
        <is>
          <t>NA</t>
        </is>
      </c>
      <c r="AD62" s="554" t="n"/>
      <c r="AE62" s="95" t="inlineStr">
        <is>
          <t>NI</t>
        </is>
      </c>
      <c r="AF62" s="95" t="inlineStr">
        <is>
          <t>EM EXECUÇÃO</t>
        </is>
      </c>
      <c r="AG62" s="95" t="inlineStr">
        <is>
          <t>NI</t>
        </is>
      </c>
      <c r="AH62" s="79">
        <f>IF(AF62="Em execução","Em execução",IF(AF62="Não iniciado","Em ação preparatória",
IF(AF62="Em licitação","Em licitação / Leilão",
IF(AF62="Concluído","Concluído",IF(AF62="NI","NI")))))</f>
        <v/>
      </c>
      <c r="AI62" s="552" t="inlineStr">
        <is>
          <t>NI</t>
        </is>
      </c>
      <c r="AJ62" s="95" t="inlineStr">
        <is>
          <t>NI</t>
        </is>
      </c>
      <c r="AK62" s="95" t="inlineStr">
        <is>
          <t>NI</t>
        </is>
      </c>
      <c r="AL62" s="95" t="n"/>
      <c r="AM62" s="95" t="inlineStr">
        <is>
          <t>Não iniciado</t>
        </is>
      </c>
      <c r="AN62" s="95" t="inlineStr">
        <is>
          <t>Ampliação</t>
        </is>
      </c>
      <c r="AO62" s="95" t="inlineStr">
        <is>
          <t>Várias</t>
        </is>
      </c>
      <c r="AP62" s="95" t="n"/>
      <c r="AQ62" s="95" t="n"/>
      <c r="AR62" s="551" t="inlineStr">
        <is>
          <t> </t>
        </is>
      </c>
      <c r="AS62" s="95" t="n"/>
      <c r="AT62" s="95" t="n"/>
      <c r="AU62" s="555" t="inlineStr">
        <is>
          <t> </t>
        </is>
      </c>
      <c r="AV62" s="555" t="inlineStr">
        <is>
          <t> </t>
        </is>
      </c>
      <c r="AW62" s="555" t="inlineStr">
        <is>
          <t> </t>
        </is>
      </c>
      <c r="AX62" s="555" t="inlineStr">
        <is>
          <t> </t>
        </is>
      </c>
      <c r="AY62" s="555" t="inlineStr">
        <is>
          <t> </t>
        </is>
      </c>
      <c r="AZ62" s="555" t="inlineStr">
        <is>
          <t> </t>
        </is>
      </c>
      <c r="BA62" s="95" t="n"/>
      <c r="BB62" s="95" t="n"/>
      <c r="BC62" s="95" t="n"/>
      <c r="BD62" s="95" t="n"/>
      <c r="BE62" s="96" t="inlineStr">
        <is>
          <t>NI</t>
        </is>
      </c>
      <c r="BF62" s="95" t="inlineStr">
        <is>
          <t> </t>
        </is>
      </c>
      <c r="BG62" s="95" t="inlineStr">
        <is>
          <t> </t>
        </is>
      </c>
      <c r="BH62" s="95" t="n"/>
      <c r="BI62" s="95" t="inlineStr">
        <is>
          <t> </t>
        </is>
      </c>
      <c r="BJ62" s="95" t="inlineStr">
        <is>
          <t> </t>
        </is>
      </c>
      <c r="BK62" s="95" t="inlineStr">
        <is>
          <t> </t>
        </is>
      </c>
      <c r="BL62" s="95" t="inlineStr">
        <is>
          <t> </t>
        </is>
      </c>
      <c r="BM62" s="554" t="inlineStr">
        <is>
          <t>NA</t>
        </is>
      </c>
      <c r="BN62" s="83" t="inlineStr">
        <is>
          <t> </t>
        </is>
      </c>
    </row>
    <row r="63" ht="73.5" customHeight="1">
      <c r="A63" s="97" t="inlineStr">
        <is>
          <t>SUL</t>
        </is>
      </c>
      <c r="B63" s="97" t="inlineStr">
        <is>
          <t>RS</t>
        </is>
      </c>
      <c r="C63" s="97" t="inlineStr">
        <is>
          <t>NOVO HAMBURGO</t>
        </is>
      </c>
      <c r="D63" s="97" t="inlineStr">
        <is>
          <t>ASSOCIACAO PRO ENSINO SUPERIOR EM NOVO HAMBURGO</t>
        </is>
      </c>
      <c r="E63" s="550" t="inlineStr">
        <is>
          <t>91693531000162</t>
        </is>
      </c>
      <c r="F63" s="550" t="n">
        <v>6068502</v>
      </c>
      <c r="G63" s="97" t="inlineStr">
        <is>
          <t>Transferegov/SEI</t>
        </is>
      </c>
      <c r="H63" s="97" t="inlineStr">
        <is>
          <t>Convênio</t>
        </is>
      </c>
      <c r="I63" s="97" t="n">
        <v>970392</v>
      </c>
      <c r="J63" s="549" t="inlineStr">
        <is>
          <t>99169324001</t>
        </is>
      </c>
      <c r="K63" s="550" t="inlineStr">
        <is>
          <t>25000.082355/2024-15</t>
        </is>
      </c>
      <c r="L63" s="97" t="inlineStr">
        <is>
          <t>REDE DE ATENÇÃO À PESSOA COM DOENÇAS CRÔNICAS - AMBULATÓRIO PARA DIAGNÓSTICO EM ONCOLOGIA</t>
        </is>
      </c>
      <c r="M63" s="97" t="inlineStr">
        <is>
          <t>NA</t>
        </is>
      </c>
      <c r="N63" s="97" t="n">
        <v>2024</v>
      </c>
      <c r="O63" s="97" t="n">
        <v>1</v>
      </c>
      <c r="P63" s="97" t="inlineStr">
        <is>
          <t>UND</t>
        </is>
      </c>
      <c r="Q63" s="97" t="inlineStr">
        <is>
          <t>010925-Mamógrafo</t>
        </is>
      </c>
      <c r="R63" s="548" t="n">
        <v>45646</v>
      </c>
      <c r="S63" s="548" t="inlineStr">
        <is>
          <t>30-09-27</t>
        </is>
      </c>
      <c r="T63" s="548" t="inlineStr">
        <is>
          <t>29-11-27</t>
        </is>
      </c>
      <c r="U63" s="154" t="n"/>
      <c r="V63" s="547" t="n">
        <v>1250000</v>
      </c>
      <c r="W63" s="154" t="inlineStr">
        <is>
          <t>R$ 0,00</t>
        </is>
      </c>
      <c r="X63" s="547" t="n">
        <v>0</v>
      </c>
      <c r="Y63" s="97" t="n"/>
      <c r="Z63" s="154" t="n"/>
      <c r="AA63" s="97" t="inlineStr">
        <is>
          <t> </t>
        </is>
      </c>
      <c r="AB63" s="97" t="inlineStr">
        <is>
          <t>NI</t>
        </is>
      </c>
      <c r="AC63" s="97" t="inlineStr">
        <is>
          <t>NI</t>
        </is>
      </c>
      <c r="AD63" s="154" t="n"/>
      <c r="AE63" s="97" t="inlineStr">
        <is>
          <t>NI</t>
        </is>
      </c>
      <c r="AF63" s="97" t="inlineStr">
        <is>
          <t>EM EXECUÇÃO</t>
        </is>
      </c>
      <c r="AG63" s="97" t="inlineStr">
        <is>
          <t>NI</t>
        </is>
      </c>
      <c r="AH63" s="78">
        <f>IF(AF63="Em execução","Em execução",IF(AF63="Não iniciado","Em ação preparatória",
IF(AF63="Em licitação","Em licitação / Leilão",
IF(AF63="Concluído","Concluído",IF(AF63="NI","NI")))))</f>
        <v/>
      </c>
      <c r="AI63" s="546" t="inlineStr">
        <is>
          <t>NI</t>
        </is>
      </c>
      <c r="AJ63" s="97" t="inlineStr">
        <is>
          <t>Leonardo Barsante</t>
        </is>
      </c>
      <c r="AK63" s="97" t="inlineStr">
        <is>
          <t>NI</t>
        </is>
      </c>
      <c r="AL63" s="97" t="inlineStr">
        <is>
          <t>Tático</t>
        </is>
      </c>
      <c r="AM63" s="97" t="inlineStr">
        <is>
          <t>Não iniciado</t>
        </is>
      </c>
      <c r="AN63" s="97" t="inlineStr">
        <is>
          <t>Ampliação</t>
        </is>
      </c>
      <c r="AO63" s="97" t="inlineStr">
        <is>
          <t>Rastreamento</t>
        </is>
      </c>
      <c r="AP63" s="97" t="n"/>
      <c r="AQ63" s="97" t="n"/>
      <c r="AR63" s="97" t="inlineStr">
        <is>
          <t>Plano de trabalho alterado, OK</t>
        </is>
      </c>
      <c r="AS63" s="97" t="n"/>
      <c r="AT63" s="97" t="n"/>
      <c r="AU63" s="548" t="inlineStr">
        <is>
          <t> </t>
        </is>
      </c>
      <c r="AV63" s="548" t="inlineStr">
        <is>
          <t> </t>
        </is>
      </c>
      <c r="AW63" s="548" t="inlineStr">
        <is>
          <t> </t>
        </is>
      </c>
      <c r="AX63" s="548" t="inlineStr">
        <is>
          <t> </t>
        </is>
      </c>
      <c r="AY63" s="548" t="inlineStr">
        <is>
          <t> </t>
        </is>
      </c>
      <c r="AZ63" s="548" t="inlineStr">
        <is>
          <t> </t>
        </is>
      </c>
      <c r="BA63" s="97" t="n"/>
      <c r="BB63" s="97" t="n"/>
      <c r="BC63" s="97" t="n"/>
      <c r="BD63" s="97" t="n"/>
      <c r="BE63" s="545" t="inlineStr">
        <is>
          <t>NI</t>
        </is>
      </c>
      <c r="BF63" s="97" t="inlineStr">
        <is>
          <t> </t>
        </is>
      </c>
      <c r="BG63" s="97" t="inlineStr">
        <is>
          <t> </t>
        </is>
      </c>
      <c r="BH63" s="97" t="n"/>
      <c r="BI63" s="97" t="inlineStr">
        <is>
          <t> </t>
        </is>
      </c>
      <c r="BJ63" s="97" t="inlineStr">
        <is>
          <t> </t>
        </is>
      </c>
      <c r="BK63" s="97" t="inlineStr">
        <is>
          <t> </t>
        </is>
      </c>
      <c r="BL63" s="97" t="inlineStr">
        <is>
          <t> </t>
        </is>
      </c>
      <c r="BM63" s="154" t="inlineStr">
        <is>
          <t>NA</t>
        </is>
      </c>
      <c r="BN63" s="83" t="inlineStr">
        <is>
          <t> </t>
        </is>
      </c>
    </row>
    <row r="64" ht="69.75" customHeight="1">
      <c r="A64" s="95" t="inlineStr">
        <is>
          <t>CENTRO-OESTE</t>
        </is>
      </c>
      <c r="B64" s="95" t="inlineStr">
        <is>
          <t>MT</t>
        </is>
      </c>
      <c r="C64" s="95" t="inlineStr">
        <is>
          <t>CUIABA</t>
        </is>
      </c>
      <c r="D64" s="95" t="inlineStr">
        <is>
          <t>ASSOCIAÇÃO MATOGROSSENSE DE COMBATE AO CÂNCER</t>
        </is>
      </c>
      <c r="E64" s="557" t="inlineStr">
        <is>
          <t>24672792000109</t>
        </is>
      </c>
      <c r="F64" s="557" t="n">
        <v>2534444</v>
      </c>
      <c r="G64" s="95" t="inlineStr">
        <is>
          <t>Transferegov/SEI</t>
        </is>
      </c>
      <c r="H64" s="95" t="inlineStr">
        <is>
          <t>Convênio</t>
        </is>
      </c>
      <c r="I64" s="95" t="n">
        <v>971380</v>
      </c>
      <c r="J64" s="556" t="inlineStr">
        <is>
          <t>92467224006</t>
        </is>
      </c>
      <c r="K64" s="557" t="inlineStr">
        <is>
          <t>25000.164420/2024-20</t>
        </is>
      </c>
      <c r="L64" s="95" t="inlineStr">
        <is>
          <t>REDE DE ATENÇÃO À PESSOA COM DOENÇAS CRÔNICAS - HOSPITAL HABILITADO NA ALTA COMPLEXIDADE EM ONCOLOGIA</t>
        </is>
      </c>
      <c r="M64" s="95" t="n">
        <v>554</v>
      </c>
      <c r="N64" s="95" t="n">
        <v>2024</v>
      </c>
      <c r="O64" s="95" t="inlineStr">
        <is>
          <t>NA</t>
        </is>
      </c>
      <c r="P64" s="95" t="inlineStr">
        <is>
          <t>UND</t>
        </is>
      </c>
      <c r="Q64" s="95" t="inlineStr">
        <is>
          <t>NA</t>
        </is>
      </c>
      <c r="R64" s="555" t="n">
        <v>45784</v>
      </c>
      <c r="S64" s="555" t="n">
        <v>46452</v>
      </c>
      <c r="T64" s="555" t="n">
        <v>46512</v>
      </c>
      <c r="U64" s="554" t="n"/>
      <c r="V64" s="554" t="n">
        <v>5812094</v>
      </c>
      <c r="W64" s="554" t="inlineStr">
        <is>
          <t>R$ 4.436.559,88</t>
        </is>
      </c>
      <c r="X64" s="554" t="n">
        <v>0</v>
      </c>
      <c r="Y64" s="95" t="inlineStr">
        <is>
          <t>EM ELABORAÇÃO</t>
        </is>
      </c>
      <c r="Z64" s="555" t="n">
        <v>45964</v>
      </c>
      <c r="AA64" s="95" t="inlineStr">
        <is>
          <t> </t>
        </is>
      </c>
      <c r="AB64" s="95" t="inlineStr">
        <is>
          <t>NA</t>
        </is>
      </c>
      <c r="AC64" s="95" t="inlineStr">
        <is>
          <t>NA</t>
        </is>
      </c>
      <c r="AD64" s="554" t="n"/>
      <c r="AE64" s="95" t="inlineStr">
        <is>
          <t>NI</t>
        </is>
      </c>
      <c r="AF64" s="95" t="inlineStr">
        <is>
          <t>EM EXECUÇÃO</t>
        </is>
      </c>
      <c r="AG64" s="95" t="inlineStr">
        <is>
          <t>NI</t>
        </is>
      </c>
      <c r="AH64" s="79">
        <f>IF(AF64="Em execução","Em execução",IF(AF64="Não iniciado","Em ação preparatória",
IF(AF64="Em licitação","Em licitação / Leilão",
IF(AF64="Concluído","Concluído",IF(AF64="NI","NI")))))</f>
        <v/>
      </c>
      <c r="AI64" s="552" t="inlineStr">
        <is>
          <t>NI</t>
        </is>
      </c>
      <c r="AJ64" s="95" t="inlineStr">
        <is>
          <t>NI</t>
        </is>
      </c>
      <c r="AK64" s="95" t="inlineStr">
        <is>
          <t>NI</t>
        </is>
      </c>
      <c r="AL64" s="95" t="n"/>
      <c r="AM64" s="95" t="inlineStr">
        <is>
          <t>Não iniciado</t>
        </is>
      </c>
      <c r="AN64" s="95" t="inlineStr">
        <is>
          <t>Substituição e Ampliação</t>
        </is>
      </c>
      <c r="AO64" s="95" t="inlineStr">
        <is>
          <t>Várias</t>
        </is>
      </c>
      <c r="AP64" s="95" t="n"/>
      <c r="AQ64" s="95" t="n"/>
      <c r="AR64" s="551" t="inlineStr">
        <is>
          <t>Inclusão do 2 mamógrafo em análise</t>
        </is>
      </c>
      <c r="AS64" s="95" t="n"/>
      <c r="AT64" s="95" t="n"/>
      <c r="AU64" s="555" t="inlineStr">
        <is>
          <t> </t>
        </is>
      </c>
      <c r="AV64" s="555" t="inlineStr">
        <is>
          <t> </t>
        </is>
      </c>
      <c r="AW64" s="555" t="inlineStr">
        <is>
          <t> </t>
        </is>
      </c>
      <c r="AX64" s="555" t="inlineStr">
        <is>
          <t> </t>
        </is>
      </c>
      <c r="AY64" s="555" t="inlineStr">
        <is>
          <t> </t>
        </is>
      </c>
      <c r="AZ64" s="555" t="inlineStr">
        <is>
          <t> </t>
        </is>
      </c>
      <c r="BA64" s="95" t="n"/>
      <c r="BB64" s="95" t="n"/>
      <c r="BC64" s="95" t="n"/>
      <c r="BD64" s="95" t="n"/>
      <c r="BE64" s="96" t="inlineStr">
        <is>
          <t>NI</t>
        </is>
      </c>
      <c r="BF64" s="95" t="inlineStr">
        <is>
          <t> </t>
        </is>
      </c>
      <c r="BG64" s="95" t="inlineStr">
        <is>
          <t> </t>
        </is>
      </c>
      <c r="BH64" s="95" t="n"/>
      <c r="BI64" s="95" t="inlineStr">
        <is>
          <t> </t>
        </is>
      </c>
      <c r="BJ64" s="95" t="inlineStr">
        <is>
          <t> </t>
        </is>
      </c>
      <c r="BK64" s="95" t="inlineStr">
        <is>
          <t> </t>
        </is>
      </c>
      <c r="BL64" s="95" t="inlineStr">
        <is>
          <t> </t>
        </is>
      </c>
      <c r="BM64" s="554" t="inlineStr">
        <is>
          <t>NA</t>
        </is>
      </c>
      <c r="BN64" s="83" t="inlineStr">
        <is>
          <t> </t>
        </is>
      </c>
    </row>
    <row r="65" ht="81.75" customHeight="1">
      <c r="A65" s="97" t="inlineStr">
        <is>
          <t>CENTRO-OESTE</t>
        </is>
      </c>
      <c r="B65" s="97" t="inlineStr">
        <is>
          <t>MT</t>
        </is>
      </c>
      <c r="C65" s="97" t="inlineStr">
        <is>
          <t>CUIABA</t>
        </is>
      </c>
      <c r="D65" s="97" t="inlineStr">
        <is>
          <t>ASSOCIAÇÃO MATOGROSSENSE DE COMBATE AO CÂNCER</t>
        </is>
      </c>
      <c r="E65" s="549" t="inlineStr">
        <is>
          <t>24672792000109</t>
        </is>
      </c>
      <c r="F65" s="550" t="n">
        <v>2534444</v>
      </c>
      <c r="G65" s="97" t="inlineStr">
        <is>
          <t>Transferegov/SEI</t>
        </is>
      </c>
      <c r="H65" s="97" t="inlineStr">
        <is>
          <t>Convênio</t>
        </is>
      </c>
      <c r="I65" s="97" t="n">
        <v>971380</v>
      </c>
      <c r="J65" s="549" t="inlineStr">
        <is>
          <t>92467224006</t>
        </is>
      </c>
      <c r="K65" s="550" t="inlineStr">
        <is>
          <t>25000.164420/2024-20</t>
        </is>
      </c>
      <c r="L65" s="97" t="inlineStr">
        <is>
          <t>REDE DE ATENÇÃO À PESSOA COM DOENÇAS CRÔNICAS - HOSPITAL HABILITADO NA ALTA COMPLEXIDADE EM ONCOLOGIA</t>
        </is>
      </c>
      <c r="M65" s="97" t="inlineStr">
        <is>
          <t>NA</t>
        </is>
      </c>
      <c r="N65" s="97" t="n">
        <v>2024</v>
      </c>
      <c r="O65" s="97" t="n">
        <v>1</v>
      </c>
      <c r="P65" s="97" t="inlineStr">
        <is>
          <t>UND</t>
        </is>
      </c>
      <c r="Q65" s="97" t="inlineStr">
        <is>
          <t>10925 - Mamógrafo</t>
        </is>
      </c>
      <c r="R65" s="548" t="n">
        <v>45784</v>
      </c>
      <c r="S65" s="548" t="n">
        <v>46452</v>
      </c>
      <c r="T65" s="548" t="n">
        <v>46512</v>
      </c>
      <c r="U65" s="154" t="n"/>
      <c r="V65" s="547" t="n">
        <v>5812094</v>
      </c>
      <c r="W65" s="154" t="inlineStr">
        <is>
          <t>NA</t>
        </is>
      </c>
      <c r="X65" s="547" t="inlineStr">
        <is>
          <t>NA</t>
        </is>
      </c>
      <c r="Y65" s="97" t="inlineStr">
        <is>
          <t>HOMOLOGADA</t>
        </is>
      </c>
      <c r="Z65" s="154" t="inlineStr">
        <is>
          <t>NA</t>
        </is>
      </c>
      <c r="AA65" s="97" t="inlineStr">
        <is>
          <t> </t>
        </is>
      </c>
      <c r="AB65" s="97" t="inlineStr">
        <is>
          <t>SIEMENS HEALTHCASE DIAGNOSTICOS LTDA</t>
        </is>
      </c>
      <c r="AC65" s="97" t="inlineStr">
        <is>
          <t>MOMMOMAT FUSION</t>
        </is>
      </c>
      <c r="AD65" s="154" t="n"/>
      <c r="AE65" s="97" t="inlineStr">
        <is>
          <t>NI</t>
        </is>
      </c>
      <c r="AF65" s="97" t="inlineStr">
        <is>
          <t>EM EXECUÇÃO</t>
        </is>
      </c>
      <c r="AG65" s="97" t="inlineStr">
        <is>
          <t>NI</t>
        </is>
      </c>
      <c r="AH65" s="78">
        <f>IF(AF65="Em execução","Em execução",IF(AF65="Não iniciado","Em ação preparatória",
IF(AF65="Em licitação","Em licitação / Leilão",
IF(AF65="Concluído","Concluído",IF(AF65="NI","NI")))))</f>
        <v/>
      </c>
      <c r="AI65" s="546" t="inlineStr">
        <is>
          <t>NI</t>
        </is>
      </c>
      <c r="AJ65" s="97" t="inlineStr">
        <is>
          <t>Leonardo Barsante</t>
        </is>
      </c>
      <c r="AK65" s="97" t="inlineStr">
        <is>
          <t>NI</t>
        </is>
      </c>
      <c r="AL65" s="97" t="inlineStr">
        <is>
          <t>Tático</t>
        </is>
      </c>
      <c r="AM65" s="97" t="inlineStr">
        <is>
          <t>Não iniciado</t>
        </is>
      </c>
      <c r="AN65" s="97" t="inlineStr">
        <is>
          <t>Substituição</t>
        </is>
      </c>
      <c r="AO65" s="97" t="inlineStr">
        <is>
          <t>Rastreamento</t>
        </is>
      </c>
      <c r="AP65" s="97" t="n"/>
      <c r="AQ65" s="97" t="n"/>
      <c r="AR65" s="97" t="inlineStr">
        <is>
          <t>Em verificação de déficit pela DITRE</t>
        </is>
      </c>
      <c r="AS65" s="97" t="n"/>
      <c r="AT65" s="97" t="n"/>
      <c r="AU65" s="548" t="inlineStr">
        <is>
          <t> </t>
        </is>
      </c>
      <c r="AV65" s="548" t="inlineStr">
        <is>
          <t> </t>
        </is>
      </c>
      <c r="AW65" s="548" t="inlineStr">
        <is>
          <t> </t>
        </is>
      </c>
      <c r="AX65" s="548" t="inlineStr">
        <is>
          <t> </t>
        </is>
      </c>
      <c r="AY65" s="548" t="inlineStr">
        <is>
          <t> </t>
        </is>
      </c>
      <c r="AZ65" s="548" t="inlineStr">
        <is>
          <t> </t>
        </is>
      </c>
      <c r="BA65" s="97" t="n"/>
      <c r="BB65" s="97" t="n"/>
      <c r="BC65" s="97" t="n"/>
      <c r="BD65" s="97" t="n"/>
      <c r="BE65" s="545" t="inlineStr">
        <is>
          <t>NI</t>
        </is>
      </c>
      <c r="BF65" s="97" t="inlineStr">
        <is>
          <t> </t>
        </is>
      </c>
      <c r="BG65" s="97" t="inlineStr">
        <is>
          <t> </t>
        </is>
      </c>
      <c r="BH65" s="97" t="n"/>
      <c r="BI65" s="97" t="inlineStr">
        <is>
          <t> </t>
        </is>
      </c>
      <c r="BJ65" s="97" t="inlineStr">
        <is>
          <t> </t>
        </is>
      </c>
      <c r="BK65" s="97" t="inlineStr">
        <is>
          <t> </t>
        </is>
      </c>
      <c r="BL65" s="97" t="inlineStr">
        <is>
          <t> </t>
        </is>
      </c>
      <c r="BM65" s="154" t="inlineStr">
        <is>
          <t>NA</t>
        </is>
      </c>
      <c r="BN65" s="83" t="inlineStr">
        <is>
          <t> </t>
        </is>
      </c>
    </row>
    <row r="66" ht="76.5" customHeight="1">
      <c r="A66" s="97" t="inlineStr">
        <is>
          <t>CENTRO-OESTE</t>
        </is>
      </c>
      <c r="B66" s="97" t="inlineStr">
        <is>
          <t>MT</t>
        </is>
      </c>
      <c r="C66" s="97" t="inlineStr">
        <is>
          <t>CUIABA</t>
        </is>
      </c>
      <c r="D66" s="97" t="inlineStr">
        <is>
          <t>ASSOCIAÇÃO MATOGROSSENSE DE COMBATE AO CÂNCER</t>
        </is>
      </c>
      <c r="E66" s="549" t="inlineStr">
        <is>
          <t>24672792000109</t>
        </is>
      </c>
      <c r="F66" s="550" t="n">
        <v>2534444</v>
      </c>
      <c r="G66" s="97" t="inlineStr">
        <is>
          <t>Transferegov/SEI</t>
        </is>
      </c>
      <c r="H66" s="97" t="inlineStr">
        <is>
          <t>Convênio</t>
        </is>
      </c>
      <c r="I66" s="97" t="n">
        <v>971380</v>
      </c>
      <c r="J66" s="549" t="inlineStr">
        <is>
          <t>92467224006</t>
        </is>
      </c>
      <c r="K66" s="550" t="inlineStr">
        <is>
          <t>25000.164420/2024-20</t>
        </is>
      </c>
      <c r="L66" s="97" t="inlineStr">
        <is>
          <t>REDE DE ATENÇÃO À PESSOA COM DOENÇAS CRÔNICAS - HOSPITAL HABILITADO NA ALTA COMPLEXIDADE EM ONCOLOGIA</t>
        </is>
      </c>
      <c r="M66" s="97" t="inlineStr">
        <is>
          <t>NA</t>
        </is>
      </c>
      <c r="N66" s="97" t="n">
        <v>2024</v>
      </c>
      <c r="O66" s="97" t="n">
        <v>1</v>
      </c>
      <c r="P66" s="97" t="inlineStr">
        <is>
          <t>UND</t>
        </is>
      </c>
      <c r="Q66" s="97" t="inlineStr">
        <is>
          <t>11422 - Ultrassom Diagnóstico sem Aplicação Transesofágica</t>
        </is>
      </c>
      <c r="R66" s="548" t="n">
        <v>45784</v>
      </c>
      <c r="S66" s="548" t="n">
        <v>46452</v>
      </c>
      <c r="T66" s="548" t="n">
        <v>46512</v>
      </c>
      <c r="U66" s="154" t="n"/>
      <c r="V66" s="547" t="n">
        <v>5812094</v>
      </c>
      <c r="W66" s="154" t="inlineStr">
        <is>
          <t>NA</t>
        </is>
      </c>
      <c r="X66" s="547" t="inlineStr">
        <is>
          <t>NA</t>
        </is>
      </c>
      <c r="Y66" s="97" t="inlineStr">
        <is>
          <t>HOMOLOGADA</t>
        </is>
      </c>
      <c r="Z66" s="154" t="inlineStr">
        <is>
          <t>NA</t>
        </is>
      </c>
      <c r="AA66" s="97" t="inlineStr">
        <is>
          <t> </t>
        </is>
      </c>
      <c r="AB66" s="97" t="inlineStr">
        <is>
          <t>CANON MEDICAL SYSTEMS DO BRASIL LTDA</t>
        </is>
      </c>
      <c r="AC66" s="97" t="inlineStr">
        <is>
          <t>ECÓGRAFO DIGITAL APLIO A/CUS-AA000</t>
        </is>
      </c>
      <c r="AD66" s="154" t="n"/>
      <c r="AE66" s="97" t="inlineStr">
        <is>
          <t>NI</t>
        </is>
      </c>
      <c r="AF66" s="97" t="inlineStr">
        <is>
          <t>EM EXECUÇÃO</t>
        </is>
      </c>
      <c r="AG66" s="97" t="inlineStr">
        <is>
          <t>NI</t>
        </is>
      </c>
      <c r="AH66" s="78">
        <f>IF(AF66="Em execução","Em execução",IF(AF66="Não iniciado","Em ação preparatória",
IF(AF66="Em licitação","Em licitação / Leilão",
IF(AF66="Concluído","Concluído",IF(AF66="NI","NI")))))</f>
        <v/>
      </c>
      <c r="AI66" s="546" t="inlineStr">
        <is>
          <t>NI</t>
        </is>
      </c>
      <c r="AJ66" s="97" t="inlineStr">
        <is>
          <t>NI</t>
        </is>
      </c>
      <c r="AK66" s="97" t="inlineStr">
        <is>
          <t>NI</t>
        </is>
      </c>
      <c r="AL66" s="97" t="n"/>
      <c r="AM66" s="97" t="inlineStr">
        <is>
          <t>Não iniciado</t>
        </is>
      </c>
      <c r="AN66" s="97" t="inlineStr">
        <is>
          <t>Substituição</t>
        </is>
      </c>
      <c r="AO66" s="97" t="inlineStr">
        <is>
          <t>Diagnóstico</t>
        </is>
      </c>
      <c r="AP66" s="97" t="n"/>
      <c r="AQ66" s="97" t="n"/>
      <c r="AR66" s="544" t="inlineStr">
        <is>
          <t> </t>
        </is>
      </c>
      <c r="AS66" s="97" t="n"/>
      <c r="AT66" s="97" t="n"/>
      <c r="AU66" s="548" t="inlineStr">
        <is>
          <t> </t>
        </is>
      </c>
      <c r="AV66" s="548" t="inlineStr">
        <is>
          <t> </t>
        </is>
      </c>
      <c r="AW66" s="548" t="inlineStr">
        <is>
          <t> </t>
        </is>
      </c>
      <c r="AX66" s="548" t="inlineStr">
        <is>
          <t> </t>
        </is>
      </c>
      <c r="AY66" s="548" t="inlineStr">
        <is>
          <t> </t>
        </is>
      </c>
      <c r="AZ66" s="548" t="inlineStr">
        <is>
          <t> </t>
        </is>
      </c>
      <c r="BA66" s="97" t="n"/>
      <c r="BB66" s="97" t="n"/>
      <c r="BC66" s="540" t="n"/>
      <c r="BD66" s="97" t="n"/>
      <c r="BE66" s="545" t="inlineStr">
        <is>
          <t>NI</t>
        </is>
      </c>
      <c r="BF66" s="97" t="inlineStr">
        <is>
          <t> </t>
        </is>
      </c>
      <c r="BG66" s="97" t="inlineStr">
        <is>
          <t> </t>
        </is>
      </c>
      <c r="BH66" s="97" t="n"/>
      <c r="BI66" s="97" t="inlineStr">
        <is>
          <t> </t>
        </is>
      </c>
      <c r="BJ66" s="97" t="inlineStr">
        <is>
          <t> </t>
        </is>
      </c>
      <c r="BK66" s="97" t="inlineStr">
        <is>
          <t> </t>
        </is>
      </c>
      <c r="BL66" s="97" t="inlineStr">
        <is>
          <t> </t>
        </is>
      </c>
      <c r="BM66" s="154" t="inlineStr">
        <is>
          <t>NA</t>
        </is>
      </c>
      <c r="BN66" s="83" t="inlineStr">
        <is>
          <t> </t>
        </is>
      </c>
    </row>
    <row r="67" ht="72.75" customHeight="1">
      <c r="A67" s="97" t="inlineStr">
        <is>
          <t>CENTRO-OESTE</t>
        </is>
      </c>
      <c r="B67" s="97" t="inlineStr">
        <is>
          <t>MT</t>
        </is>
      </c>
      <c r="C67" s="97" t="inlineStr">
        <is>
          <t>CUIABA</t>
        </is>
      </c>
      <c r="D67" s="97" t="inlineStr">
        <is>
          <t>ASSOCIAÇÃO MATOGROSSENSE DE COMBATE AO CÂNCER</t>
        </is>
      </c>
      <c r="E67" s="549" t="inlineStr">
        <is>
          <t>24672792000109</t>
        </is>
      </c>
      <c r="F67" s="550" t="n">
        <v>2534444</v>
      </c>
      <c r="G67" s="97" t="inlineStr">
        <is>
          <t>Transferegov/SEI</t>
        </is>
      </c>
      <c r="H67" s="97" t="inlineStr">
        <is>
          <t>Convênio</t>
        </is>
      </c>
      <c r="I67" s="97" t="n">
        <v>971380</v>
      </c>
      <c r="J67" s="549" t="inlineStr">
        <is>
          <t>92467224006</t>
        </is>
      </c>
      <c r="K67" s="550" t="inlineStr">
        <is>
          <t>25000.164420/2024-20</t>
        </is>
      </c>
      <c r="L67" s="97" t="inlineStr">
        <is>
          <t>REDE DE ATENÇÃO À PESSOA COM DOENÇAS CRÔNICAS - HOSPITAL HABILITADO NA ALTA COMPLEXIDADE EM ONCOLOGIA</t>
        </is>
      </c>
      <c r="M67" s="97" t="inlineStr">
        <is>
          <t>NA</t>
        </is>
      </c>
      <c r="N67" s="97" t="n">
        <v>2024</v>
      </c>
      <c r="O67" s="97" t="n">
        <v>1</v>
      </c>
      <c r="P67" s="97" t="inlineStr">
        <is>
          <t>UND</t>
        </is>
      </c>
      <c r="Q67" s="97" t="inlineStr">
        <is>
          <t>11268 - Sistema de Vídeo Endoscopia Flexível</t>
        </is>
      </c>
      <c r="R67" s="548" t="n">
        <v>45784</v>
      </c>
      <c r="S67" s="548" t="n">
        <v>46452</v>
      </c>
      <c r="T67" s="548" t="n">
        <v>46512</v>
      </c>
      <c r="U67" s="154" t="n"/>
      <c r="V67" s="547" t="n">
        <v>5812094</v>
      </c>
      <c r="W67" s="154" t="inlineStr">
        <is>
          <t>NA</t>
        </is>
      </c>
      <c r="X67" s="547" t="inlineStr">
        <is>
          <t>NA</t>
        </is>
      </c>
      <c r="Y67" s="132" t="inlineStr">
        <is>
          <t>EM ELABORAÇÃO</t>
        </is>
      </c>
      <c r="Z67" s="154" t="inlineStr">
        <is>
          <t>NA</t>
        </is>
      </c>
      <c r="AA67" s="97" t="inlineStr">
        <is>
          <t> </t>
        </is>
      </c>
      <c r="AB67" s="132" t="inlineStr">
        <is>
          <t>NI</t>
        </is>
      </c>
      <c r="AC67" s="132" t="inlineStr">
        <is>
          <t xml:space="preserve">  NI</t>
        </is>
      </c>
      <c r="AD67" s="154" t="n"/>
      <c r="AE67" s="97" t="inlineStr">
        <is>
          <t>NI</t>
        </is>
      </c>
      <c r="AF67" s="97" t="inlineStr">
        <is>
          <t>EM EXECUÇÃO</t>
        </is>
      </c>
      <c r="AG67" s="97" t="inlineStr">
        <is>
          <t>NI</t>
        </is>
      </c>
      <c r="AH67" s="78">
        <f>IF(AF67="Em execução","Em execução",IF(AF67="Não iniciado","Em ação preparatória",
IF(AF67="Em licitação","Em licitação / Leilão",
IF(AF67="Concluído","Concluído",IF(AF67="NI","NI")))))</f>
        <v/>
      </c>
      <c r="AI67" s="546" t="inlineStr">
        <is>
          <t>NI</t>
        </is>
      </c>
      <c r="AJ67" s="97" t="inlineStr">
        <is>
          <t>NI</t>
        </is>
      </c>
      <c r="AK67" s="97" t="inlineStr">
        <is>
          <t>NI</t>
        </is>
      </c>
      <c r="AL67" s="97" t="n"/>
      <c r="AM67" s="97" t="inlineStr">
        <is>
          <t>Não iniciado</t>
        </is>
      </c>
      <c r="AN67" s="97" t="inlineStr">
        <is>
          <t>Substituição</t>
        </is>
      </c>
      <c r="AO67" s="97" t="inlineStr">
        <is>
          <t>Diagnóstico</t>
        </is>
      </c>
      <c r="AP67" s="97" t="n"/>
      <c r="AQ67" s="97" t="n"/>
      <c r="AR67" s="544" t="inlineStr">
        <is>
          <t> </t>
        </is>
      </c>
      <c r="AS67" s="97" t="n"/>
      <c r="AT67" s="97" t="n"/>
      <c r="AU67" s="548" t="inlineStr">
        <is>
          <t> </t>
        </is>
      </c>
      <c r="AV67" s="548" t="inlineStr">
        <is>
          <t> </t>
        </is>
      </c>
      <c r="AW67" s="548" t="inlineStr">
        <is>
          <t> </t>
        </is>
      </c>
      <c r="AX67" s="548" t="inlineStr">
        <is>
          <t> </t>
        </is>
      </c>
      <c r="AY67" s="548" t="inlineStr">
        <is>
          <t> </t>
        </is>
      </c>
      <c r="AZ67" s="548" t="inlineStr">
        <is>
          <t> </t>
        </is>
      </c>
      <c r="BA67" s="97" t="n"/>
      <c r="BB67" s="97" t="n"/>
      <c r="BC67" s="97" t="n"/>
      <c r="BD67" s="97" t="n"/>
      <c r="BE67" s="545" t="inlineStr">
        <is>
          <t>NI</t>
        </is>
      </c>
      <c r="BF67" s="97" t="inlineStr">
        <is>
          <t> </t>
        </is>
      </c>
      <c r="BG67" s="97" t="inlineStr">
        <is>
          <t> </t>
        </is>
      </c>
      <c r="BH67" s="97" t="n"/>
      <c r="BI67" s="97" t="inlineStr">
        <is>
          <t> </t>
        </is>
      </c>
      <c r="BJ67" s="97" t="inlineStr">
        <is>
          <t> </t>
        </is>
      </c>
      <c r="BK67" s="97" t="inlineStr">
        <is>
          <t> </t>
        </is>
      </c>
      <c r="BL67" s="97" t="inlineStr">
        <is>
          <t> </t>
        </is>
      </c>
      <c r="BM67" s="154" t="inlineStr">
        <is>
          <t>NA</t>
        </is>
      </c>
      <c r="BN67" s="83" t="inlineStr">
        <is>
          <t> </t>
        </is>
      </c>
    </row>
    <row r="68" ht="74.25" customHeight="1">
      <c r="A68" s="97" t="inlineStr">
        <is>
          <t>CENTRO-OESTE</t>
        </is>
      </c>
      <c r="B68" s="97" t="inlineStr">
        <is>
          <t>MT</t>
        </is>
      </c>
      <c r="C68" s="97" t="inlineStr">
        <is>
          <t>CUIABA</t>
        </is>
      </c>
      <c r="D68" s="97" t="inlineStr">
        <is>
          <t>ASSOCIAÇÃO MATOGROSSENSE DE COMBATE AO CÂNCER</t>
        </is>
      </c>
      <c r="E68" s="549" t="inlineStr">
        <is>
          <t>24672792000109</t>
        </is>
      </c>
      <c r="F68" s="550" t="n">
        <v>2534444</v>
      </c>
      <c r="G68" s="97" t="inlineStr">
        <is>
          <t>Transferegov/SEI</t>
        </is>
      </c>
      <c r="H68" s="97" t="inlineStr">
        <is>
          <t>Convênio</t>
        </is>
      </c>
      <c r="I68" s="97" t="n">
        <v>971380</v>
      </c>
      <c r="J68" s="549" t="inlineStr">
        <is>
          <t>92467224006</t>
        </is>
      </c>
      <c r="K68" s="550" t="inlineStr">
        <is>
          <t>25000.164420/2024-20</t>
        </is>
      </c>
      <c r="L68" s="97" t="inlineStr">
        <is>
          <t>REDE DE ATENÇÃO À PESSOA COM DOENÇAS CRÔNICAS - HOSPITAL HABILITADO NA ALTA COMPLEXIDADE EM ONCOLOGIA</t>
        </is>
      </c>
      <c r="M68" s="97" t="inlineStr">
        <is>
          <t>NA</t>
        </is>
      </c>
      <c r="N68" s="97" t="n">
        <v>2024</v>
      </c>
      <c r="O68" s="97" t="n">
        <v>2</v>
      </c>
      <c r="P68" s="97" t="inlineStr">
        <is>
          <t>UND</t>
        </is>
      </c>
      <c r="Q68" s="97" t="inlineStr">
        <is>
          <t>10254 - Sistema de Vídeo Endoscopia Rígida</t>
        </is>
      </c>
      <c r="R68" s="548" t="n">
        <v>45784</v>
      </c>
      <c r="S68" s="548" t="n">
        <v>46452</v>
      </c>
      <c r="T68" s="548" t="n">
        <v>46512</v>
      </c>
      <c r="U68" s="154" t="n"/>
      <c r="V68" s="547" t="n">
        <v>5812094</v>
      </c>
      <c r="W68" s="154" t="inlineStr">
        <is>
          <t>NA</t>
        </is>
      </c>
      <c r="X68" s="547" t="inlineStr">
        <is>
          <t>NA</t>
        </is>
      </c>
      <c r="Y68" s="132" t="inlineStr">
        <is>
          <t>HOMOLOGADA</t>
        </is>
      </c>
      <c r="Z68" s="154" t="inlineStr">
        <is>
          <t>NA</t>
        </is>
      </c>
      <c r="AA68" s="97" t="inlineStr">
        <is>
          <t> </t>
        </is>
      </c>
      <c r="AB68" s="132" t="inlineStr">
        <is>
          <t>HOSPCOM EQUIPAMENTOS HOSPITALARES</t>
        </is>
      </c>
      <c r="AC68" s="132" t="inlineStr">
        <is>
          <t xml:space="preserve"> UX3 MINDRAY</t>
        </is>
      </c>
      <c r="AD68" s="154" t="n"/>
      <c r="AE68" s="97" t="inlineStr">
        <is>
          <t>NI</t>
        </is>
      </c>
      <c r="AF68" s="97" t="inlineStr">
        <is>
          <t>EM EXECUÇÃO</t>
        </is>
      </c>
      <c r="AG68" s="97" t="inlineStr">
        <is>
          <t>NI</t>
        </is>
      </c>
      <c r="AH68" s="78">
        <f>IF(AF68="Em execução","Em execução",IF(AF68="Não iniciado","Em ação preparatória",
IF(AF68="Em licitação","Em licitação / Leilão",
IF(AF68="Concluído","Concluído",IF(AF68="NI","NI")))))</f>
        <v/>
      </c>
      <c r="AI68" s="546" t="inlineStr">
        <is>
          <t>NI</t>
        </is>
      </c>
      <c r="AJ68" s="97" t="inlineStr">
        <is>
          <t>NI</t>
        </is>
      </c>
      <c r="AK68" s="97" t="inlineStr">
        <is>
          <t>NI</t>
        </is>
      </c>
      <c r="AL68" s="97" t="n"/>
      <c r="AM68" s="97" t="inlineStr">
        <is>
          <t>Não iniciado</t>
        </is>
      </c>
      <c r="AN68" s="97" t="inlineStr">
        <is>
          <t>Substituição</t>
        </is>
      </c>
      <c r="AO68" s="97" t="inlineStr">
        <is>
          <t>Diagnóstico</t>
        </is>
      </c>
      <c r="AP68" s="97" t="n"/>
      <c r="AQ68" s="97" t="n"/>
      <c r="AR68" s="544" t="inlineStr">
        <is>
          <t> </t>
        </is>
      </c>
      <c r="AS68" s="97" t="n"/>
      <c r="AT68" s="97" t="n"/>
      <c r="AU68" s="548" t="inlineStr">
        <is>
          <t> </t>
        </is>
      </c>
      <c r="AV68" s="548" t="inlineStr">
        <is>
          <t> </t>
        </is>
      </c>
      <c r="AW68" s="548" t="inlineStr">
        <is>
          <t> </t>
        </is>
      </c>
      <c r="AX68" s="548" t="inlineStr">
        <is>
          <t> </t>
        </is>
      </c>
      <c r="AY68" s="548" t="inlineStr">
        <is>
          <t> </t>
        </is>
      </c>
      <c r="AZ68" s="548" t="inlineStr">
        <is>
          <t> </t>
        </is>
      </c>
      <c r="BA68" s="97" t="n"/>
      <c r="BB68" s="97" t="n"/>
      <c r="BC68" s="97" t="n"/>
      <c r="BD68" s="97" t="n"/>
      <c r="BE68" s="545" t="inlineStr">
        <is>
          <t>NI</t>
        </is>
      </c>
      <c r="BF68" s="97" t="inlineStr">
        <is>
          <t> </t>
        </is>
      </c>
      <c r="BG68" s="97" t="inlineStr">
        <is>
          <t> </t>
        </is>
      </c>
      <c r="BH68" s="97" t="n"/>
      <c r="BI68" s="97" t="inlineStr">
        <is>
          <t> </t>
        </is>
      </c>
      <c r="BJ68" s="97" t="inlineStr">
        <is>
          <t> </t>
        </is>
      </c>
      <c r="BK68" s="97" t="inlineStr">
        <is>
          <t> </t>
        </is>
      </c>
      <c r="BL68" s="97" t="inlineStr">
        <is>
          <t> </t>
        </is>
      </c>
      <c r="BM68" s="154" t="inlineStr">
        <is>
          <t>NA</t>
        </is>
      </c>
      <c r="BN68" s="83" t="inlineStr">
        <is>
          <t> </t>
        </is>
      </c>
    </row>
    <row r="69" ht="87" customHeight="1">
      <c r="A69" s="95" t="inlineStr">
        <is>
          <t>NORDESTE</t>
        </is>
      </c>
      <c r="B69" s="95" t="inlineStr">
        <is>
          <t>PB</t>
        </is>
      </c>
      <c r="C69" s="95" t="inlineStr">
        <is>
          <t>JOAO PESSOA</t>
        </is>
      </c>
      <c r="D69" s="95" t="inlineStr">
        <is>
          <t>FUNDO MUNICIPAL DE SAUDE</t>
        </is>
      </c>
      <c r="E69" s="556" t="inlineStr">
        <is>
          <t>08715618000140</t>
        </is>
      </c>
      <c r="F69" s="557" t="n">
        <v>2399970</v>
      </c>
      <c r="G69" s="95" t="inlineStr">
        <is>
          <t>SISPRO</t>
        </is>
      </c>
      <c r="H69" s="95" t="inlineStr">
        <is>
          <t>FAF</t>
        </is>
      </c>
      <c r="I69" s="557" t="inlineStr">
        <is>
          <t>NI</t>
        </is>
      </c>
      <c r="J69" s="556" t="inlineStr">
        <is>
          <t>08715618000124011</t>
        </is>
      </c>
      <c r="K69" s="557" t="inlineStr">
        <is>
          <t>NI</t>
        </is>
      </c>
      <c r="L69" s="95" t="inlineStr">
        <is>
          <t>REDE DE ATENÇÃO À PESSOA COM DOENÇAS CRÔNICAS - AMBULATÓRIO PARA DIAGNÓSTICO EM ONCOLOGIA</t>
        </is>
      </c>
      <c r="M69" s="95" t="n">
        <v>15</v>
      </c>
      <c r="N69" s="95" t="n">
        <v>2024</v>
      </c>
      <c r="O69" s="95" t="inlineStr">
        <is>
          <t>NA</t>
        </is>
      </c>
      <c r="P69" s="95" t="inlineStr">
        <is>
          <t>UND</t>
        </is>
      </c>
      <c r="Q69" s="95" t="inlineStr">
        <is>
          <t>NA</t>
        </is>
      </c>
      <c r="R69" s="555" t="n">
        <v>45637</v>
      </c>
      <c r="S69" s="555" t="n">
        <v>46456</v>
      </c>
      <c r="T69" s="555" t="n">
        <v>46456</v>
      </c>
      <c r="U69" s="554" t="n"/>
      <c r="V69" s="554" t="n">
        <v>1466156</v>
      </c>
      <c r="W69" s="554" t="n">
        <v>1466156</v>
      </c>
      <c r="X69" s="554" t="n">
        <v>0</v>
      </c>
      <c r="Y69" s="95" t="inlineStr">
        <is>
          <t>NI</t>
        </is>
      </c>
      <c r="Z69" s="555" t="n">
        <v>45726</v>
      </c>
      <c r="AA69" s="95" t="inlineStr">
        <is>
          <t> </t>
        </is>
      </c>
      <c r="AB69" s="95" t="inlineStr">
        <is>
          <t>NI</t>
        </is>
      </c>
      <c r="AC69" s="95" t="inlineStr">
        <is>
          <t>NA</t>
        </is>
      </c>
      <c r="AD69" s="554" t="n"/>
      <c r="AE69" s="95" t="inlineStr">
        <is>
          <t>NA</t>
        </is>
      </c>
      <c r="AF69" s="95" t="inlineStr">
        <is>
          <t>NI</t>
        </is>
      </c>
      <c r="AG69" s="95" t="inlineStr">
        <is>
          <t>NI</t>
        </is>
      </c>
      <c r="AH69" s="79">
        <f>IF(AF69="Em execução","Em execução",IF(AF69="Não iniciado","Em ação preparatória",
IF(AF69="Em licitação","Em licitação / Leilão",
IF(AF69="Concluído","Concluído",IF(AF69="NI","NI")))))</f>
        <v/>
      </c>
      <c r="AI69" s="552" t="inlineStr">
        <is>
          <t>NI</t>
        </is>
      </c>
      <c r="AJ69" s="95" t="inlineStr">
        <is>
          <t>NI</t>
        </is>
      </c>
      <c r="AK69" s="95" t="inlineStr">
        <is>
          <t>NI</t>
        </is>
      </c>
      <c r="AL69" s="95" t="n"/>
      <c r="AM69" s="95" t="inlineStr">
        <is>
          <t>Iniciado</t>
        </is>
      </c>
      <c r="AN69" s="95" t="inlineStr">
        <is>
          <t>Ampliação</t>
        </is>
      </c>
      <c r="AO69" s="95" t="inlineStr">
        <is>
          <t>Várias</t>
        </is>
      </c>
      <c r="AP69" s="95" t="n"/>
      <c r="AQ69" s="95" t="n"/>
      <c r="AR69" s="551" t="inlineStr">
        <is>
          <t> </t>
        </is>
      </c>
      <c r="AS69" s="95" t="n"/>
      <c r="AT69" s="95" t="n"/>
      <c r="AU69" s="555" t="inlineStr">
        <is>
          <t> </t>
        </is>
      </c>
      <c r="AV69" s="555" t="inlineStr">
        <is>
          <t> </t>
        </is>
      </c>
      <c r="AW69" s="555" t="inlineStr">
        <is>
          <t> </t>
        </is>
      </c>
      <c r="AX69" s="555" t="inlineStr">
        <is>
          <t> </t>
        </is>
      </c>
      <c r="AY69" s="555" t="inlineStr">
        <is>
          <t> </t>
        </is>
      </c>
      <c r="AZ69" s="555" t="inlineStr">
        <is>
          <t> </t>
        </is>
      </c>
      <c r="BA69" s="95" t="n"/>
      <c r="BB69" s="95" t="n"/>
      <c r="BC69" s="95" t="n"/>
      <c r="BD69" s="95" t="n"/>
      <c r="BE69" s="96" t="inlineStr">
        <is>
          <t>NI</t>
        </is>
      </c>
      <c r="BF69" s="95" t="inlineStr">
        <is>
          <t> </t>
        </is>
      </c>
      <c r="BG69" s="95" t="inlineStr">
        <is>
          <t> </t>
        </is>
      </c>
      <c r="BH69" s="95" t="n"/>
      <c r="BI69" s="95" t="inlineStr">
        <is>
          <t> </t>
        </is>
      </c>
      <c r="BJ69" s="95" t="inlineStr">
        <is>
          <t> </t>
        </is>
      </c>
      <c r="BK69" s="95" t="inlineStr">
        <is>
          <t> </t>
        </is>
      </c>
      <c r="BL69" s="95" t="inlineStr">
        <is>
          <t> </t>
        </is>
      </c>
      <c r="BM69" s="554" t="inlineStr">
        <is>
          <t>NA</t>
        </is>
      </c>
      <c r="BN69" s="83" t="inlineStr">
        <is>
          <t> </t>
        </is>
      </c>
    </row>
    <row r="70" ht="73.5" customHeight="1">
      <c r="A70" s="97" t="inlineStr">
        <is>
          <t>NORDESTE</t>
        </is>
      </c>
      <c r="B70" s="97" t="inlineStr">
        <is>
          <t>PB</t>
        </is>
      </c>
      <c r="C70" s="97" t="inlineStr">
        <is>
          <t>JOAO PESSOA</t>
        </is>
      </c>
      <c r="D70" s="97" t="inlineStr">
        <is>
          <t>FUNDO MUNICIPAL DE SAUDE</t>
        </is>
      </c>
      <c r="E70" s="549" t="inlineStr">
        <is>
          <t>08715618000140</t>
        </is>
      </c>
      <c r="F70" s="550" t="n">
        <v>2399970</v>
      </c>
      <c r="G70" s="97" t="inlineStr">
        <is>
          <t>SISPRO</t>
        </is>
      </c>
      <c r="H70" s="97" t="inlineStr">
        <is>
          <t>FAF</t>
        </is>
      </c>
      <c r="I70" s="550" t="inlineStr">
        <is>
          <t>NI</t>
        </is>
      </c>
      <c r="J70" s="549" t="inlineStr">
        <is>
          <t>08715618000124011</t>
        </is>
      </c>
      <c r="K70" s="550" t="inlineStr">
        <is>
          <t>NI</t>
        </is>
      </c>
      <c r="L70" s="97" t="inlineStr">
        <is>
          <t>REDE DE ATENÇÃO À PESSOA COM DOENÇAS CRÔNICAS - AMBULATÓRIO PARA DIAGNÓSTICO EM ONCOLOGIA</t>
        </is>
      </c>
      <c r="M70" s="97" t="inlineStr">
        <is>
          <t>NA</t>
        </is>
      </c>
      <c r="N70" s="97" t="n">
        <v>2024</v>
      </c>
      <c r="O70" s="97" t="n">
        <v>1</v>
      </c>
      <c r="P70" s="97" t="inlineStr">
        <is>
          <t>UND</t>
        </is>
      </c>
      <c r="Q70" s="97" t="inlineStr">
        <is>
          <t>10925 - Mamógrafo</t>
        </is>
      </c>
      <c r="R70" s="548" t="n">
        <v>45637</v>
      </c>
      <c r="S70" s="548" t="n">
        <v>46456</v>
      </c>
      <c r="T70" s="548" t="n">
        <v>46456</v>
      </c>
      <c r="U70" s="154" t="n"/>
      <c r="V70" s="547" t="inlineStr">
        <is>
          <t>NA</t>
        </is>
      </c>
      <c r="W70" s="154" t="inlineStr">
        <is>
          <t>NA</t>
        </is>
      </c>
      <c r="X70" s="547" t="inlineStr">
        <is>
          <t>NA</t>
        </is>
      </c>
      <c r="Y70" s="97" t="inlineStr">
        <is>
          <t>NI</t>
        </is>
      </c>
      <c r="Z70" s="154" t="inlineStr">
        <is>
          <t>NA</t>
        </is>
      </c>
      <c r="AA70" s="97" t="inlineStr">
        <is>
          <t> </t>
        </is>
      </c>
      <c r="AB70" s="97" t="inlineStr">
        <is>
          <t>NI</t>
        </is>
      </c>
      <c r="AC70" s="97" t="inlineStr">
        <is>
          <t>NI</t>
        </is>
      </c>
      <c r="AD70" s="154" t="n"/>
      <c r="AE70" s="97" t="inlineStr">
        <is>
          <t>NA</t>
        </is>
      </c>
      <c r="AF70" s="97" t="inlineStr">
        <is>
          <t>NI</t>
        </is>
      </c>
      <c r="AG70" s="97" t="inlineStr">
        <is>
          <t>NI</t>
        </is>
      </c>
      <c r="AH70" s="78">
        <f>IF(AF70="Em execução","Em execução",IF(AF70="Não iniciado","Em ação preparatória",
IF(AF70="Em licitação","Em licitação / Leilão",
IF(AF70="Concluído","Concluído",IF(AF70="NI","NI")))))</f>
        <v/>
      </c>
      <c r="AI70" s="546" t="inlineStr">
        <is>
          <t>NI</t>
        </is>
      </c>
      <c r="AJ70" s="97" t="inlineStr">
        <is>
          <t>Leonardo Barsante</t>
        </is>
      </c>
      <c r="AK70" s="97" t="inlineStr">
        <is>
          <t>NI</t>
        </is>
      </c>
      <c r="AL70" s="97" t="inlineStr">
        <is>
          <t>Tático</t>
        </is>
      </c>
      <c r="AM70" s="97" t="inlineStr">
        <is>
          <t>Iniciado</t>
        </is>
      </c>
      <c r="AN70" s="97" t="inlineStr">
        <is>
          <t>Ampliação</t>
        </is>
      </c>
      <c r="AO70" s="97" t="inlineStr">
        <is>
          <t>Rastreamento</t>
        </is>
      </c>
      <c r="AP70" s="97" t="n"/>
      <c r="AQ70" s="97" t="n"/>
      <c r="AR70" s="97" t="inlineStr">
        <is>
          <t>Ofício 282, e-mail enviado em 25/8/26</t>
        </is>
      </c>
      <c r="AS70" s="97" t="n"/>
      <c r="AT70" s="97" t="n"/>
      <c r="AU70" s="548" t="inlineStr">
        <is>
          <t> </t>
        </is>
      </c>
      <c r="AV70" s="548" t="inlineStr">
        <is>
          <t> </t>
        </is>
      </c>
      <c r="AW70" s="548" t="inlineStr">
        <is>
          <t> </t>
        </is>
      </c>
      <c r="AX70" s="548" t="inlineStr">
        <is>
          <t> </t>
        </is>
      </c>
      <c r="AY70" s="548" t="inlineStr">
        <is>
          <t> </t>
        </is>
      </c>
      <c r="AZ70" s="548" t="inlineStr">
        <is>
          <t> </t>
        </is>
      </c>
      <c r="BA70" s="97" t="n"/>
      <c r="BB70" s="97" t="n"/>
      <c r="BC70" s="97" t="n"/>
      <c r="BD70" s="97" t="n"/>
      <c r="BE70" s="545" t="inlineStr">
        <is>
          <t>NI</t>
        </is>
      </c>
      <c r="BF70" s="97" t="inlineStr">
        <is>
          <t> </t>
        </is>
      </c>
      <c r="BG70" s="97" t="inlineStr">
        <is>
          <t> </t>
        </is>
      </c>
      <c r="BH70" s="97" t="n"/>
      <c r="BI70" s="97" t="inlineStr">
        <is>
          <t> </t>
        </is>
      </c>
      <c r="BJ70" s="97" t="inlineStr">
        <is>
          <t> </t>
        </is>
      </c>
      <c r="BK70" s="97" t="inlineStr">
        <is>
          <t> </t>
        </is>
      </c>
      <c r="BL70" s="97" t="inlineStr">
        <is>
          <t> </t>
        </is>
      </c>
      <c r="BM70" s="154" t="inlineStr">
        <is>
          <t>NA</t>
        </is>
      </c>
      <c r="BN70" s="83" t="inlineStr">
        <is>
          <t> </t>
        </is>
      </c>
    </row>
    <row r="71" ht="82.5" customHeight="1">
      <c r="A71" s="97" t="inlineStr">
        <is>
          <t>NORDESTE</t>
        </is>
      </c>
      <c r="B71" s="97" t="inlineStr">
        <is>
          <t>PB</t>
        </is>
      </c>
      <c r="C71" s="97" t="inlineStr">
        <is>
          <t>JOAO PESSOA</t>
        </is>
      </c>
      <c r="D71" s="97" t="inlineStr">
        <is>
          <t>FUNDO MUNICIPAL DE SAUDE</t>
        </is>
      </c>
      <c r="E71" s="549" t="inlineStr">
        <is>
          <t>08715618000140</t>
        </is>
      </c>
      <c r="F71" s="550" t="n">
        <v>2399970</v>
      </c>
      <c r="G71" s="97" t="inlineStr">
        <is>
          <t>SISPRO</t>
        </is>
      </c>
      <c r="H71" s="97" t="inlineStr">
        <is>
          <t>FAF</t>
        </is>
      </c>
      <c r="I71" s="550" t="inlineStr">
        <is>
          <t>NI</t>
        </is>
      </c>
      <c r="J71" s="549" t="inlineStr">
        <is>
          <t>08715618000124011</t>
        </is>
      </c>
      <c r="K71" s="550" t="inlineStr">
        <is>
          <t>NI</t>
        </is>
      </c>
      <c r="L71" s="97" t="inlineStr">
        <is>
          <t>REDE DE ATENÇÃO À PESSOA COM DOENÇAS CRÔNICAS - AMBULATÓRIO PARA DIAGNÓSTICO EM ONCOLOGIA</t>
        </is>
      </c>
      <c r="M71" s="97" t="inlineStr">
        <is>
          <t>NA</t>
        </is>
      </c>
      <c r="N71" s="97" t="n">
        <v>2024</v>
      </c>
      <c r="O71" s="97" t="n">
        <v>1</v>
      </c>
      <c r="P71" s="97" t="inlineStr">
        <is>
          <t>UND</t>
        </is>
      </c>
      <c r="Q71" s="97" t="inlineStr">
        <is>
          <t>11423 - Ultrassom Diagnóstico com Aplicação Transesofágica</t>
        </is>
      </c>
      <c r="R71" s="548" t="n">
        <v>45637</v>
      </c>
      <c r="S71" s="548" t="n">
        <v>46456</v>
      </c>
      <c r="T71" s="548" t="n">
        <v>46456</v>
      </c>
      <c r="U71" s="154" t="n"/>
      <c r="V71" s="547" t="inlineStr">
        <is>
          <t>NA</t>
        </is>
      </c>
      <c r="W71" s="154" t="inlineStr">
        <is>
          <t>NA</t>
        </is>
      </c>
      <c r="X71" s="547" t="inlineStr">
        <is>
          <t>NA</t>
        </is>
      </c>
      <c r="Y71" s="97" t="inlineStr">
        <is>
          <t>NI</t>
        </is>
      </c>
      <c r="Z71" s="154" t="inlineStr">
        <is>
          <t>NA</t>
        </is>
      </c>
      <c r="AA71" s="97" t="inlineStr">
        <is>
          <t> </t>
        </is>
      </c>
      <c r="AB71" s="97" t="inlineStr">
        <is>
          <t>NI</t>
        </is>
      </c>
      <c r="AC71" s="97" t="inlineStr">
        <is>
          <t>NI</t>
        </is>
      </c>
      <c r="AD71" s="154" t="n"/>
      <c r="AE71" s="97" t="inlineStr">
        <is>
          <t>NA</t>
        </is>
      </c>
      <c r="AF71" s="97" t="inlineStr">
        <is>
          <t>NI</t>
        </is>
      </c>
      <c r="AG71" s="97" t="inlineStr">
        <is>
          <t>NI</t>
        </is>
      </c>
      <c r="AH71" s="78">
        <f>IF(AF71="Em execução","Em execução",IF(AF71="Não iniciado","Em ação preparatória",
IF(AF71="Em licitação","Em licitação / Leilão",
IF(AF71="Concluído","Concluído",IF(AF71="NI","NI")))))</f>
        <v/>
      </c>
      <c r="AI71" s="546" t="inlineStr">
        <is>
          <t>NI</t>
        </is>
      </c>
      <c r="AJ71" s="97" t="inlineStr">
        <is>
          <t>Leonardo Barsante</t>
        </is>
      </c>
      <c r="AK71" s="97" t="inlineStr">
        <is>
          <t>NI</t>
        </is>
      </c>
      <c r="AL71" s="97" t="n"/>
      <c r="AM71" s="97" t="inlineStr">
        <is>
          <t>Iniciado</t>
        </is>
      </c>
      <c r="AN71" s="97" t="inlineStr">
        <is>
          <t>Ampliação</t>
        </is>
      </c>
      <c r="AO71" s="97" t="inlineStr">
        <is>
          <t>Diagnóstico</t>
        </is>
      </c>
      <c r="AP71" s="97" t="n"/>
      <c r="AQ71" s="97" t="n"/>
      <c r="AR71" s="97" t="inlineStr">
        <is>
          <t>Ofício 282, e-mail enviado em 25/8/26</t>
        </is>
      </c>
      <c r="AS71" s="97" t="n"/>
      <c r="AT71" s="97" t="n"/>
      <c r="AU71" s="548" t="inlineStr">
        <is>
          <t> </t>
        </is>
      </c>
      <c r="AV71" s="548" t="inlineStr">
        <is>
          <t> </t>
        </is>
      </c>
      <c r="AW71" s="548" t="inlineStr">
        <is>
          <t> </t>
        </is>
      </c>
      <c r="AX71" s="548" t="inlineStr">
        <is>
          <t> </t>
        </is>
      </c>
      <c r="AY71" s="548" t="inlineStr">
        <is>
          <t> </t>
        </is>
      </c>
      <c r="AZ71" s="548" t="inlineStr">
        <is>
          <t> </t>
        </is>
      </c>
      <c r="BA71" s="97" t="n"/>
      <c r="BB71" s="97" t="n"/>
      <c r="BC71" s="97" t="n"/>
      <c r="BD71" s="97" t="n"/>
      <c r="BE71" s="545" t="inlineStr">
        <is>
          <t>NI</t>
        </is>
      </c>
      <c r="BF71" s="97" t="inlineStr">
        <is>
          <t> </t>
        </is>
      </c>
      <c r="BG71" s="97" t="inlineStr">
        <is>
          <t> </t>
        </is>
      </c>
      <c r="BH71" s="97" t="n"/>
      <c r="BI71" s="97" t="inlineStr">
        <is>
          <t> </t>
        </is>
      </c>
      <c r="BJ71" s="97" t="inlineStr">
        <is>
          <t> </t>
        </is>
      </c>
      <c r="BK71" s="97" t="inlineStr">
        <is>
          <t> </t>
        </is>
      </c>
      <c r="BL71" s="97" t="inlineStr">
        <is>
          <t> </t>
        </is>
      </c>
      <c r="BM71" s="154" t="inlineStr">
        <is>
          <t>NA</t>
        </is>
      </c>
      <c r="BN71" s="83" t="inlineStr">
        <is>
          <t> </t>
        </is>
      </c>
    </row>
    <row r="72" ht="90" customHeight="1">
      <c r="A72" s="95" t="inlineStr">
        <is>
          <t>NORDESTE</t>
        </is>
      </c>
      <c r="B72" s="95" t="inlineStr">
        <is>
          <t>CE</t>
        </is>
      </c>
      <c r="C72" s="95" t="inlineStr">
        <is>
          <t>NOVA RUSSAS</t>
        </is>
      </c>
      <c r="D72" s="95" t="inlineStr">
        <is>
          <t>FUNDO MUNICIPAL DE SAUDE DE NOVA RUSSAS</t>
        </is>
      </c>
      <c r="E72" s="556" t="inlineStr">
        <is>
          <t>11372601000141</t>
        </is>
      </c>
      <c r="F72" s="557" t="inlineStr">
        <is>
          <t>2695839</t>
        </is>
      </c>
      <c r="G72" s="95" t="inlineStr">
        <is>
          <t>SISPRO</t>
        </is>
      </c>
      <c r="H72" s="95" t="inlineStr">
        <is>
          <t>FAF</t>
        </is>
      </c>
      <c r="I72" s="557" t="inlineStr">
        <is>
          <t>NI</t>
        </is>
      </c>
      <c r="J72" s="556" t="inlineStr">
        <is>
          <t>11372601000124022</t>
        </is>
      </c>
      <c r="K72" s="557" t="inlineStr">
        <is>
          <t>25000.083836/2026-18</t>
        </is>
      </c>
      <c r="L72" s="95" t="inlineStr">
        <is>
          <t>REDE DE ATENÇÃO À PESSOA COM DOENÇAS CRÔNICAS - HOSPITAL HABILITADO NA ALTA COMPLEXIDADE EM ONCOLOGIA</t>
        </is>
      </c>
      <c r="M72" s="95" t="n">
        <v>1</v>
      </c>
      <c r="N72" s="95" t="n">
        <v>2024</v>
      </c>
      <c r="O72" s="95" t="n">
        <v>1</v>
      </c>
      <c r="P72" s="95" t="inlineStr">
        <is>
          <t>UND</t>
        </is>
      </c>
      <c r="Q72" s="95" t="inlineStr">
        <is>
          <t>10925 - Mamógrafo</t>
        </is>
      </c>
      <c r="R72" s="555" t="n">
        <v>45643</v>
      </c>
      <c r="S72" s="555" t="n">
        <v>46577</v>
      </c>
      <c r="T72" s="555" t="n">
        <v>46577</v>
      </c>
      <c r="U72" s="554" t="n"/>
      <c r="V72" s="554" t="n">
        <v>1141400</v>
      </c>
      <c r="W72" s="554" t="n">
        <v>1141400</v>
      </c>
      <c r="X72" s="554" t="n">
        <v>0</v>
      </c>
      <c r="Y72" s="95" t="inlineStr">
        <is>
          <t>NI</t>
        </is>
      </c>
      <c r="Z72" s="555" t="n">
        <v>45847</v>
      </c>
      <c r="AA72" s="95" t="inlineStr">
        <is>
          <t>NI</t>
        </is>
      </c>
      <c r="AB72" s="95" t="inlineStr">
        <is>
          <t>NI</t>
        </is>
      </c>
      <c r="AC72" s="95" t="inlineStr">
        <is>
          <t>NI</t>
        </is>
      </c>
      <c r="AD72" s="554" t="n"/>
      <c r="AE72" s="95" t="inlineStr">
        <is>
          <t>NA</t>
        </is>
      </c>
      <c r="AF72" s="95" t="inlineStr">
        <is>
          <t>NI</t>
        </is>
      </c>
      <c r="AG72" s="95" t="inlineStr">
        <is>
          <t>NI</t>
        </is>
      </c>
      <c r="AH72" s="79">
        <f>IF(AF72="Em execução","Em execução",IF(AF72="Não iniciado","Em ação preparatória",
IF(AF72="Em licitação","Em licitação / Leilão",
IF(AF72="Concluído","Concluído",IF(AF72="NI","NI")))))</f>
        <v/>
      </c>
      <c r="AI72" s="552" t="inlineStr">
        <is>
          <t>NI</t>
        </is>
      </c>
      <c r="AJ72" s="95" t="inlineStr">
        <is>
          <t>Leonardo Barsante</t>
        </is>
      </c>
      <c r="AK72" s="95" t="inlineStr">
        <is>
          <t>NI</t>
        </is>
      </c>
      <c r="AL72" s="95" t="inlineStr">
        <is>
          <t>Tático</t>
        </is>
      </c>
      <c r="AM72" s="95" t="inlineStr">
        <is>
          <t>Não iniciado</t>
        </is>
      </c>
      <c r="AN72" s="95" t="inlineStr">
        <is>
          <t>Ampliação</t>
        </is>
      </c>
      <c r="AO72" s="95" t="inlineStr">
        <is>
          <t>Rastreamento</t>
        </is>
      </c>
      <c r="AP72" s="95" t="n"/>
      <c r="AQ72" s="95" t="n"/>
      <c r="AR72" s="95" t="inlineStr">
        <is>
          <t>Ofício 229enviado em 06/08</t>
        </is>
      </c>
      <c r="AS72" s="95" t="n"/>
      <c r="AT72" s="95" t="n"/>
      <c r="AU72" s="555" t="inlineStr">
        <is>
          <t> </t>
        </is>
      </c>
      <c r="AV72" s="555" t="inlineStr">
        <is>
          <t> </t>
        </is>
      </c>
      <c r="AW72" s="555" t="inlineStr">
        <is>
          <t> </t>
        </is>
      </c>
      <c r="AX72" s="555" t="inlineStr">
        <is>
          <t> </t>
        </is>
      </c>
      <c r="AY72" s="555" t="inlineStr">
        <is>
          <t> </t>
        </is>
      </c>
      <c r="AZ72" s="555" t="inlineStr">
        <is>
          <t> </t>
        </is>
      </c>
      <c r="BA72" s="95" t="n"/>
      <c r="BB72" s="95" t="n"/>
      <c r="BC72" s="95" t="n"/>
      <c r="BD72" s="95" t="n"/>
      <c r="BE72" s="96" t="inlineStr">
        <is>
          <t>NI</t>
        </is>
      </c>
      <c r="BF72" s="95" t="inlineStr">
        <is>
          <t> </t>
        </is>
      </c>
      <c r="BG72" s="95" t="inlineStr">
        <is>
          <t> </t>
        </is>
      </c>
      <c r="BH72" s="95" t="n"/>
      <c r="BI72" s="95" t="inlineStr">
        <is>
          <t> </t>
        </is>
      </c>
      <c r="BJ72" s="95" t="inlineStr">
        <is>
          <t> </t>
        </is>
      </c>
      <c r="BK72" s="95" t="inlineStr">
        <is>
          <t> </t>
        </is>
      </c>
      <c r="BL72" s="95" t="inlineStr">
        <is>
          <t> </t>
        </is>
      </c>
      <c r="BM72" s="554" t="inlineStr">
        <is>
          <t>NA</t>
        </is>
      </c>
      <c r="BN72" s="83" t="inlineStr">
        <is>
          <t> </t>
        </is>
      </c>
    </row>
    <row r="73" ht="68.25" customHeight="1">
      <c r="A73" s="95" t="inlineStr">
        <is>
          <t>SUDESTE</t>
        </is>
      </c>
      <c r="B73" s="95" t="inlineStr">
        <is>
          <t>RJ</t>
        </is>
      </c>
      <c r="C73" s="95" t="inlineStr">
        <is>
          <t>SAO GONCALO</t>
        </is>
      </c>
      <c r="D73" s="95" t="inlineStr">
        <is>
          <t>FUNDO MUNICIPAL DE SAUDE DE SAO GONCALO</t>
        </is>
      </c>
      <c r="E73" s="556" t="inlineStr">
        <is>
          <t>11884903000107</t>
        </is>
      </c>
      <c r="F73" s="557" t="inlineStr">
        <is>
          <t>9499555</t>
        </is>
      </c>
      <c r="G73" s="95" t="inlineStr">
        <is>
          <t>SISPRO</t>
        </is>
      </c>
      <c r="H73" s="95" t="inlineStr">
        <is>
          <t>FAF</t>
        </is>
      </c>
      <c r="I73" s="557" t="inlineStr">
        <is>
          <t>NI</t>
        </is>
      </c>
      <c r="J73" s="556" t="inlineStr">
        <is>
          <t>11884903000124042</t>
        </is>
      </c>
      <c r="K73" s="557" t="inlineStr">
        <is>
          <t>NI</t>
        </is>
      </c>
      <c r="L73" s="95" t="inlineStr">
        <is>
          <t>REDE DE ATENÇÃO À PESSOA COM DOENÇAS CRÔNICAS - AMBULATÓRIO PARA DIAGNÓSTICO EM ONCOLOGIA</t>
        </is>
      </c>
      <c r="M73" s="95" t="n">
        <v>4</v>
      </c>
      <c r="N73" s="95" t="n">
        <v>2024</v>
      </c>
      <c r="O73" s="95" t="n">
        <v>4</v>
      </c>
      <c r="P73" s="95" t="inlineStr">
        <is>
          <t>UND</t>
        </is>
      </c>
      <c r="Q73" s="95" t="inlineStr">
        <is>
          <t>10925 - Mamógrafo</t>
        </is>
      </c>
      <c r="R73" s="555" t="n">
        <v>45643</v>
      </c>
      <c r="S73" s="555" t="n">
        <v>46437</v>
      </c>
      <c r="T73" s="555" t="n">
        <v>46437</v>
      </c>
      <c r="U73" s="554" t="n"/>
      <c r="V73" s="554" t="n">
        <v>4565600</v>
      </c>
      <c r="W73" s="554" t="n">
        <v>4565600</v>
      </c>
      <c r="X73" s="554" t="n">
        <v>0</v>
      </c>
      <c r="Y73" s="95" t="inlineStr">
        <is>
          <t>NI</t>
        </is>
      </c>
      <c r="Z73" s="555" t="n">
        <v>45707</v>
      </c>
      <c r="AA73" s="95" t="inlineStr">
        <is>
          <t> </t>
        </is>
      </c>
      <c r="AB73" s="95" t="inlineStr">
        <is>
          <t>NI</t>
        </is>
      </c>
      <c r="AC73" s="95" t="inlineStr">
        <is>
          <t>NI</t>
        </is>
      </c>
      <c r="AD73" s="554" t="n"/>
      <c r="AE73" s="95" t="inlineStr">
        <is>
          <t>NA</t>
        </is>
      </c>
      <c r="AF73" s="95" t="inlineStr">
        <is>
          <t>NI</t>
        </is>
      </c>
      <c r="AG73" s="95" t="inlineStr">
        <is>
          <t>NI</t>
        </is>
      </c>
      <c r="AH73" s="79">
        <f>IF(AF73="Em execução","Em execução",IF(AF73="Não iniciado","Em ação preparatória",
IF(AF73="Em licitação","Em licitação / Leilão",
IF(AF73="Concluído","Concluído",IF(AF73="NI","NI")))))</f>
        <v/>
      </c>
      <c r="AI73" s="552" t="inlineStr">
        <is>
          <t>NI</t>
        </is>
      </c>
      <c r="AJ73" s="95" t="inlineStr">
        <is>
          <t>Leonardo Barsante</t>
        </is>
      </c>
      <c r="AK73" s="95" t="inlineStr">
        <is>
          <t>NI</t>
        </is>
      </c>
      <c r="AL73" s="95" t="inlineStr">
        <is>
          <t>Tático</t>
        </is>
      </c>
      <c r="AM73" s="95" t="inlineStr">
        <is>
          <t>Não iniciado</t>
        </is>
      </c>
      <c r="AN73" s="95" t="inlineStr">
        <is>
          <t>Ampliação</t>
        </is>
      </c>
      <c r="AO73" s="95" t="inlineStr">
        <is>
          <t>Rastreamento</t>
        </is>
      </c>
      <c r="AP73" s="95" t="n"/>
      <c r="AQ73" s="95" t="n"/>
      <c r="AR73" s="95" t="inlineStr">
        <is>
          <t> </t>
        </is>
      </c>
      <c r="AS73" s="95" t="n"/>
      <c r="AT73" s="95" t="n"/>
      <c r="AU73" s="555" t="inlineStr">
        <is>
          <t> </t>
        </is>
      </c>
      <c r="AV73" s="555" t="inlineStr">
        <is>
          <t> </t>
        </is>
      </c>
      <c r="AW73" s="555" t="inlineStr">
        <is>
          <t> </t>
        </is>
      </c>
      <c r="AX73" s="555" t="inlineStr">
        <is>
          <t> </t>
        </is>
      </c>
      <c r="AY73" s="555" t="inlineStr">
        <is>
          <t> </t>
        </is>
      </c>
      <c r="AZ73" s="555" t="inlineStr">
        <is>
          <t> </t>
        </is>
      </c>
      <c r="BA73" s="95" t="n"/>
      <c r="BB73" s="95" t="n"/>
      <c r="BC73" s="95" t="n"/>
      <c r="BD73" s="95" t="n"/>
      <c r="BE73" s="96" t="inlineStr">
        <is>
          <t>NI</t>
        </is>
      </c>
      <c r="BF73" s="95" t="inlineStr">
        <is>
          <t> </t>
        </is>
      </c>
      <c r="BG73" s="95" t="inlineStr">
        <is>
          <t> </t>
        </is>
      </c>
      <c r="BH73" s="95" t="n"/>
      <c r="BI73" s="95" t="inlineStr">
        <is>
          <t> </t>
        </is>
      </c>
      <c r="BJ73" s="95" t="inlineStr">
        <is>
          <t> </t>
        </is>
      </c>
      <c r="BK73" s="95" t="inlineStr">
        <is>
          <t> </t>
        </is>
      </c>
      <c r="BL73" s="95" t="inlineStr">
        <is>
          <t> </t>
        </is>
      </c>
      <c r="BM73" s="554" t="inlineStr">
        <is>
          <t>NA</t>
        </is>
      </c>
      <c r="BN73" s="83" t="inlineStr">
        <is>
          <t> </t>
        </is>
      </c>
    </row>
    <row r="74" ht="98.25" customHeight="1">
      <c r="A74" s="95" t="inlineStr">
        <is>
          <t>CENTRO-OESTE</t>
        </is>
      </c>
      <c r="B74" s="95" t="inlineStr">
        <is>
          <t>GO</t>
        </is>
      </c>
      <c r="C74" s="95" t="inlineStr">
        <is>
          <t>GOIANIA</t>
        </is>
      </c>
      <c r="D74" s="95" t="inlineStr">
        <is>
          <t>FUNDO MUNICIPAL DE SAUDE</t>
        </is>
      </c>
      <c r="E74" s="557" t="inlineStr">
        <is>
          <t>37623352000103</t>
        </is>
      </c>
      <c r="F74" s="557" t="n">
        <v>2506858</v>
      </c>
      <c r="G74" s="95" t="inlineStr">
        <is>
          <t>SISPRO</t>
        </is>
      </c>
      <c r="H74" s="95" t="inlineStr">
        <is>
          <t>FAF</t>
        </is>
      </c>
      <c r="I74" s="557" t="inlineStr">
        <is>
          <t>NI</t>
        </is>
      </c>
      <c r="J74" s="556" t="inlineStr">
        <is>
          <t>37623352000124006</t>
        </is>
      </c>
      <c r="K74" s="557" t="inlineStr">
        <is>
          <t>NI</t>
        </is>
      </c>
      <c r="L74" s="95" t="inlineStr">
        <is>
          <t>REDE DE ATENÇÃO À PESSOA COM DOENÇAS CRÔNICAS - SERVIÇO DE REFERÊNCIA PARA O DIAGNÓSTICO DO CÂNCER DE MAMA (SDM)</t>
        </is>
      </c>
      <c r="M74" s="95" t="n">
        <v>1</v>
      </c>
      <c r="N74" s="95" t="n">
        <v>2024</v>
      </c>
      <c r="O74" s="95" t="n">
        <v>1</v>
      </c>
      <c r="P74" s="95" t="inlineStr">
        <is>
          <t>UND</t>
        </is>
      </c>
      <c r="Q74" s="95" t="inlineStr">
        <is>
          <t>10925 - Mamógrafo</t>
        </is>
      </c>
      <c r="R74" s="555" t="n">
        <v>45637</v>
      </c>
      <c r="S74" s="555" t="n">
        <v>46437</v>
      </c>
      <c r="T74" s="555" t="n">
        <v>46437</v>
      </c>
      <c r="U74" s="554" t="n"/>
      <c r="V74" s="554" t="n">
        <v>1141400</v>
      </c>
      <c r="W74" s="554" t="n">
        <v>1141400</v>
      </c>
      <c r="X74" s="554" t="n">
        <v>0</v>
      </c>
      <c r="Y74" s="95" t="inlineStr">
        <is>
          <t>NI</t>
        </is>
      </c>
      <c r="Z74" s="555" t="n">
        <v>45707</v>
      </c>
      <c r="AA74" s="95" t="inlineStr">
        <is>
          <t> </t>
        </is>
      </c>
      <c r="AB74" s="95" t="inlineStr">
        <is>
          <t>NI</t>
        </is>
      </c>
      <c r="AC74" s="95" t="inlineStr">
        <is>
          <t>NI</t>
        </is>
      </c>
      <c r="AD74" s="554" t="n"/>
      <c r="AE74" s="95" t="inlineStr">
        <is>
          <t>NA</t>
        </is>
      </c>
      <c r="AF74" s="95" t="inlineStr">
        <is>
          <t>NI</t>
        </is>
      </c>
      <c r="AG74" s="95" t="inlineStr">
        <is>
          <t>NI</t>
        </is>
      </c>
      <c r="AH74" s="79">
        <f>IF(AF74="Em execução","Em execução",IF(AF74="Não iniciado","Em ação preparatória",
IF(AF74="Em licitação","Em licitação / Leilão",
IF(AF74="Concluído","Concluído",IF(AF74="NI","NI")))))</f>
        <v/>
      </c>
      <c r="AI74" s="552" t="inlineStr">
        <is>
          <t>NI</t>
        </is>
      </c>
      <c r="AJ74" s="95" t="inlineStr">
        <is>
          <t>Leonardo Barsante</t>
        </is>
      </c>
      <c r="AK74" s="95" t="inlineStr">
        <is>
          <t>NI</t>
        </is>
      </c>
      <c r="AL74" s="95" t="inlineStr">
        <is>
          <t>Tático</t>
        </is>
      </c>
      <c r="AM74" s="95" t="inlineStr">
        <is>
          <t>Não iniciado</t>
        </is>
      </c>
      <c r="AN74" s="95" t="inlineStr">
        <is>
          <t>Substituição</t>
        </is>
      </c>
      <c r="AO74" s="95" t="inlineStr">
        <is>
          <t>Rastreamento</t>
        </is>
      </c>
      <c r="AP74" s="95" t="n"/>
      <c r="AQ74" s="95" t="n"/>
      <c r="AR74" s="95" t="inlineStr">
        <is>
          <t> </t>
        </is>
      </c>
      <c r="AS74" s="95" t="n"/>
      <c r="AT74" s="95" t="n"/>
      <c r="AU74" s="555" t="inlineStr">
        <is>
          <t> </t>
        </is>
      </c>
      <c r="AV74" s="555" t="inlineStr">
        <is>
          <t> </t>
        </is>
      </c>
      <c r="AW74" s="555" t="inlineStr">
        <is>
          <t> </t>
        </is>
      </c>
      <c r="AX74" s="555" t="inlineStr">
        <is>
          <t> </t>
        </is>
      </c>
      <c r="AY74" s="555" t="inlineStr">
        <is>
          <t> </t>
        </is>
      </c>
      <c r="AZ74" s="555" t="inlineStr">
        <is>
          <t> </t>
        </is>
      </c>
      <c r="BA74" s="95" t="n"/>
      <c r="BB74" s="95" t="n"/>
      <c r="BC74" s="95" t="n"/>
      <c r="BD74" s="95" t="n"/>
      <c r="BE74" s="96" t="inlineStr">
        <is>
          <t>NI</t>
        </is>
      </c>
      <c r="BF74" s="95" t="inlineStr">
        <is>
          <t> </t>
        </is>
      </c>
      <c r="BG74" s="95" t="inlineStr">
        <is>
          <t> </t>
        </is>
      </c>
      <c r="BH74" s="95" t="n"/>
      <c r="BI74" s="95" t="inlineStr">
        <is>
          <t> </t>
        </is>
      </c>
      <c r="BJ74" s="95" t="inlineStr">
        <is>
          <t> </t>
        </is>
      </c>
      <c r="BK74" s="95" t="inlineStr">
        <is>
          <t> </t>
        </is>
      </c>
      <c r="BL74" s="95" t="inlineStr">
        <is>
          <t> </t>
        </is>
      </c>
      <c r="BM74" s="554" t="inlineStr">
        <is>
          <t>NA</t>
        </is>
      </c>
      <c r="BN74" s="83" t="inlineStr">
        <is>
          <t> </t>
        </is>
      </c>
    </row>
    <row r="75" ht="45.75" customFormat="1" customHeight="1" s="138">
      <c r="A75" s="184" t="inlineStr">
        <is>
          <t>NORDESTE</t>
        </is>
      </c>
      <c r="B75" s="539" t="inlineStr">
        <is>
          <t>PI</t>
        </is>
      </c>
      <c r="C75" s="539" t="inlineStr">
        <is>
          <t>TERESINA</t>
        </is>
      </c>
      <c r="D75" s="184" t="inlineStr">
        <is>
          <t>ASSOCIACAO PIAUIENSE DE COMBATE AO CANCER ALCENOR ALMEIDA</t>
        </is>
      </c>
      <c r="E75" s="342" t="inlineStr">
        <is>
          <t>06870026000177</t>
        </is>
      </c>
      <c r="F75" s="538" t="inlineStr">
        <is>
          <t>2726998</t>
        </is>
      </c>
      <c r="G75" s="537" t="inlineStr">
        <is>
          <t>Transferegov/SEI</t>
        </is>
      </c>
      <c r="H75" s="537" t="inlineStr">
        <is>
          <t>Convênio</t>
        </is>
      </c>
      <c r="I75" s="539" t="n">
        <v>943920</v>
      </c>
      <c r="J75" s="538" t="n">
        <v>90687023001</v>
      </c>
      <c r="K75" s="184" t="inlineStr">
        <is>
          <t xml:space="preserve"> 	25000.085394/2023-93</t>
        </is>
      </c>
      <c r="L75" s="184" t="inlineStr">
        <is>
          <t>HOSPITAL DE ALTA COMPLEXIDADE</t>
        </is>
      </c>
      <c r="M75" s="184" t="n">
        <v>1</v>
      </c>
      <c r="N75" s="539" t="n">
        <v>2023</v>
      </c>
      <c r="O75" s="184" t="n">
        <v>1</v>
      </c>
      <c r="P75" s="536" t="inlineStr">
        <is>
          <t xml:space="preserve"> UND</t>
        </is>
      </c>
      <c r="Q75" s="184" t="inlineStr">
        <is>
          <t>010925-Mamógrafo</t>
        </is>
      </c>
      <c r="R75" s="343" t="n">
        <v>45253</v>
      </c>
      <c r="S75" s="343" t="n">
        <v>46017</v>
      </c>
      <c r="T75" s="343" t="n">
        <v>45902</v>
      </c>
      <c r="V75" s="344" t="n">
        <v>1200000</v>
      </c>
      <c r="W75" s="344" t="n">
        <v>1196666.19</v>
      </c>
      <c r="X75" s="344" t="n">
        <v>3313</v>
      </c>
      <c r="Y75" s="537" t="inlineStr">
        <is>
          <t>NI</t>
        </is>
      </c>
      <c r="Z75" s="343" t="n">
        <v>45477</v>
      </c>
      <c r="AB75" s="537" t="inlineStr">
        <is>
          <t>NI</t>
        </is>
      </c>
      <c r="AC75" s="537" t="inlineStr">
        <is>
          <t>NI</t>
        </is>
      </c>
      <c r="AE75" s="537" t="inlineStr">
        <is>
          <t xml:space="preserve"> NA</t>
        </is>
      </c>
      <c r="AF75" s="184" t="inlineStr">
        <is>
          <t>NORMAL</t>
        </is>
      </c>
      <c r="AG75" s="184" t="inlineStr">
        <is>
          <t>NI</t>
        </is>
      </c>
      <c r="AH75" s="184" t="inlineStr">
        <is>
          <t>NI</t>
        </is>
      </c>
      <c r="AI75" s="184" t="inlineStr">
        <is>
          <t>NI</t>
        </is>
      </c>
      <c r="AJ75" s="184" t="inlineStr">
        <is>
          <t>Leonardo Barsante</t>
        </is>
      </c>
      <c r="AK75" s="184" t="inlineStr">
        <is>
          <t>NI</t>
        </is>
      </c>
      <c r="AL75" s="184" t="inlineStr">
        <is>
          <t>Tático</t>
        </is>
      </c>
      <c r="AM75" s="184" t="inlineStr">
        <is>
          <t>Não iniciado</t>
        </is>
      </c>
      <c r="AN75" s="184" t="inlineStr">
        <is>
          <t>Substituição</t>
        </is>
      </c>
      <c r="AO75" s="184" t="inlineStr">
        <is>
          <t>Rastreamento</t>
        </is>
      </c>
      <c r="AP75" s="184" t="n"/>
      <c r="AQ75" s="184" t="n"/>
      <c r="AR75" s="95" t="inlineStr">
        <is>
          <t xml:space="preserve">Prestação de contas concluidos </t>
        </is>
      </c>
      <c r="BE75" s="184" t="inlineStr">
        <is>
          <t>NI</t>
        </is>
      </c>
    </row>
    <row r="76" ht="30.75" customFormat="1" customHeight="1" s="138">
      <c r="A76" s="184" t="inlineStr">
        <is>
          <t>NORDESTE</t>
        </is>
      </c>
      <c r="B76" s="539" t="inlineStr">
        <is>
          <t>CE</t>
        </is>
      </c>
      <c r="C76" s="539" t="inlineStr">
        <is>
          <t>FORTALEZA</t>
        </is>
      </c>
      <c r="D76" s="184" t="inlineStr">
        <is>
          <t>INSTITUTO DO CANCER DO CEARA</t>
        </is>
      </c>
      <c r="E76" s="342" t="inlineStr">
        <is>
          <t>07265515000162</t>
        </is>
      </c>
      <c r="F76" s="538" t="inlineStr">
        <is>
          <t>2723220</t>
        </is>
      </c>
      <c r="G76" s="537" t="inlineStr">
        <is>
          <t>Transferegov/SEI</t>
        </is>
      </c>
      <c r="H76" s="537" t="inlineStr">
        <is>
          <t>Convênio</t>
        </is>
      </c>
      <c r="I76" s="539" t="n">
        <v>946461</v>
      </c>
      <c r="J76" s="538" t="n">
        <v>90726523001</v>
      </c>
      <c r="K76" s="184" t="inlineStr">
        <is>
          <t>25000.124716/2023-27</t>
        </is>
      </c>
      <c r="L76" s="184" t="inlineStr">
        <is>
          <t>HOSPITAL DE ALTA COMPLEXIDADE</t>
        </is>
      </c>
      <c r="M76" s="184" t="n">
        <v>6</v>
      </c>
      <c r="N76" s="539" t="n">
        <v>2023</v>
      </c>
      <c r="O76" s="184" t="inlineStr">
        <is>
          <t>NA</t>
        </is>
      </c>
      <c r="P76" s="536" t="inlineStr">
        <is>
          <t xml:space="preserve"> UND</t>
        </is>
      </c>
      <c r="Q76" s="184" t="inlineStr">
        <is>
          <t>NA</t>
        </is>
      </c>
      <c r="R76" s="343" t="n">
        <v>45240</v>
      </c>
      <c r="S76" s="343" t="n">
        <v>46245</v>
      </c>
      <c r="T76" s="343" t="n">
        <v>46305</v>
      </c>
      <c r="V76" s="344" t="n">
        <v>6492897</v>
      </c>
      <c r="W76" s="344" t="n">
        <v>5845186.74</v>
      </c>
      <c r="X76" s="344" t="n">
        <v>0</v>
      </c>
      <c r="Y76" s="537" t="inlineStr">
        <is>
          <t>NI</t>
        </is>
      </c>
      <c r="Z76" s="343" t="n">
        <v>32275</v>
      </c>
      <c r="AB76" s="537" t="inlineStr">
        <is>
          <t>NI</t>
        </is>
      </c>
      <c r="AC76" s="537" t="inlineStr">
        <is>
          <t>NI</t>
        </is>
      </c>
      <c r="AE76" s="537" t="inlineStr">
        <is>
          <t xml:space="preserve"> NA</t>
        </is>
      </c>
      <c r="AF76" s="184" t="inlineStr">
        <is>
          <t>PRESTAÇÃO DE CONTAS EM ANÁLISE</t>
        </is>
      </c>
      <c r="AG76" s="184" t="inlineStr">
        <is>
          <t>NI</t>
        </is>
      </c>
      <c r="AH76" s="184" t="inlineStr">
        <is>
          <t>NI</t>
        </is>
      </c>
      <c r="AI76" s="184" t="inlineStr">
        <is>
          <t>NI</t>
        </is>
      </c>
      <c r="AJ76" s="184" t="inlineStr">
        <is>
          <t>NI</t>
        </is>
      </c>
      <c r="AK76" s="184" t="inlineStr">
        <is>
          <t>NI</t>
        </is>
      </c>
      <c r="AL76" s="184" t="n"/>
      <c r="AM76" s="184" t="inlineStr">
        <is>
          <t>Não iniciado</t>
        </is>
      </c>
      <c r="AN76" s="184" t="inlineStr">
        <is>
          <t>Substituição</t>
        </is>
      </c>
      <c r="AO76" s="184" t="inlineStr">
        <is>
          <t>Rastreamento</t>
        </is>
      </c>
      <c r="AP76" s="184" t="n"/>
      <c r="AQ76" s="184" t="n"/>
      <c r="AR76" s="357" t="inlineStr">
        <is>
          <t>Relatório fotográfico inserido no transferegov</t>
        </is>
      </c>
      <c r="BE76" s="184" t="inlineStr">
        <is>
          <t>NI</t>
        </is>
      </c>
    </row>
    <row r="77" ht="30.75" customFormat="1" customHeight="1" s="138">
      <c r="A77" s="186" t="inlineStr">
        <is>
          <t>NORDESTE</t>
        </is>
      </c>
      <c r="B77" s="153" t="inlineStr">
        <is>
          <t>CE</t>
        </is>
      </c>
      <c r="C77" s="153" t="inlineStr">
        <is>
          <t>FORTALEZA</t>
        </is>
      </c>
      <c r="D77" s="186" t="inlineStr">
        <is>
          <t>INSTITUTO DO CANCER DO CEARA</t>
        </is>
      </c>
      <c r="E77" s="345" t="inlineStr">
        <is>
          <t>07265515000162</t>
        </is>
      </c>
      <c r="F77" s="535" t="inlineStr">
        <is>
          <t>2723220</t>
        </is>
      </c>
      <c r="G77" s="8" t="inlineStr">
        <is>
          <t>Transferegov/SEI</t>
        </is>
      </c>
      <c r="H77" s="8" t="inlineStr">
        <is>
          <t>Convênio</t>
        </is>
      </c>
      <c r="I77" s="153" t="n">
        <v>946461</v>
      </c>
      <c r="J77" s="535" t="n">
        <v>90726523001</v>
      </c>
      <c r="K77" s="186" t="inlineStr">
        <is>
          <t>25000.124716/2023-27</t>
        </is>
      </c>
      <c r="L77" s="186" t="inlineStr">
        <is>
          <t>HOSPITAL DE ALTA COMPLEXIDADE</t>
        </is>
      </c>
      <c r="M77" s="186" t="inlineStr">
        <is>
          <t>NA</t>
        </is>
      </c>
      <c r="N77" s="153" t="n">
        <v>2023</v>
      </c>
      <c r="O77" s="186" t="n">
        <v>1</v>
      </c>
      <c r="P77" s="534" t="inlineStr">
        <is>
          <t xml:space="preserve"> UND</t>
        </is>
      </c>
      <c r="Q77" s="186" t="inlineStr">
        <is>
          <t>010925-Mamógrafo</t>
        </is>
      </c>
      <c r="R77" s="346" t="n">
        <v>45240</v>
      </c>
      <c r="S77" s="346" t="n">
        <v>46245</v>
      </c>
      <c r="T77" s="346" t="n">
        <v>46305</v>
      </c>
      <c r="V77" s="347" t="n">
        <v>6492897</v>
      </c>
      <c r="W77" s="346" t="inlineStr">
        <is>
          <t>NA</t>
        </is>
      </c>
      <c r="X77" s="347" t="inlineStr">
        <is>
          <t>NA</t>
        </is>
      </c>
      <c r="Y77" s="8" t="inlineStr">
        <is>
          <t>NI</t>
        </is>
      </c>
      <c r="Z77" s="346" t="inlineStr">
        <is>
          <t>NA</t>
        </is>
      </c>
      <c r="AB77" s="8" t="inlineStr">
        <is>
          <t>NI</t>
        </is>
      </c>
      <c r="AC77" s="8" t="inlineStr">
        <is>
          <t>NI</t>
        </is>
      </c>
      <c r="AE77" s="8" t="inlineStr">
        <is>
          <t xml:space="preserve"> NA</t>
        </is>
      </c>
      <c r="AF77" s="186" t="inlineStr">
        <is>
          <t>PRESTAÇÃO DE CONTAS EM ANÁLISE</t>
        </is>
      </c>
      <c r="AG77" s="186" t="inlineStr">
        <is>
          <t>NI</t>
        </is>
      </c>
      <c r="AH77" s="186" t="inlineStr">
        <is>
          <t>NI</t>
        </is>
      </c>
      <c r="AI77" s="186" t="inlineStr">
        <is>
          <t>NI</t>
        </is>
      </c>
      <c r="AJ77" s="97" t="inlineStr">
        <is>
          <t>Leonardo Barsante</t>
        </is>
      </c>
      <c r="AK77" s="346" t="inlineStr">
        <is>
          <t>NA</t>
        </is>
      </c>
      <c r="AL77" s="346" t="inlineStr">
        <is>
          <t>Tático</t>
        </is>
      </c>
      <c r="AM77" s="346" t="inlineStr">
        <is>
          <t>NA</t>
        </is>
      </c>
      <c r="AN77" s="186" t="inlineStr">
        <is>
          <t>Substituição</t>
        </is>
      </c>
      <c r="AO77" s="186" t="inlineStr">
        <is>
          <t>Rastreamento</t>
        </is>
      </c>
      <c r="AP77" s="186" t="n"/>
      <c r="AQ77" s="186" t="n"/>
      <c r="BE77" s="346" t="inlineStr">
        <is>
          <t>NA</t>
        </is>
      </c>
    </row>
    <row r="78" ht="30.75" customFormat="1" customHeight="1" s="138">
      <c r="A78" s="186" t="inlineStr">
        <is>
          <t>NORDESTE</t>
        </is>
      </c>
      <c r="B78" s="153" t="inlineStr">
        <is>
          <t>CE</t>
        </is>
      </c>
      <c r="C78" s="153" t="inlineStr">
        <is>
          <t>FORTALEZA</t>
        </is>
      </c>
      <c r="D78" s="186" t="inlineStr">
        <is>
          <t>INSTITUTO DO CANCER DO CEARA</t>
        </is>
      </c>
      <c r="E78" s="345" t="inlineStr">
        <is>
          <t>07265515000162</t>
        </is>
      </c>
      <c r="F78" s="535" t="inlineStr">
        <is>
          <t>2723220</t>
        </is>
      </c>
      <c r="G78" s="8" t="inlineStr">
        <is>
          <t>Transferegov/SEI</t>
        </is>
      </c>
      <c r="H78" s="8" t="inlineStr">
        <is>
          <t>Convênio</t>
        </is>
      </c>
      <c r="I78" s="153" t="n">
        <v>946461</v>
      </c>
      <c r="J78" s="533" t="n">
        <v>90726523001</v>
      </c>
      <c r="K78" s="186" t="inlineStr">
        <is>
          <t>25000.124716/2023-27</t>
        </is>
      </c>
      <c r="L78" s="186" t="inlineStr">
        <is>
          <t>HOSPITAL DE ALTA COMPLEXIDADE</t>
        </is>
      </c>
      <c r="M78" s="186" t="inlineStr">
        <is>
          <t>NA</t>
        </is>
      </c>
      <c r="N78" s="153" t="n">
        <v>2023</v>
      </c>
      <c r="O78" s="186" t="n">
        <v>1</v>
      </c>
      <c r="P78" s="534" t="inlineStr">
        <is>
          <t xml:space="preserve"> UND</t>
        </is>
      </c>
      <c r="Q78" s="186" t="inlineStr">
        <is>
          <t>011805-Tomógrafo Computadorizado</t>
        </is>
      </c>
      <c r="R78" s="346" t="n">
        <v>45240</v>
      </c>
      <c r="S78" s="346" t="n">
        <v>46245</v>
      </c>
      <c r="T78" s="346" t="n">
        <v>46305</v>
      </c>
      <c r="V78" s="347" t="n">
        <v>6492897</v>
      </c>
      <c r="W78" s="346" t="inlineStr">
        <is>
          <t>NA</t>
        </is>
      </c>
      <c r="X78" s="347" t="inlineStr">
        <is>
          <t>NA</t>
        </is>
      </c>
      <c r="Y78" s="8" t="inlineStr">
        <is>
          <t>NI</t>
        </is>
      </c>
      <c r="Z78" s="346" t="inlineStr">
        <is>
          <t>NA</t>
        </is>
      </c>
      <c r="AB78" s="8" t="inlineStr">
        <is>
          <t>NI</t>
        </is>
      </c>
      <c r="AC78" s="8" t="inlineStr">
        <is>
          <t>NI</t>
        </is>
      </c>
      <c r="AE78" s="8" t="inlineStr">
        <is>
          <t xml:space="preserve"> NA</t>
        </is>
      </c>
      <c r="AF78" s="186" t="inlineStr">
        <is>
          <t>PRESTAÇÃO DE CONTAS EM ANÁLISE</t>
        </is>
      </c>
      <c r="AG78" s="186" t="inlineStr">
        <is>
          <t>NI</t>
        </is>
      </c>
      <c r="AH78" s="186" t="inlineStr">
        <is>
          <t>NI</t>
        </is>
      </c>
      <c r="AI78" s="186" t="inlineStr">
        <is>
          <t>NI</t>
        </is>
      </c>
      <c r="AJ78" s="346" t="inlineStr">
        <is>
          <t>NA</t>
        </is>
      </c>
      <c r="AK78" s="346" t="inlineStr">
        <is>
          <t>NA</t>
        </is>
      </c>
      <c r="AL78" s="346" t="n"/>
      <c r="AM78" s="346" t="inlineStr">
        <is>
          <t>NA</t>
        </is>
      </c>
      <c r="AN78" s="186" t="inlineStr">
        <is>
          <t>Substituição</t>
        </is>
      </c>
      <c r="AO78" s="8" t="inlineStr">
        <is>
          <t>Diagnóstico</t>
        </is>
      </c>
      <c r="AP78" s="186" t="n"/>
      <c r="AQ78" s="186" t="n"/>
      <c r="AR78" s="357" t="n"/>
      <c r="BE78" s="346" t="inlineStr">
        <is>
          <t>NA</t>
        </is>
      </c>
    </row>
    <row r="79" ht="49.5" customFormat="1" customHeight="1" s="138">
      <c r="A79" s="186" t="inlineStr">
        <is>
          <t>NORDESTE</t>
        </is>
      </c>
      <c r="B79" s="153" t="inlineStr">
        <is>
          <t>CE</t>
        </is>
      </c>
      <c r="C79" s="153" t="inlineStr">
        <is>
          <t>FORTALEZA</t>
        </is>
      </c>
      <c r="D79" s="186" t="inlineStr">
        <is>
          <t>INSTITUTO DO CANCER DO CEARA</t>
        </is>
      </c>
      <c r="E79" s="345" t="inlineStr">
        <is>
          <t>07265515000162</t>
        </is>
      </c>
      <c r="F79" s="535" t="inlineStr">
        <is>
          <t>2723220</t>
        </is>
      </c>
      <c r="G79" s="8" t="inlineStr">
        <is>
          <t>Transferegov/SEI</t>
        </is>
      </c>
      <c r="H79" s="8" t="inlineStr">
        <is>
          <t>Convênio</t>
        </is>
      </c>
      <c r="I79" s="153" t="n">
        <v>946461</v>
      </c>
      <c r="J79" s="535" t="n">
        <v>90726523001</v>
      </c>
      <c r="K79" s="186" t="inlineStr">
        <is>
          <t>25000.124716/2023-27</t>
        </is>
      </c>
      <c r="L79" s="186" t="inlineStr">
        <is>
          <t>HOSPITAL DE ALTA COMPLEXIDADE</t>
        </is>
      </c>
      <c r="M79" s="186" t="inlineStr">
        <is>
          <t>NA</t>
        </is>
      </c>
      <c r="N79" s="153" t="n">
        <v>2023</v>
      </c>
      <c r="O79" s="186" t="n">
        <v>3</v>
      </c>
      <c r="P79" s="534" t="inlineStr">
        <is>
          <t xml:space="preserve"> UND</t>
        </is>
      </c>
      <c r="Q79" s="186" t="inlineStr">
        <is>
          <t>011422-Ultrassom Diagnóstico sem Aplicação Transesofágica</t>
        </is>
      </c>
      <c r="R79" s="346" t="n">
        <v>45240</v>
      </c>
      <c r="S79" s="346" t="n">
        <v>46245</v>
      </c>
      <c r="T79" s="346" t="n">
        <v>46305</v>
      </c>
      <c r="V79" s="347" t="n">
        <v>6492897</v>
      </c>
      <c r="W79" s="346" t="inlineStr">
        <is>
          <t>NA</t>
        </is>
      </c>
      <c r="X79" s="347" t="inlineStr">
        <is>
          <t>NA</t>
        </is>
      </c>
      <c r="Y79" s="8" t="inlineStr">
        <is>
          <t>NI</t>
        </is>
      </c>
      <c r="Z79" s="346" t="inlineStr">
        <is>
          <t>NA</t>
        </is>
      </c>
      <c r="AB79" s="8" t="inlineStr">
        <is>
          <t>NI</t>
        </is>
      </c>
      <c r="AC79" s="8" t="inlineStr">
        <is>
          <t>NI</t>
        </is>
      </c>
      <c r="AE79" s="8" t="inlineStr">
        <is>
          <t xml:space="preserve"> NA</t>
        </is>
      </c>
      <c r="AF79" s="186" t="inlineStr">
        <is>
          <t>PRESTAÇÃO DE CONTAS EM ANÁLISE</t>
        </is>
      </c>
      <c r="AG79" s="186" t="inlineStr">
        <is>
          <t>NI</t>
        </is>
      </c>
      <c r="AH79" s="186" t="inlineStr">
        <is>
          <t>NI</t>
        </is>
      </c>
      <c r="AI79" s="186" t="inlineStr">
        <is>
          <t>NI</t>
        </is>
      </c>
      <c r="AJ79" s="346" t="inlineStr">
        <is>
          <t>NA</t>
        </is>
      </c>
      <c r="AK79" s="346" t="inlineStr">
        <is>
          <t>NA</t>
        </is>
      </c>
      <c r="AL79" s="346" t="n"/>
      <c r="AM79" s="346" t="inlineStr">
        <is>
          <t>NA</t>
        </is>
      </c>
      <c r="AN79" s="186" t="inlineStr">
        <is>
          <t>Substituição</t>
        </is>
      </c>
      <c r="AO79" s="186" t="inlineStr">
        <is>
          <t>Rastreamento</t>
        </is>
      </c>
      <c r="AP79" s="186" t="n"/>
      <c r="AQ79" s="186" t="n"/>
      <c r="AR79" s="357" t="n"/>
      <c r="BE79" s="346" t="inlineStr">
        <is>
          <t>NA</t>
        </is>
      </c>
    </row>
    <row r="80" ht="45.75" customFormat="1" customHeight="1" s="138">
      <c r="A80" s="186" t="inlineStr">
        <is>
          <t>NORDESTE</t>
        </is>
      </c>
      <c r="B80" s="153" t="inlineStr">
        <is>
          <t>CE</t>
        </is>
      </c>
      <c r="C80" s="153" t="inlineStr">
        <is>
          <t>FORTALEZA</t>
        </is>
      </c>
      <c r="D80" s="186" t="inlineStr">
        <is>
          <t>INSTITUTO DO CANCER DO CEARA</t>
        </is>
      </c>
      <c r="E80" s="345" t="inlineStr">
        <is>
          <t>07265515000162</t>
        </is>
      </c>
      <c r="F80" s="535" t="inlineStr">
        <is>
          <t>2723220</t>
        </is>
      </c>
      <c r="G80" s="8" t="inlineStr">
        <is>
          <t>Transferegov/SEI</t>
        </is>
      </c>
      <c r="H80" s="8" t="inlineStr">
        <is>
          <t>Convênio</t>
        </is>
      </c>
      <c r="I80" s="153" t="n">
        <v>946461</v>
      </c>
      <c r="J80" s="535" t="n">
        <v>90726523001</v>
      </c>
      <c r="K80" s="258" t="inlineStr">
        <is>
          <t>25000.124716/2023-27</t>
        </is>
      </c>
      <c r="L80" s="258" t="inlineStr">
        <is>
          <t>HOSPITAL DE ALTA COMPLEXIDADE</t>
        </is>
      </c>
      <c r="M80" s="186" t="inlineStr">
        <is>
          <t>NA</t>
        </is>
      </c>
      <c r="N80" s="153" t="n">
        <v>2023</v>
      </c>
      <c r="O80" s="186" t="n">
        <v>1</v>
      </c>
      <c r="P80" s="534" t="inlineStr">
        <is>
          <t xml:space="preserve"> UND</t>
        </is>
      </c>
      <c r="Q80" s="186" t="inlineStr">
        <is>
          <t>000595-Câmara Cintilográfica (Gama Câmara)</t>
        </is>
      </c>
      <c r="R80" s="346" t="n">
        <v>45240</v>
      </c>
      <c r="S80" s="346" t="n">
        <v>46245</v>
      </c>
      <c r="T80" s="346" t="n">
        <v>46305</v>
      </c>
      <c r="V80" s="347" t="n">
        <v>6492897</v>
      </c>
      <c r="W80" s="346" t="inlineStr">
        <is>
          <t>NA</t>
        </is>
      </c>
      <c r="X80" s="347" t="inlineStr">
        <is>
          <t>NA</t>
        </is>
      </c>
      <c r="Y80" s="8" t="inlineStr">
        <is>
          <t>NI</t>
        </is>
      </c>
      <c r="Z80" s="346" t="inlineStr">
        <is>
          <t>NA</t>
        </is>
      </c>
      <c r="AB80" s="8" t="inlineStr">
        <is>
          <t>NI</t>
        </is>
      </c>
      <c r="AC80" s="8" t="inlineStr">
        <is>
          <t>NI</t>
        </is>
      </c>
      <c r="AE80" s="8" t="inlineStr">
        <is>
          <t xml:space="preserve"> NA</t>
        </is>
      </c>
      <c r="AF80" s="186" t="inlineStr">
        <is>
          <t>PRESTAÇÃO DE CONTAS EM ANÁLISE</t>
        </is>
      </c>
      <c r="AG80" s="186" t="inlineStr">
        <is>
          <t>NI</t>
        </is>
      </c>
      <c r="AH80" s="186" t="inlineStr">
        <is>
          <t>NI</t>
        </is>
      </c>
      <c r="AI80" s="186" t="inlineStr">
        <is>
          <t>NI</t>
        </is>
      </c>
      <c r="AJ80" s="346" t="inlineStr">
        <is>
          <t>NA</t>
        </is>
      </c>
      <c r="AK80" s="346" t="inlineStr">
        <is>
          <t>NA</t>
        </is>
      </c>
      <c r="AL80" s="346" t="n"/>
      <c r="AM80" s="346" t="inlineStr">
        <is>
          <t>NA</t>
        </is>
      </c>
      <c r="AN80" s="186" t="inlineStr">
        <is>
          <t>Substituição</t>
        </is>
      </c>
      <c r="AO80" s="186" t="inlineStr">
        <is>
          <t>Diagnóstico</t>
        </is>
      </c>
      <c r="AP80" s="186" t="n"/>
      <c r="AQ80" s="186" t="n"/>
      <c r="AR80" s="357" t="n"/>
      <c r="BE80" s="346" t="inlineStr">
        <is>
          <t>NA</t>
        </is>
      </c>
    </row>
    <row r="81" ht="30.75" customFormat="1" customHeight="1" s="138">
      <c r="A81" s="184" t="inlineStr">
        <is>
          <t>CENTRO-OESTE</t>
        </is>
      </c>
      <c r="B81" s="539" t="inlineStr">
        <is>
          <t>DF</t>
        </is>
      </c>
      <c r="C81" s="539" t="inlineStr">
        <is>
          <t>BRASILIA</t>
        </is>
      </c>
      <c r="D81" s="184" t="inlineStr">
        <is>
          <t>HOSPITAL REGIONAL DE SANTA MARIA</t>
        </is>
      </c>
      <c r="E81" s="342" t="inlineStr">
        <is>
          <t>28481233000172</t>
        </is>
      </c>
      <c r="F81" s="538" t="inlineStr">
        <is>
          <t>5717515</t>
        </is>
      </c>
      <c r="G81" s="537" t="inlineStr">
        <is>
          <t>Transferegov/SEI</t>
        </is>
      </c>
      <c r="H81" s="537" t="inlineStr">
        <is>
          <t>Convênio</t>
        </is>
      </c>
      <c r="I81" s="539" t="n">
        <v>943969</v>
      </c>
      <c r="J81" s="532" t="n">
        <v>92848123008</v>
      </c>
      <c r="K81" s="184" t="inlineStr">
        <is>
          <t>25000.085703/2023-25</t>
        </is>
      </c>
      <c r="L81" s="184" t="inlineStr">
        <is>
          <t>HOSPITAL DE ALTA COMPLEXIDADE</t>
        </is>
      </c>
      <c r="M81" s="184" t="n">
        <v>5</v>
      </c>
      <c r="N81" s="539" t="n">
        <v>2023</v>
      </c>
      <c r="O81" s="184" t="inlineStr">
        <is>
          <t>NA</t>
        </is>
      </c>
      <c r="P81" s="536" t="inlineStr">
        <is>
          <t xml:space="preserve"> UND</t>
        </is>
      </c>
      <c r="Q81" s="184" t="inlineStr">
        <is>
          <t>NA</t>
        </is>
      </c>
      <c r="R81" s="343" t="n">
        <v>45240</v>
      </c>
      <c r="S81" s="343" t="n">
        <v>46336</v>
      </c>
      <c r="T81" s="343" t="n">
        <v>46396</v>
      </c>
      <c r="V81" s="344" t="n">
        <v>3098200</v>
      </c>
      <c r="W81" s="344" t="n">
        <v>2097768.68</v>
      </c>
      <c r="X81" s="344" t="n">
        <v>0</v>
      </c>
      <c r="Y81" s="537" t="inlineStr">
        <is>
          <t>NI</t>
        </is>
      </c>
      <c r="Z81" s="343" t="n">
        <v>45947</v>
      </c>
      <c r="AB81" s="537" t="inlineStr">
        <is>
          <t>FUJIFILM</t>
        </is>
      </c>
      <c r="AC81" s="537" t="inlineStr">
        <is>
          <t>Fu</t>
        </is>
      </c>
      <c r="AE81" s="537" t="inlineStr">
        <is>
          <t xml:space="preserve"> NA</t>
        </is>
      </c>
      <c r="AF81" s="184" t="inlineStr">
        <is>
          <t>EM EXECUÇÃO</t>
        </is>
      </c>
      <c r="AG81" s="184" t="inlineStr">
        <is>
          <t>NI</t>
        </is>
      </c>
      <c r="AH81" s="184" t="inlineStr">
        <is>
          <t>NI</t>
        </is>
      </c>
      <c r="AI81" s="184" t="inlineStr">
        <is>
          <t>NI</t>
        </is>
      </c>
      <c r="AJ81" s="184" t="inlineStr">
        <is>
          <t>Leonardo Barsante</t>
        </is>
      </c>
      <c r="AK81" s="184" t="inlineStr">
        <is>
          <t>NI</t>
        </is>
      </c>
      <c r="AL81" s="184" t="inlineStr">
        <is>
          <t>Tático</t>
        </is>
      </c>
      <c r="AM81" s="184" t="inlineStr">
        <is>
          <t>Não iniciado</t>
        </is>
      </c>
      <c r="AN81" s="348" t="inlineStr">
        <is>
          <t>Substituição</t>
        </is>
      </c>
      <c r="AO81" s="184" t="inlineStr">
        <is>
          <t>Rastreamento</t>
        </is>
      </c>
      <c r="AP81" s="184" t="n"/>
      <c r="AQ81" s="184" t="n"/>
      <c r="AR81" s="138" t="inlineStr">
        <is>
          <t>Relatório fotográfico incluído no transferegov em 23/12/2025</t>
        </is>
      </c>
      <c r="BE81" s="184" t="inlineStr">
        <is>
          <t>NI</t>
        </is>
      </c>
    </row>
    <row r="82" ht="30.75" customFormat="1" customHeight="1" s="138">
      <c r="A82" s="186" t="inlineStr">
        <is>
          <t>CENTRO-OESTE</t>
        </is>
      </c>
      <c r="B82" s="153" t="inlineStr">
        <is>
          <t>DF</t>
        </is>
      </c>
      <c r="C82" s="153" t="inlineStr">
        <is>
          <t>BRASILIA</t>
        </is>
      </c>
      <c r="D82" s="186" t="inlineStr">
        <is>
          <t>HOSPITAL REGIONAL DE SANTA MARIA</t>
        </is>
      </c>
      <c r="E82" s="345" t="inlineStr">
        <is>
          <t>28481233000172</t>
        </is>
      </c>
      <c r="F82" s="535" t="inlineStr">
        <is>
          <t>5717515</t>
        </is>
      </c>
      <c r="G82" s="8" t="inlineStr">
        <is>
          <t>Transferegov/SEI</t>
        </is>
      </c>
      <c r="H82" s="8" t="inlineStr">
        <is>
          <t>Convênio</t>
        </is>
      </c>
      <c r="I82" s="153" t="n">
        <v>943969</v>
      </c>
      <c r="J82" s="531" t="n">
        <v>92848123008</v>
      </c>
      <c r="K82" s="186" t="inlineStr">
        <is>
          <t>25000.085703/2023-25</t>
        </is>
      </c>
      <c r="L82" s="186" t="inlineStr">
        <is>
          <t>HOSPITAL DE ALTA COMPLEXIDADE</t>
        </is>
      </c>
      <c r="M82" s="186" t="inlineStr">
        <is>
          <t>NA</t>
        </is>
      </c>
      <c r="N82" s="153" t="n">
        <v>2023</v>
      </c>
      <c r="O82" s="186" t="n">
        <v>1</v>
      </c>
      <c r="P82" s="534" t="inlineStr">
        <is>
          <t xml:space="preserve"> UND</t>
        </is>
      </c>
      <c r="Q82" s="186" t="inlineStr">
        <is>
          <t>010925-Mamógrafo</t>
        </is>
      </c>
      <c r="R82" s="346" t="n">
        <v>45240</v>
      </c>
      <c r="S82" s="346" t="n">
        <v>46336</v>
      </c>
      <c r="T82" s="346" t="n">
        <v>46396</v>
      </c>
      <c r="V82" s="347" t="n">
        <v>3098200</v>
      </c>
      <c r="W82" s="347" t="inlineStr">
        <is>
          <t>NA</t>
        </is>
      </c>
      <c r="X82" s="347" t="inlineStr">
        <is>
          <t>NA</t>
        </is>
      </c>
      <c r="Y82" s="8" t="inlineStr">
        <is>
          <t>NI</t>
        </is>
      </c>
      <c r="Z82" s="346" t="inlineStr">
        <is>
          <t>NA</t>
        </is>
      </c>
      <c r="AB82" s="8" t="inlineStr">
        <is>
          <t>NI</t>
        </is>
      </c>
      <c r="AC82" s="8" t="inlineStr">
        <is>
          <t>NI</t>
        </is>
      </c>
      <c r="AE82" s="8" t="inlineStr">
        <is>
          <t xml:space="preserve"> NA</t>
        </is>
      </c>
      <c r="AF82" s="186" t="inlineStr">
        <is>
          <t>EM EXECUÇÃO</t>
        </is>
      </c>
      <c r="AG82" s="186" t="inlineStr">
        <is>
          <t>NI</t>
        </is>
      </c>
      <c r="AH82" s="186" t="inlineStr">
        <is>
          <t>NI</t>
        </is>
      </c>
      <c r="AI82" s="186" t="inlineStr">
        <is>
          <t>NI</t>
        </is>
      </c>
      <c r="AJ82" s="97" t="inlineStr">
        <is>
          <t>Leonardo Barsante</t>
        </is>
      </c>
      <c r="AK82" s="346" t="inlineStr">
        <is>
          <t>NA</t>
        </is>
      </c>
      <c r="AL82" s="346" t="inlineStr">
        <is>
          <t>Tático</t>
        </is>
      </c>
      <c r="AM82" s="346" t="inlineStr">
        <is>
          <t>NA</t>
        </is>
      </c>
      <c r="AN82" s="349" t="inlineStr">
        <is>
          <t>Substituição</t>
        </is>
      </c>
      <c r="AO82" s="186" t="inlineStr">
        <is>
          <t>Rastreamento</t>
        </is>
      </c>
      <c r="AP82" s="186" t="n"/>
      <c r="AQ82" s="186" t="n"/>
      <c r="BE82" s="346" t="inlineStr">
        <is>
          <t>NA</t>
        </is>
      </c>
    </row>
    <row r="83" ht="60.75" customFormat="1" customHeight="1" s="138">
      <c r="A83" s="186" t="inlineStr">
        <is>
          <t>CENTRO-OESTE</t>
        </is>
      </c>
      <c r="B83" s="153" t="inlineStr">
        <is>
          <t>DF</t>
        </is>
      </c>
      <c r="C83" s="153" t="inlineStr">
        <is>
          <t>BRASILIA</t>
        </is>
      </c>
      <c r="D83" s="186" t="inlineStr">
        <is>
          <t>HOSPITAL REGIONAL DE SANTA MARIA</t>
        </is>
      </c>
      <c r="E83" s="345" t="inlineStr">
        <is>
          <t>28481233000172</t>
        </is>
      </c>
      <c r="F83" s="535" t="inlineStr">
        <is>
          <t>5717515</t>
        </is>
      </c>
      <c r="G83" s="8" t="inlineStr">
        <is>
          <t>Transferegov/SEI</t>
        </is>
      </c>
      <c r="H83" s="8" t="inlineStr">
        <is>
          <t>Convênio</t>
        </is>
      </c>
      <c r="I83" s="153" t="n">
        <v>943969</v>
      </c>
      <c r="J83" s="531" t="n">
        <v>92848123008</v>
      </c>
      <c r="K83" s="186" t="inlineStr">
        <is>
          <t>25000.085703/2023-25</t>
        </is>
      </c>
      <c r="L83" s="186" t="inlineStr">
        <is>
          <t>HOSPITAL DE ALTA COMPLEXIDADE</t>
        </is>
      </c>
      <c r="M83" s="186" t="inlineStr">
        <is>
          <t>NA</t>
        </is>
      </c>
      <c r="N83" s="153" t="n">
        <v>2023</v>
      </c>
      <c r="O83" s="186" t="n">
        <v>2</v>
      </c>
      <c r="P83" s="534" t="inlineStr">
        <is>
          <t xml:space="preserve"> UND</t>
        </is>
      </c>
      <c r="Q83" s="186" t="inlineStr">
        <is>
          <t>011422-Ultrassom Diagnóstico sem Aplicação Transesofágica</t>
        </is>
      </c>
      <c r="R83" s="346" t="n">
        <v>45240</v>
      </c>
      <c r="S83" s="346" t="n">
        <v>46336</v>
      </c>
      <c r="T83" s="346" t="n">
        <v>46396</v>
      </c>
      <c r="V83" s="347" t="n">
        <v>3098200</v>
      </c>
      <c r="W83" s="347" t="inlineStr">
        <is>
          <t>NA</t>
        </is>
      </c>
      <c r="X83" s="347" t="inlineStr">
        <is>
          <t>NA</t>
        </is>
      </c>
      <c r="Y83" s="8" t="inlineStr">
        <is>
          <t>NI</t>
        </is>
      </c>
      <c r="Z83" s="346" t="inlineStr">
        <is>
          <t>NA</t>
        </is>
      </c>
      <c r="AB83" s="8" t="inlineStr">
        <is>
          <t>NI</t>
        </is>
      </c>
      <c r="AC83" s="8" t="inlineStr">
        <is>
          <t>NI</t>
        </is>
      </c>
      <c r="AE83" s="8" t="inlineStr">
        <is>
          <t xml:space="preserve"> NA</t>
        </is>
      </c>
      <c r="AF83" s="186" t="inlineStr">
        <is>
          <t>EM EXECUÇÃO</t>
        </is>
      </c>
      <c r="AG83" s="186" t="inlineStr">
        <is>
          <t>NI</t>
        </is>
      </c>
      <c r="AH83" s="186" t="inlineStr">
        <is>
          <t>NI</t>
        </is>
      </c>
      <c r="AI83" s="186" t="inlineStr">
        <is>
          <t>NI</t>
        </is>
      </c>
      <c r="AJ83" s="346" t="inlineStr">
        <is>
          <t>NA</t>
        </is>
      </c>
      <c r="AK83" s="346" t="inlineStr">
        <is>
          <t>NA</t>
        </is>
      </c>
      <c r="AL83" s="346" t="n"/>
      <c r="AM83" s="346" t="inlineStr">
        <is>
          <t>NA</t>
        </is>
      </c>
      <c r="AN83" s="349" t="inlineStr">
        <is>
          <t>Substituição</t>
        </is>
      </c>
      <c r="AO83" s="186" t="inlineStr">
        <is>
          <t>Rastreamento</t>
        </is>
      </c>
      <c r="AP83" s="186" t="n"/>
      <c r="AQ83" s="186" t="n"/>
      <c r="AR83" s="357" t="n"/>
      <c r="BE83" s="346" t="inlineStr">
        <is>
          <t>NA</t>
        </is>
      </c>
    </row>
    <row r="84" ht="30.75" customFormat="1" customHeight="1" s="138">
      <c r="A84" s="184" t="inlineStr">
        <is>
          <t>SUDESTE</t>
        </is>
      </c>
      <c r="B84" s="539" t="inlineStr">
        <is>
          <t>SP</t>
        </is>
      </c>
      <c r="C84" s="539" t="inlineStr">
        <is>
          <t>SOROCABA</t>
        </is>
      </c>
      <c r="D84" s="184" t="inlineStr">
        <is>
          <t>IRMANDADE DA SANTA CASA DE MISERICORDIA DE SOROCABA</t>
        </is>
      </c>
      <c r="E84" s="342" t="inlineStr">
        <is>
          <t>71485056000121</t>
        </is>
      </c>
      <c r="F84" s="350" t="inlineStr">
        <is>
          <t>2708779</t>
        </is>
      </c>
      <c r="G84" s="537" t="inlineStr">
        <is>
          <t>Transferegov/SEI</t>
        </is>
      </c>
      <c r="H84" s="537" t="inlineStr">
        <is>
          <t>Convênio</t>
        </is>
      </c>
      <c r="I84" s="539" t="n">
        <v>950511</v>
      </c>
      <c r="J84" s="538" t="n">
        <v>97148523008</v>
      </c>
      <c r="K84" s="184" t="inlineStr">
        <is>
          <t>25000.178638/2023-81</t>
        </is>
      </c>
      <c r="L84" s="184" t="inlineStr">
        <is>
          <t>HOSPITAL DE ALTA COMPLEXIDADE</t>
        </is>
      </c>
      <c r="M84" s="184" t="n">
        <v>15</v>
      </c>
      <c r="N84" s="539" t="n">
        <v>2023</v>
      </c>
      <c r="O84" s="184" t="inlineStr">
        <is>
          <t>NA</t>
        </is>
      </c>
      <c r="P84" s="184" t="inlineStr">
        <is>
          <t>UND</t>
        </is>
      </c>
      <c r="Q84" s="184" t="inlineStr">
        <is>
          <t>NA</t>
        </is>
      </c>
      <c r="R84" s="343" t="n">
        <v>45266</v>
      </c>
      <c r="S84" s="343" t="n">
        <v>46270</v>
      </c>
      <c r="T84" s="343" t="n">
        <v>46330</v>
      </c>
      <c r="V84" s="344" t="n">
        <v>9824374</v>
      </c>
      <c r="W84" s="344" t="n">
        <v>9824374</v>
      </c>
      <c r="X84" s="344" t="n">
        <v>0</v>
      </c>
      <c r="Y84" s="184" t="inlineStr">
        <is>
          <t>NI</t>
        </is>
      </c>
      <c r="Z84" s="343" t="n">
        <v>45659</v>
      </c>
      <c r="AB84" s="184" t="inlineStr">
        <is>
          <t>NI</t>
        </is>
      </c>
      <c r="AC84" s="184" t="inlineStr">
        <is>
          <t>NA</t>
        </is>
      </c>
      <c r="AE84" s="537" t="inlineStr">
        <is>
          <t xml:space="preserve"> NA</t>
        </is>
      </c>
      <c r="AF84" s="184" t="inlineStr">
        <is>
          <t>EM EXECUÇÃO</t>
        </is>
      </c>
      <c r="AG84" s="184" t="inlineStr">
        <is>
          <t>NI</t>
        </is>
      </c>
      <c r="AH84" s="184" t="inlineStr">
        <is>
          <t>NI</t>
        </is>
      </c>
      <c r="AI84" s="184" t="inlineStr">
        <is>
          <t>NI</t>
        </is>
      </c>
      <c r="AJ84" s="184" t="inlineStr">
        <is>
          <t>NI</t>
        </is>
      </c>
      <c r="AK84" s="184" t="inlineStr">
        <is>
          <t>NI</t>
        </is>
      </c>
      <c r="AL84" s="184" t="n"/>
      <c r="AM84" s="184" t="inlineStr">
        <is>
          <t>Não iniciado</t>
        </is>
      </c>
      <c r="AN84" s="184" t="inlineStr">
        <is>
          <t>Várias</t>
        </is>
      </c>
      <c r="AO84" s="184" t="inlineStr">
        <is>
          <t>Várias</t>
        </is>
      </c>
      <c r="AP84" s="184" t="n"/>
      <c r="AQ84" s="184" t="n"/>
      <c r="AR84" s="357" t="inlineStr">
        <is>
          <t>Ofício 298 aguardando assinatura</t>
        </is>
      </c>
      <c r="BE84" s="184" t="inlineStr">
        <is>
          <t>NI</t>
        </is>
      </c>
    </row>
    <row r="85" ht="30.75" customFormat="1" customHeight="1" s="138">
      <c r="A85" s="186" t="inlineStr">
        <is>
          <t>SUDESTE</t>
        </is>
      </c>
      <c r="B85" s="153" t="inlineStr">
        <is>
          <t>SP</t>
        </is>
      </c>
      <c r="C85" s="153" t="inlineStr">
        <is>
          <t>SOROCABA</t>
        </is>
      </c>
      <c r="D85" s="186" t="inlineStr">
        <is>
          <t>IRMANDADE DA SANTA CASA DE MISERICORDIA DE SOROCABA</t>
        </is>
      </c>
      <c r="E85" s="345" t="inlineStr">
        <is>
          <t>71485056000121</t>
        </is>
      </c>
      <c r="F85" s="351" t="inlineStr">
        <is>
          <t>2708779</t>
        </is>
      </c>
      <c r="G85" s="8" t="inlineStr">
        <is>
          <t>Transferegov/SEI</t>
        </is>
      </c>
      <c r="H85" s="8" t="inlineStr">
        <is>
          <t>Convênio</t>
        </is>
      </c>
      <c r="I85" s="153" t="n">
        <v>950511</v>
      </c>
      <c r="J85" s="535" t="n">
        <v>97148523008</v>
      </c>
      <c r="K85" s="186" t="inlineStr">
        <is>
          <t>25000.178638/2023-81</t>
        </is>
      </c>
      <c r="L85" s="186" t="inlineStr">
        <is>
          <t>HOSPITAL DE ALTA COMPLEXIDADE</t>
        </is>
      </c>
      <c r="M85" s="186" t="inlineStr">
        <is>
          <t>NA</t>
        </is>
      </c>
      <c r="N85" s="153" t="n">
        <v>2023</v>
      </c>
      <c r="O85" s="186" t="n">
        <v>2</v>
      </c>
      <c r="P85" s="186" t="inlineStr">
        <is>
          <t>UND</t>
        </is>
      </c>
      <c r="Q85" s="186" t="inlineStr">
        <is>
          <t>10925-Mamógrafo</t>
        </is>
      </c>
      <c r="R85" s="346" t="n">
        <v>45266</v>
      </c>
      <c r="S85" s="346" t="n">
        <v>46270</v>
      </c>
      <c r="T85" s="346" t="n">
        <v>46330</v>
      </c>
      <c r="V85" s="347" t="n">
        <v>9824374</v>
      </c>
      <c r="W85" s="347" t="inlineStr">
        <is>
          <t>NA</t>
        </is>
      </c>
      <c r="X85" s="347" t="inlineStr">
        <is>
          <t>NA</t>
        </is>
      </c>
      <c r="Y85" s="186" t="inlineStr">
        <is>
          <t>NI</t>
        </is>
      </c>
      <c r="Z85" s="346" t="inlineStr">
        <is>
          <t>NA</t>
        </is>
      </c>
      <c r="AB85" s="186" t="inlineStr">
        <is>
          <t>NI</t>
        </is>
      </c>
      <c r="AC85" s="186" t="inlineStr">
        <is>
          <t>NI</t>
        </is>
      </c>
      <c r="AE85" s="8" t="inlineStr">
        <is>
          <t xml:space="preserve"> NA</t>
        </is>
      </c>
      <c r="AF85" s="186" t="inlineStr">
        <is>
          <t>EM EXECUÇÃO</t>
        </is>
      </c>
      <c r="AG85" s="186" t="inlineStr">
        <is>
          <t>NI</t>
        </is>
      </c>
      <c r="AH85" s="186" t="inlineStr">
        <is>
          <t>NI</t>
        </is>
      </c>
      <c r="AI85" s="186" t="inlineStr">
        <is>
          <t>NI</t>
        </is>
      </c>
      <c r="AJ85" s="97" t="inlineStr">
        <is>
          <t>Leonardo Barsante</t>
        </is>
      </c>
      <c r="AK85" s="346" t="inlineStr">
        <is>
          <t>NA</t>
        </is>
      </c>
      <c r="AL85" s="346" t="inlineStr">
        <is>
          <t>Tático</t>
        </is>
      </c>
      <c r="AM85" s="346" t="inlineStr">
        <is>
          <t>Iniciado</t>
        </is>
      </c>
      <c r="AN85" s="186" t="inlineStr">
        <is>
          <t>Substituição</t>
        </is>
      </c>
      <c r="AO85" s="186" t="inlineStr">
        <is>
          <t>Rastreamento</t>
        </is>
      </c>
      <c r="AP85" s="186" t="n"/>
      <c r="AQ85" s="186" t="n"/>
      <c r="AR85" s="357" t="inlineStr">
        <is>
          <t>Equipamento encaixotado</t>
        </is>
      </c>
      <c r="BE85" s="346" t="inlineStr">
        <is>
          <t>NA</t>
        </is>
      </c>
    </row>
    <row r="86" ht="38.25" customFormat="1" customHeight="1" s="138">
      <c r="A86" s="186" t="inlineStr">
        <is>
          <t>SUDESTE</t>
        </is>
      </c>
      <c r="B86" s="153" t="inlineStr">
        <is>
          <t>SP</t>
        </is>
      </c>
      <c r="C86" s="153" t="inlineStr">
        <is>
          <t>SOROCABA</t>
        </is>
      </c>
      <c r="D86" s="186" t="inlineStr">
        <is>
          <t>IRMANDADE DA SANTA CASA DE MISERICORDIA DE SOROCABA</t>
        </is>
      </c>
      <c r="E86" s="345" t="inlineStr">
        <is>
          <t>71485056000121</t>
        </is>
      </c>
      <c r="F86" s="351" t="inlineStr">
        <is>
          <t>2708779</t>
        </is>
      </c>
      <c r="G86" s="8" t="inlineStr">
        <is>
          <t>Transferegov/SEI</t>
        </is>
      </c>
      <c r="H86" s="8" t="inlineStr">
        <is>
          <t>Convênio</t>
        </is>
      </c>
      <c r="I86" s="153" t="n">
        <v>950511</v>
      </c>
      <c r="J86" s="535" t="n">
        <v>97148523008</v>
      </c>
      <c r="K86" s="186" t="inlineStr">
        <is>
          <t>25000.178638/2023-81</t>
        </is>
      </c>
      <c r="L86" s="186" t="inlineStr">
        <is>
          <t>HOSPITAL DE ALTA COMPLEXIDADE</t>
        </is>
      </c>
      <c r="M86" s="186" t="inlineStr">
        <is>
          <t>NA</t>
        </is>
      </c>
      <c r="N86" s="153" t="n">
        <v>2023</v>
      </c>
      <c r="O86" s="186" t="n">
        <v>1</v>
      </c>
      <c r="P86" s="186" t="inlineStr">
        <is>
          <t>UND</t>
        </is>
      </c>
      <c r="Q86" s="186" t="inlineStr">
        <is>
          <t>010889-Ressonância Nuclear Magnética 1,5 T</t>
        </is>
      </c>
      <c r="R86" s="346" t="n">
        <v>45266</v>
      </c>
      <c r="S86" s="346" t="n">
        <v>46270</v>
      </c>
      <c r="T86" s="346" t="n">
        <v>46330</v>
      </c>
      <c r="V86" s="347" t="n">
        <v>9824374</v>
      </c>
      <c r="W86" s="347" t="inlineStr">
        <is>
          <t>NA</t>
        </is>
      </c>
      <c r="X86" s="347" t="inlineStr">
        <is>
          <t>NA</t>
        </is>
      </c>
      <c r="Y86" s="186" t="inlineStr">
        <is>
          <t>NI</t>
        </is>
      </c>
      <c r="Z86" s="346" t="inlineStr">
        <is>
          <t>NA</t>
        </is>
      </c>
      <c r="AB86" s="186" t="inlineStr">
        <is>
          <t>NI</t>
        </is>
      </c>
      <c r="AC86" s="186" t="inlineStr">
        <is>
          <t>NI</t>
        </is>
      </c>
      <c r="AE86" s="8" t="inlineStr">
        <is>
          <t xml:space="preserve"> NA</t>
        </is>
      </c>
      <c r="AF86" s="186" t="inlineStr">
        <is>
          <t>EM EXECUÇÃO</t>
        </is>
      </c>
      <c r="AG86" s="186" t="inlineStr">
        <is>
          <t>NI</t>
        </is>
      </c>
      <c r="AH86" s="186" t="inlineStr">
        <is>
          <t>NI</t>
        </is>
      </c>
      <c r="AI86" s="186" t="inlineStr">
        <is>
          <t>NI</t>
        </is>
      </c>
      <c r="AJ86" s="346" t="inlineStr">
        <is>
          <t>NA</t>
        </is>
      </c>
      <c r="AK86" s="346" t="inlineStr">
        <is>
          <t>NA</t>
        </is>
      </c>
      <c r="AL86" s="346" t="n"/>
      <c r="AM86" s="346" t="inlineStr">
        <is>
          <t>Iniciado</t>
        </is>
      </c>
      <c r="AN86" s="186" t="inlineStr">
        <is>
          <t>Ampliação</t>
        </is>
      </c>
      <c r="AO86" s="186" t="inlineStr">
        <is>
          <t>Rastreamento</t>
        </is>
      </c>
      <c r="AP86" s="186" t="n"/>
      <c r="AQ86" s="186" t="n"/>
      <c r="AR86" s="357" t="inlineStr">
        <is>
          <t>Equipamento instalado - RF Tranferegov</t>
        </is>
      </c>
      <c r="BE86" s="346" t="inlineStr">
        <is>
          <t>NA</t>
        </is>
      </c>
    </row>
    <row r="87" ht="60.75" customFormat="1" customHeight="1" s="138">
      <c r="A87" s="186" t="inlineStr">
        <is>
          <t>SUDESTE</t>
        </is>
      </c>
      <c r="B87" s="153" t="inlineStr">
        <is>
          <t>SP</t>
        </is>
      </c>
      <c r="C87" s="153" t="inlineStr">
        <is>
          <t>SOROCABA</t>
        </is>
      </c>
      <c r="D87" s="186" t="inlineStr">
        <is>
          <t>IRMANDADE DA SANTA CASA DE MISERICORDIA DE SOROCABA</t>
        </is>
      </c>
      <c r="E87" s="345" t="inlineStr">
        <is>
          <t>71485056000121</t>
        </is>
      </c>
      <c r="F87" s="351" t="inlineStr">
        <is>
          <t>2708779</t>
        </is>
      </c>
      <c r="G87" s="8" t="inlineStr">
        <is>
          <t>Transferegov/SEI</t>
        </is>
      </c>
      <c r="H87" s="8" t="inlineStr">
        <is>
          <t>Convênio</t>
        </is>
      </c>
      <c r="I87" s="153" t="n">
        <v>950511</v>
      </c>
      <c r="J87" s="535" t="n">
        <v>97148523008</v>
      </c>
      <c r="K87" s="186" t="inlineStr">
        <is>
          <t>25000.178638/2023-81</t>
        </is>
      </c>
      <c r="L87" s="186" t="inlineStr">
        <is>
          <t>HOSPITAL DE ALTA COMPLEXIDADE</t>
        </is>
      </c>
      <c r="M87" s="186" t="inlineStr">
        <is>
          <t>NA</t>
        </is>
      </c>
      <c r="N87" s="153" t="n">
        <v>2023</v>
      </c>
      <c r="O87" s="186" t="n">
        <v>2</v>
      </c>
      <c r="P87" s="186" t="inlineStr">
        <is>
          <t>UND</t>
        </is>
      </c>
      <c r="Q87" s="186" t="inlineStr">
        <is>
          <t>011422-Ultrassom Diagnóstico sem Aplicação Transesofágica</t>
        </is>
      </c>
      <c r="R87" s="346" t="n">
        <v>45266</v>
      </c>
      <c r="S87" s="346" t="n">
        <v>46270</v>
      </c>
      <c r="T87" s="346" t="n">
        <v>46330</v>
      </c>
      <c r="V87" s="347" t="n">
        <v>9824374</v>
      </c>
      <c r="W87" s="347" t="inlineStr">
        <is>
          <t>NA</t>
        </is>
      </c>
      <c r="X87" s="347" t="inlineStr">
        <is>
          <t>NA</t>
        </is>
      </c>
      <c r="Y87" s="186" t="inlineStr">
        <is>
          <t>NI</t>
        </is>
      </c>
      <c r="Z87" s="346" t="inlineStr">
        <is>
          <t>NA</t>
        </is>
      </c>
      <c r="AB87" s="186" t="inlineStr">
        <is>
          <t>NI</t>
        </is>
      </c>
      <c r="AC87" s="186" t="inlineStr">
        <is>
          <t>NI</t>
        </is>
      </c>
      <c r="AE87" s="8" t="inlineStr">
        <is>
          <t xml:space="preserve"> NA</t>
        </is>
      </c>
      <c r="AF87" s="186" t="inlineStr">
        <is>
          <t>EM EXECUÇÃO</t>
        </is>
      </c>
      <c r="AG87" s="186" t="inlineStr">
        <is>
          <t>NI</t>
        </is>
      </c>
      <c r="AH87" s="186" t="inlineStr">
        <is>
          <t>NI</t>
        </is>
      </c>
      <c r="AI87" s="186" t="inlineStr">
        <is>
          <t>NI</t>
        </is>
      </c>
      <c r="AJ87" s="346" t="inlineStr">
        <is>
          <t>NA</t>
        </is>
      </c>
      <c r="AK87" s="346" t="inlineStr">
        <is>
          <t>NA</t>
        </is>
      </c>
      <c r="AL87" s="346" t="n"/>
      <c r="AM87" s="346" t="inlineStr">
        <is>
          <t>Iniciado</t>
        </is>
      </c>
      <c r="AN87" s="186" t="inlineStr">
        <is>
          <t>Ampliação</t>
        </is>
      </c>
      <c r="AO87" s="186" t="inlineStr">
        <is>
          <t>Rastreamento</t>
        </is>
      </c>
      <c r="AP87" s="186" t="n"/>
      <c r="AQ87" s="186" t="n"/>
      <c r="AR87" s="357" t="inlineStr">
        <is>
          <t>Equipamentos instalados - RF transferegov</t>
        </is>
      </c>
      <c r="BE87" s="346" t="inlineStr">
        <is>
          <t>NA</t>
        </is>
      </c>
    </row>
    <row r="88" ht="45.75" customFormat="1" customHeight="1" s="138">
      <c r="A88" s="184" t="inlineStr">
        <is>
          <t>SUDESTE</t>
        </is>
      </c>
      <c r="B88" s="539" t="inlineStr">
        <is>
          <t>MG</t>
        </is>
      </c>
      <c r="C88" s="539" t="inlineStr">
        <is>
          <t>UBERABA</t>
        </is>
      </c>
      <c r="D88" s="184" t="inlineStr">
        <is>
          <t>ASSOCIACAO DE COMBATE AO CANCER DO BRASIL CENTRAL</t>
        </is>
      </c>
      <c r="E88" s="342" t="inlineStr">
        <is>
          <t>25438409000115</t>
        </is>
      </c>
      <c r="F88" s="530" t="inlineStr">
        <is>
          <t>2165058</t>
        </is>
      </c>
      <c r="G88" s="537" t="inlineStr">
        <is>
          <t>Transferegov/SEI</t>
        </is>
      </c>
      <c r="H88" s="537" t="inlineStr">
        <is>
          <t>Convênio</t>
        </is>
      </c>
      <c r="I88" s="539" t="n">
        <v>950114</v>
      </c>
      <c r="J88" s="538" t="n">
        <v>92543823002</v>
      </c>
      <c r="K88" s="184" t="inlineStr">
        <is>
          <t>25000.178603/2023-41</t>
        </is>
      </c>
      <c r="L88" s="184" t="inlineStr">
        <is>
          <t>CENTRO DE ALTA COMPLEXIDADE EM ONCOLOGIA</t>
        </is>
      </c>
      <c r="M88" s="184" t="n">
        <v>8</v>
      </c>
      <c r="N88" s="539" t="n">
        <v>2023</v>
      </c>
      <c r="O88" s="184" t="inlineStr">
        <is>
          <t>NA</t>
        </is>
      </c>
      <c r="P88" s="536" t="inlineStr">
        <is>
          <t xml:space="preserve"> UND</t>
        </is>
      </c>
      <c r="Q88" s="184" t="inlineStr">
        <is>
          <t>NA</t>
        </is>
      </c>
      <c r="R88" s="343" t="n">
        <v>45281</v>
      </c>
      <c r="S88" s="343" t="n">
        <v>46361</v>
      </c>
      <c r="T88" s="343" t="n">
        <v>46421</v>
      </c>
      <c r="V88" s="344" t="n">
        <v>8980892</v>
      </c>
      <c r="W88" s="344" t="n">
        <v>8154157.15</v>
      </c>
      <c r="X88" s="344" t="n">
        <v>0</v>
      </c>
      <c r="Y88" s="537" t="inlineStr">
        <is>
          <t>NI</t>
        </is>
      </c>
      <c r="Z88" s="343" t="n">
        <v>45476</v>
      </c>
      <c r="AB88" s="537" t="inlineStr">
        <is>
          <t>NI</t>
        </is>
      </c>
      <c r="AC88" s="537" t="inlineStr">
        <is>
          <t>NI</t>
        </is>
      </c>
      <c r="AE88" s="537" t="inlineStr">
        <is>
          <t xml:space="preserve"> NA</t>
        </is>
      </c>
      <c r="AF88" s="184" t="inlineStr">
        <is>
          <t>EM EXECUÇÃO</t>
        </is>
      </c>
      <c r="AG88" s="184" t="inlineStr">
        <is>
          <t>NI</t>
        </is>
      </c>
      <c r="AH88" s="184" t="inlineStr">
        <is>
          <t>NI</t>
        </is>
      </c>
      <c r="AI88" s="184" t="inlineStr">
        <is>
          <t>NI</t>
        </is>
      </c>
      <c r="AJ88" s="184" t="inlineStr">
        <is>
          <t>NI</t>
        </is>
      </c>
      <c r="AK88" s="184" t="inlineStr">
        <is>
          <t>NI</t>
        </is>
      </c>
      <c r="AL88" s="184" t="n"/>
      <c r="AM88" s="184" t="inlineStr">
        <is>
          <t>Iniciado</t>
        </is>
      </c>
      <c r="AN88" s="184" t="inlineStr">
        <is>
          <t>Ampliação</t>
        </is>
      </c>
      <c r="AO88" s="184" t="inlineStr">
        <is>
          <t>Várias</t>
        </is>
      </c>
      <c r="AP88" s="184" t="n"/>
      <c r="AQ88" s="184" t="n"/>
      <c r="AR88" s="357" t="inlineStr">
        <is>
          <t>Ofício 236 enviado para assessoria, solicitando informações</t>
        </is>
      </c>
      <c r="BE88" s="184" t="inlineStr">
        <is>
          <t>NI</t>
        </is>
      </c>
    </row>
    <row r="89" ht="45.75" customFormat="1" customHeight="1" s="138">
      <c r="A89" s="186" t="inlineStr">
        <is>
          <t>SUDESTE</t>
        </is>
      </c>
      <c r="B89" s="153" t="inlineStr">
        <is>
          <t>MG</t>
        </is>
      </c>
      <c r="C89" s="153" t="inlineStr">
        <is>
          <t>UBERABA</t>
        </is>
      </c>
      <c r="D89" s="186" t="inlineStr">
        <is>
          <t>ASSOCIACAO DE COMBATE AO CANCER DO BRASIL CENTRAL</t>
        </is>
      </c>
      <c r="E89" s="345" t="inlineStr">
        <is>
          <t>25438409000115</t>
        </is>
      </c>
      <c r="F89" s="529" t="inlineStr">
        <is>
          <t>2165058</t>
        </is>
      </c>
      <c r="G89" s="8" t="inlineStr">
        <is>
          <t>Transferegov/SEI</t>
        </is>
      </c>
      <c r="H89" s="8" t="inlineStr">
        <is>
          <t>Convênio</t>
        </is>
      </c>
      <c r="I89" s="153" t="n">
        <v>950114</v>
      </c>
      <c r="J89" s="535" t="n">
        <v>92543823002</v>
      </c>
      <c r="K89" s="186" t="inlineStr">
        <is>
          <t>25000.178603/2023-41</t>
        </is>
      </c>
      <c r="L89" s="186" t="inlineStr">
        <is>
          <t>CENTRO DE ALTA COMPLEXIDADE EM ONCOLOGIA</t>
        </is>
      </c>
      <c r="M89" s="186" t="inlineStr">
        <is>
          <t>NA</t>
        </is>
      </c>
      <c r="N89" s="153" t="n">
        <v>2023</v>
      </c>
      <c r="O89" s="186" t="n">
        <v>1</v>
      </c>
      <c r="P89" s="534" t="inlineStr">
        <is>
          <t xml:space="preserve"> UND</t>
        </is>
      </c>
      <c r="Q89" s="186" t="inlineStr">
        <is>
          <t>010925-Mamógrafo</t>
        </is>
      </c>
      <c r="R89" s="346" t="n">
        <v>45281</v>
      </c>
      <c r="S89" s="346" t="n">
        <v>46361</v>
      </c>
      <c r="T89" s="346" t="n">
        <v>46421</v>
      </c>
      <c r="V89" s="347" t="n">
        <v>8980892</v>
      </c>
      <c r="W89" s="347" t="inlineStr">
        <is>
          <t>NA</t>
        </is>
      </c>
      <c r="X89" s="347" t="inlineStr">
        <is>
          <t>NA</t>
        </is>
      </c>
      <c r="Y89" s="8" t="inlineStr">
        <is>
          <t>NI</t>
        </is>
      </c>
      <c r="Z89" s="347" t="inlineStr">
        <is>
          <t>NA</t>
        </is>
      </c>
      <c r="AB89" s="8" t="inlineStr">
        <is>
          <t>NI</t>
        </is>
      </c>
      <c r="AC89" s="8" t="inlineStr">
        <is>
          <t>NI</t>
        </is>
      </c>
      <c r="AE89" s="8" t="inlineStr">
        <is>
          <t xml:space="preserve"> NA</t>
        </is>
      </c>
      <c r="AF89" s="186" t="inlineStr">
        <is>
          <t>EM EXECUÇÃO</t>
        </is>
      </c>
      <c r="AG89" s="186" t="inlineStr">
        <is>
          <t>NI</t>
        </is>
      </c>
      <c r="AH89" s="186" t="inlineStr">
        <is>
          <t>NI</t>
        </is>
      </c>
      <c r="AI89" s="186" t="inlineStr">
        <is>
          <t>NI</t>
        </is>
      </c>
      <c r="AJ89" s="97" t="inlineStr">
        <is>
          <t>Leonardo Barsante</t>
        </is>
      </c>
      <c r="AK89" s="347" t="inlineStr">
        <is>
          <t>NA</t>
        </is>
      </c>
      <c r="AL89" s="347" t="inlineStr">
        <is>
          <t>Tático</t>
        </is>
      </c>
      <c r="AM89" s="347" t="inlineStr">
        <is>
          <t>NA</t>
        </is>
      </c>
      <c r="AN89" s="186" t="inlineStr">
        <is>
          <t>Ampliação</t>
        </is>
      </c>
      <c r="AO89" s="186" t="inlineStr">
        <is>
          <t>Rastreamento</t>
        </is>
      </c>
      <c r="AP89" s="186" t="n"/>
      <c r="AQ89" s="186" t="n"/>
      <c r="BE89" s="347" t="inlineStr">
        <is>
          <t>NA</t>
        </is>
      </c>
    </row>
    <row r="90" ht="60.75" customFormat="1" customHeight="1" s="138">
      <c r="A90" s="186" t="inlineStr">
        <is>
          <t>SUDESTE</t>
        </is>
      </c>
      <c r="B90" s="153" t="inlineStr">
        <is>
          <t>MG</t>
        </is>
      </c>
      <c r="C90" s="153" t="inlineStr">
        <is>
          <t>UBERABA</t>
        </is>
      </c>
      <c r="D90" s="186" t="inlineStr">
        <is>
          <t>ASSOCIACAO DE COMBATE AO CANCER DO BRASIL CENTRAL</t>
        </is>
      </c>
      <c r="E90" s="345" t="inlineStr">
        <is>
          <t>25438409000115</t>
        </is>
      </c>
      <c r="F90" s="529" t="inlineStr">
        <is>
          <t>2165058</t>
        </is>
      </c>
      <c r="G90" s="8" t="inlineStr">
        <is>
          <t>Transferegov/SEI</t>
        </is>
      </c>
      <c r="H90" s="8" t="inlineStr">
        <is>
          <t>Convênio</t>
        </is>
      </c>
      <c r="I90" s="153" t="n">
        <v>950114</v>
      </c>
      <c r="J90" s="535" t="n">
        <v>92543823002</v>
      </c>
      <c r="K90" s="186" t="inlineStr">
        <is>
          <t>25000.178603/2023-41</t>
        </is>
      </c>
      <c r="L90" s="186" t="inlineStr">
        <is>
          <t>CENTRO DE ALTA COMPLEXIDADE EM ONCOLOGIA</t>
        </is>
      </c>
      <c r="M90" s="186" t="inlineStr">
        <is>
          <t>NA</t>
        </is>
      </c>
      <c r="N90" s="153" t="n">
        <v>2023</v>
      </c>
      <c r="O90" s="186" t="n">
        <v>1</v>
      </c>
      <c r="P90" s="534" t="inlineStr">
        <is>
          <t xml:space="preserve"> UND</t>
        </is>
      </c>
      <c r="Q90" s="186" t="inlineStr">
        <is>
          <t>011237-Monitor Multiparâmetros para Ressonância Magnética</t>
        </is>
      </c>
      <c r="R90" s="346" t="n">
        <v>45281</v>
      </c>
      <c r="S90" s="346" t="n">
        <v>46361</v>
      </c>
      <c r="T90" s="346" t="n">
        <v>46421</v>
      </c>
      <c r="V90" s="347" t="n">
        <v>8980892</v>
      </c>
      <c r="W90" s="347" t="inlineStr">
        <is>
          <t>NA</t>
        </is>
      </c>
      <c r="X90" s="347" t="inlineStr">
        <is>
          <t>NA</t>
        </is>
      </c>
      <c r="Y90" s="8" t="inlineStr">
        <is>
          <t>NI</t>
        </is>
      </c>
      <c r="Z90" s="347" t="inlineStr">
        <is>
          <t>NA</t>
        </is>
      </c>
      <c r="AB90" s="8" t="inlineStr">
        <is>
          <t>NI</t>
        </is>
      </c>
      <c r="AC90" s="8" t="inlineStr">
        <is>
          <t>NI</t>
        </is>
      </c>
      <c r="AE90" s="8" t="inlineStr">
        <is>
          <t xml:space="preserve"> NA</t>
        </is>
      </c>
      <c r="AF90" s="186" t="inlineStr">
        <is>
          <t>EM EXECUÇÃO</t>
        </is>
      </c>
      <c r="AG90" s="186" t="inlineStr">
        <is>
          <t>NI</t>
        </is>
      </c>
      <c r="AH90" s="186" t="inlineStr">
        <is>
          <t>NI</t>
        </is>
      </c>
      <c r="AI90" s="186" t="inlineStr">
        <is>
          <t>NI</t>
        </is>
      </c>
      <c r="AJ90" s="347" t="inlineStr">
        <is>
          <t>NA</t>
        </is>
      </c>
      <c r="AK90" s="347" t="inlineStr">
        <is>
          <t>NA</t>
        </is>
      </c>
      <c r="AL90" s="347" t="n"/>
      <c r="AM90" s="347" t="inlineStr">
        <is>
          <t>NA</t>
        </is>
      </c>
      <c r="AN90" s="186" t="inlineStr">
        <is>
          <t>Ampliação</t>
        </is>
      </c>
      <c r="AO90" s="186" t="inlineStr">
        <is>
          <t>Diagnóstico</t>
        </is>
      </c>
      <c r="AP90" s="186" t="n"/>
      <c r="AQ90" s="186" t="n"/>
      <c r="AR90" s="357" t="n"/>
      <c r="BE90" s="347" t="inlineStr">
        <is>
          <t>NA</t>
        </is>
      </c>
    </row>
    <row r="91" ht="45.75" customFormat="1" customHeight="1" s="138">
      <c r="A91" s="186" t="inlineStr">
        <is>
          <t>SUDESTE</t>
        </is>
      </c>
      <c r="B91" s="153" t="inlineStr">
        <is>
          <t>MG</t>
        </is>
      </c>
      <c r="C91" s="153" t="inlineStr">
        <is>
          <t>UBERABA</t>
        </is>
      </c>
      <c r="D91" s="186" t="inlineStr">
        <is>
          <t>ASSOCIACAO DE COMBATE AO CANCER DO BRASIL CENTRAL</t>
        </is>
      </c>
      <c r="E91" s="345" t="inlineStr">
        <is>
          <t>25438409000115</t>
        </is>
      </c>
      <c r="F91" s="529" t="inlineStr">
        <is>
          <t>2165058</t>
        </is>
      </c>
      <c r="G91" s="8" t="inlineStr">
        <is>
          <t>Transferegov/SEI</t>
        </is>
      </c>
      <c r="H91" s="8" t="inlineStr">
        <is>
          <t>Convênio</t>
        </is>
      </c>
      <c r="I91" s="153" t="n">
        <v>950114</v>
      </c>
      <c r="J91" s="535" t="n">
        <v>92543823002</v>
      </c>
      <c r="K91" s="186" t="inlineStr">
        <is>
          <t>25000.178603/2023-41</t>
        </is>
      </c>
      <c r="L91" s="186" t="inlineStr">
        <is>
          <t>CENTRO DE ALTA COMPLEXIDADE EM ONCOLOGIA</t>
        </is>
      </c>
      <c r="M91" s="186" t="inlineStr">
        <is>
          <t>NA</t>
        </is>
      </c>
      <c r="N91" s="153" t="n">
        <v>2023</v>
      </c>
      <c r="O91" s="186" t="n">
        <v>1</v>
      </c>
      <c r="P91" s="534" t="inlineStr">
        <is>
          <t xml:space="preserve"> UND</t>
        </is>
      </c>
      <c r="Q91" s="186" t="inlineStr">
        <is>
          <t>010889-Ressonância Nuclear Magnética 1,5 T</t>
        </is>
      </c>
      <c r="R91" s="346" t="n">
        <v>45281</v>
      </c>
      <c r="S91" s="346" t="n">
        <v>46361</v>
      </c>
      <c r="T91" s="346" t="n">
        <v>46421</v>
      </c>
      <c r="V91" s="347" t="n">
        <v>8980892</v>
      </c>
      <c r="W91" s="347" t="inlineStr">
        <is>
          <t>NA</t>
        </is>
      </c>
      <c r="X91" s="347" t="inlineStr">
        <is>
          <t>NA</t>
        </is>
      </c>
      <c r="Y91" s="8" t="inlineStr">
        <is>
          <t>NI</t>
        </is>
      </c>
      <c r="Z91" s="347" t="inlineStr">
        <is>
          <t>NA</t>
        </is>
      </c>
      <c r="AB91" s="8" t="inlineStr">
        <is>
          <t>NI</t>
        </is>
      </c>
      <c r="AC91" s="8" t="inlineStr">
        <is>
          <t>NI</t>
        </is>
      </c>
      <c r="AE91" s="8" t="inlineStr">
        <is>
          <t xml:space="preserve"> NA</t>
        </is>
      </c>
      <c r="AF91" s="186" t="inlineStr">
        <is>
          <t>EM EXECUÇÃO</t>
        </is>
      </c>
      <c r="AG91" s="186" t="inlineStr">
        <is>
          <t>NI</t>
        </is>
      </c>
      <c r="AH91" s="186" t="inlineStr">
        <is>
          <t>NI</t>
        </is>
      </c>
      <c r="AI91" s="186" t="inlineStr">
        <is>
          <t>NI</t>
        </is>
      </c>
      <c r="AJ91" s="347" t="inlineStr">
        <is>
          <t>NA</t>
        </is>
      </c>
      <c r="AK91" s="347" t="inlineStr">
        <is>
          <t>NA</t>
        </is>
      </c>
      <c r="AL91" s="347" t="n"/>
      <c r="AM91" s="347" t="inlineStr">
        <is>
          <t>NA</t>
        </is>
      </c>
      <c r="AN91" s="186" t="inlineStr">
        <is>
          <t>Ampliação</t>
        </is>
      </c>
      <c r="AO91" s="186" t="inlineStr">
        <is>
          <t>Diagnóstico</t>
        </is>
      </c>
      <c r="AP91" s="186" t="n"/>
      <c r="AQ91" s="186" t="n"/>
      <c r="AR91" s="357" t="n"/>
      <c r="BE91" s="347" t="inlineStr">
        <is>
          <t>NA</t>
        </is>
      </c>
    </row>
    <row r="92" ht="45.75" customFormat="1" customHeight="1" s="138">
      <c r="A92" s="186" t="inlineStr">
        <is>
          <t>SUDESTE</t>
        </is>
      </c>
      <c r="B92" s="153" t="inlineStr">
        <is>
          <t>MG</t>
        </is>
      </c>
      <c r="C92" s="153" t="inlineStr">
        <is>
          <t>UBERABA</t>
        </is>
      </c>
      <c r="D92" s="186" t="inlineStr">
        <is>
          <t>ASSOCIACAO DE COMBATE AO CANCER DO BRASIL CENTRAL</t>
        </is>
      </c>
      <c r="E92" s="345" t="inlineStr">
        <is>
          <t>25438409000115</t>
        </is>
      </c>
      <c r="F92" s="529" t="inlineStr">
        <is>
          <t>2165058</t>
        </is>
      </c>
      <c r="G92" s="8" t="inlineStr">
        <is>
          <t>Transferegov/SEI</t>
        </is>
      </c>
      <c r="H92" s="8" t="inlineStr">
        <is>
          <t>Convênio</t>
        </is>
      </c>
      <c r="I92" s="153" t="n">
        <v>950114</v>
      </c>
      <c r="J92" s="535" t="n">
        <v>92543823002</v>
      </c>
      <c r="K92" s="186" t="inlineStr">
        <is>
          <t>25000.178603/2023-41</t>
        </is>
      </c>
      <c r="L92" s="186" t="inlineStr">
        <is>
          <t>CENTRO DE ALTA COMPLEXIDADE EM ONCOLOGIA</t>
        </is>
      </c>
      <c r="M92" s="186" t="inlineStr">
        <is>
          <t>NA</t>
        </is>
      </c>
      <c r="N92" s="153" t="n">
        <v>2023</v>
      </c>
      <c r="O92" s="186" t="n">
        <v>1</v>
      </c>
      <c r="P92" s="534" t="inlineStr">
        <is>
          <t xml:space="preserve"> UND</t>
        </is>
      </c>
      <c r="Q92" s="186" t="inlineStr">
        <is>
          <t>000301-PET CT</t>
        </is>
      </c>
      <c r="R92" s="346" t="n">
        <v>45281</v>
      </c>
      <c r="S92" s="346" t="n">
        <v>46361</v>
      </c>
      <c r="T92" s="346" t="n">
        <v>46421</v>
      </c>
      <c r="V92" s="347" t="n">
        <v>8980892</v>
      </c>
      <c r="W92" s="347" t="inlineStr">
        <is>
          <t>NA</t>
        </is>
      </c>
      <c r="X92" s="347" t="inlineStr">
        <is>
          <t>NA</t>
        </is>
      </c>
      <c r="Y92" s="8" t="inlineStr">
        <is>
          <t>NI</t>
        </is>
      </c>
      <c r="Z92" s="347" t="inlineStr">
        <is>
          <t>NA</t>
        </is>
      </c>
      <c r="AB92" s="8" t="inlineStr">
        <is>
          <t>NI</t>
        </is>
      </c>
      <c r="AC92" s="8" t="inlineStr">
        <is>
          <t>NI</t>
        </is>
      </c>
      <c r="AE92" s="8" t="inlineStr">
        <is>
          <t xml:space="preserve"> NA</t>
        </is>
      </c>
      <c r="AF92" s="186" t="inlineStr">
        <is>
          <t>EM EXECUÇÃO</t>
        </is>
      </c>
      <c r="AG92" s="186" t="inlineStr">
        <is>
          <t>NI</t>
        </is>
      </c>
      <c r="AH92" s="186" t="inlineStr">
        <is>
          <t>NI</t>
        </is>
      </c>
      <c r="AI92" s="186" t="inlineStr">
        <is>
          <t>NI</t>
        </is>
      </c>
      <c r="AJ92" s="347" t="inlineStr">
        <is>
          <t>NA</t>
        </is>
      </c>
      <c r="AK92" s="347" t="inlineStr">
        <is>
          <t>NA</t>
        </is>
      </c>
      <c r="AL92" s="347" t="n"/>
      <c r="AM92" s="347" t="inlineStr">
        <is>
          <t>NA</t>
        </is>
      </c>
      <c r="AN92" s="186" t="inlineStr">
        <is>
          <t>Ampliação</t>
        </is>
      </c>
      <c r="AO92" s="186" t="inlineStr">
        <is>
          <t>Diagnóstico</t>
        </is>
      </c>
      <c r="AP92" s="186" t="n"/>
      <c r="AQ92" s="186" t="n"/>
      <c r="AR92" s="357" t="n"/>
      <c r="BE92" s="347" t="inlineStr">
        <is>
          <t>NA</t>
        </is>
      </c>
    </row>
    <row r="93" ht="30.75" customFormat="1" customHeight="1" s="138">
      <c r="A93" s="184" t="inlineStr">
        <is>
          <t>CENTRO-OESTE</t>
        </is>
      </c>
      <c r="B93" s="539" t="inlineStr">
        <is>
          <t>DF</t>
        </is>
      </c>
      <c r="C93" s="539" t="inlineStr">
        <is>
          <t>BRASILIA</t>
        </is>
      </c>
      <c r="D93" s="184" t="inlineStr">
        <is>
          <t>HRPL</t>
        </is>
      </c>
      <c r="E93" s="342" t="inlineStr">
        <is>
          <t>00394700000108</t>
        </is>
      </c>
      <c r="F93" s="538" t="inlineStr">
        <is>
          <t>0010529</t>
        </is>
      </c>
      <c r="G93" s="537" t="inlineStr">
        <is>
          <t>Transferegov/SEI</t>
        </is>
      </c>
      <c r="H93" s="537" t="inlineStr">
        <is>
          <t>FAF</t>
        </is>
      </c>
      <c r="I93" s="539" t="inlineStr">
        <is>
          <t>NA</t>
        </is>
      </c>
      <c r="J93" s="530" t="inlineStr">
        <is>
          <t>12116247000123051</t>
        </is>
      </c>
      <c r="K93" s="184" t="inlineStr">
        <is>
          <t>25000.191962/2023-94</t>
        </is>
      </c>
      <c r="L93" s="184" t="inlineStr">
        <is>
          <t>HOSPITAL DE ALTA COMPLEXIDADE</t>
        </is>
      </c>
      <c r="M93" s="184" t="n">
        <v>2</v>
      </c>
      <c r="N93" s="539" t="n">
        <v>2023</v>
      </c>
      <c r="O93" s="184" t="inlineStr">
        <is>
          <t>NA</t>
        </is>
      </c>
      <c r="P93" s="536" t="inlineStr">
        <is>
          <t xml:space="preserve"> UND</t>
        </is>
      </c>
      <c r="Q93" s="184" t="inlineStr">
        <is>
          <t>NA</t>
        </is>
      </c>
      <c r="R93" s="343" t="n">
        <v>45250</v>
      </c>
      <c r="S93" s="343" t="n">
        <v>46017</v>
      </c>
      <c r="T93" s="343" t="n">
        <v>46017</v>
      </c>
      <c r="V93" s="344" t="n">
        <v>3885610</v>
      </c>
      <c r="W93" s="344" t="n">
        <v>3885610</v>
      </c>
      <c r="X93" s="344" t="n">
        <v>0</v>
      </c>
      <c r="Y93" s="537" t="inlineStr">
        <is>
          <t>NI</t>
        </is>
      </c>
      <c r="Z93" s="343" t="n">
        <v>45286</v>
      </c>
      <c r="AB93" s="537" t="inlineStr">
        <is>
          <t>NI</t>
        </is>
      </c>
      <c r="AC93" s="537" t="inlineStr">
        <is>
          <t>NI</t>
        </is>
      </c>
      <c r="AE93" s="537" t="inlineStr">
        <is>
          <t xml:space="preserve"> NA</t>
        </is>
      </c>
      <c r="AF93" s="184" t="inlineStr">
        <is>
          <t>NI</t>
        </is>
      </c>
      <c r="AG93" s="184" t="inlineStr">
        <is>
          <t>NI</t>
        </is>
      </c>
      <c r="AH93" s="184" t="inlineStr">
        <is>
          <t>NI</t>
        </is>
      </c>
      <c r="AI93" s="184" t="inlineStr">
        <is>
          <t>NI</t>
        </is>
      </c>
      <c r="AJ93" s="184" t="inlineStr">
        <is>
          <t>NI</t>
        </is>
      </c>
      <c r="AK93" s="184" t="inlineStr">
        <is>
          <t>NI</t>
        </is>
      </c>
      <c r="AL93" s="184" t="n"/>
      <c r="AM93" s="184" t="inlineStr">
        <is>
          <t>Não iniciado</t>
        </is>
      </c>
      <c r="AN93" s="184" t="inlineStr">
        <is>
          <t>Ampliação</t>
        </is>
      </c>
      <c r="AO93" s="184" t="inlineStr">
        <is>
          <t>Rastreamento</t>
        </is>
      </c>
      <c r="AP93" s="184" t="n"/>
      <c r="AQ93" s="184" t="n"/>
      <c r="AR93" s="357" t="n"/>
      <c r="BE93" s="184" t="inlineStr">
        <is>
          <t>NI</t>
        </is>
      </c>
    </row>
    <row r="94" ht="30.75" customFormat="1" customHeight="1" s="138">
      <c r="A94" s="186" t="inlineStr">
        <is>
          <t>CENTRO-OESTE</t>
        </is>
      </c>
      <c r="B94" s="153" t="inlineStr">
        <is>
          <t>DF</t>
        </is>
      </c>
      <c r="C94" s="153" t="inlineStr">
        <is>
          <t>BRASILIA</t>
        </is>
      </c>
      <c r="D94" s="186" t="inlineStr">
        <is>
          <t>HRPL</t>
        </is>
      </c>
      <c r="E94" s="345" t="inlineStr">
        <is>
          <t>00394700000108</t>
        </is>
      </c>
      <c r="F94" s="535" t="inlineStr">
        <is>
          <t>0010529</t>
        </is>
      </c>
      <c r="G94" s="8" t="inlineStr">
        <is>
          <t>Transferegov/SEI</t>
        </is>
      </c>
      <c r="H94" s="8" t="inlineStr">
        <is>
          <t>FAF</t>
        </is>
      </c>
      <c r="I94" s="153" t="inlineStr">
        <is>
          <t>NA</t>
        </is>
      </c>
      <c r="J94" s="529" t="inlineStr">
        <is>
          <t>12116247000123051</t>
        </is>
      </c>
      <c r="K94" s="186" t="inlineStr">
        <is>
          <t>25000.191962/2023-94</t>
        </is>
      </c>
      <c r="L94" s="186" t="inlineStr">
        <is>
          <t>HOSPITAL DE ALTA COMPLEXIDADE</t>
        </is>
      </c>
      <c r="M94" s="186" t="inlineStr">
        <is>
          <t>NA</t>
        </is>
      </c>
      <c r="N94" s="153" t="n">
        <v>2023</v>
      </c>
      <c r="O94" s="186" t="n">
        <v>1</v>
      </c>
      <c r="P94" s="534" t="inlineStr">
        <is>
          <t xml:space="preserve"> UND</t>
        </is>
      </c>
      <c r="Q94" s="186" t="inlineStr">
        <is>
          <t>010925-Mamógrafo</t>
        </is>
      </c>
      <c r="R94" s="346" t="n">
        <v>45250</v>
      </c>
      <c r="S94" s="346" t="n">
        <v>46017</v>
      </c>
      <c r="T94" s="346" t="n">
        <v>46017</v>
      </c>
      <c r="V94" s="186" t="inlineStr">
        <is>
          <t>NA</t>
        </is>
      </c>
      <c r="W94" s="186" t="inlineStr">
        <is>
          <t>NA</t>
        </is>
      </c>
      <c r="X94" s="186" t="inlineStr">
        <is>
          <t>NA</t>
        </is>
      </c>
      <c r="Y94" s="8" t="inlineStr">
        <is>
          <t>NI</t>
        </is>
      </c>
      <c r="Z94" s="346" t="inlineStr">
        <is>
          <t>NA</t>
        </is>
      </c>
      <c r="AB94" s="8" t="inlineStr">
        <is>
          <t>NI</t>
        </is>
      </c>
      <c r="AC94" s="8" t="inlineStr">
        <is>
          <t>NI</t>
        </is>
      </c>
      <c r="AE94" s="8" t="inlineStr">
        <is>
          <t xml:space="preserve"> NA</t>
        </is>
      </c>
      <c r="AF94" s="186" t="inlineStr">
        <is>
          <t>NI</t>
        </is>
      </c>
      <c r="AG94" s="186" t="inlineStr">
        <is>
          <t>NI</t>
        </is>
      </c>
      <c r="AH94" s="186" t="inlineStr">
        <is>
          <t>NI</t>
        </is>
      </c>
      <c r="AI94" s="186" t="inlineStr">
        <is>
          <t>NI</t>
        </is>
      </c>
      <c r="AJ94" s="97" t="inlineStr">
        <is>
          <t>Leonardo Barsante</t>
        </is>
      </c>
      <c r="AK94" s="346" t="inlineStr">
        <is>
          <t>NA</t>
        </is>
      </c>
      <c r="AL94" s="346" t="inlineStr">
        <is>
          <t>Tático</t>
        </is>
      </c>
      <c r="AM94" s="346" t="inlineStr">
        <is>
          <t>NA</t>
        </is>
      </c>
      <c r="AN94" s="186" t="inlineStr">
        <is>
          <t>Ampliação</t>
        </is>
      </c>
      <c r="AO94" s="186" t="inlineStr">
        <is>
          <t>Rastreamento</t>
        </is>
      </c>
      <c r="AP94" s="186" t="n"/>
      <c r="AQ94" s="186" t="n"/>
      <c r="AR94" s="138" t="inlineStr">
        <is>
          <t>São vários beneficiários na mesma OB</t>
        </is>
      </c>
      <c r="BE94" s="346" t="inlineStr">
        <is>
          <t>NA</t>
        </is>
      </c>
    </row>
    <row r="95" ht="91.5" customFormat="1" customHeight="1" s="138">
      <c r="A95" s="116" t="inlineStr">
        <is>
          <t>NORDESTE</t>
        </is>
      </c>
      <c r="B95" s="116" t="inlineStr">
        <is>
          <t>PB</t>
        </is>
      </c>
      <c r="C95" s="116" t="inlineStr">
        <is>
          <t>CAMPINA GRANDE</t>
        </is>
      </c>
      <c r="D95" s="116" t="inlineStr">
        <is>
          <t>FUNDACAO ASSISTENCIAL DA PARAIBA- FAP</t>
        </is>
      </c>
      <c r="E95" s="117" t="inlineStr">
        <is>
          <t>08841421000157</t>
        </is>
      </c>
      <c r="F95" s="528" t="n">
        <v>2315793</v>
      </c>
      <c r="G95" s="116" t="inlineStr">
        <is>
          <t>Transferegov/SEI</t>
        </is>
      </c>
      <c r="H95" s="116" t="inlineStr">
        <is>
          <t>Convênio</t>
        </is>
      </c>
      <c r="I95" s="116" t="n">
        <v>970364</v>
      </c>
      <c r="J95" s="117" t="inlineStr">
        <is>
          <t>90884124007</t>
        </is>
      </c>
      <c r="K95" s="117" t="inlineStr">
        <is>
          <t>25000.164414/2024-72</t>
        </is>
      </c>
      <c r="L95" s="116" t="inlineStr">
        <is>
          <t>REDE DE ATENÇÃO À PESSOA COM DOENÇAS CRÔNICAS - HOSPITAL HABILITADO NA ALTA COMPLEXIDADE EM ONCOLOGIA</t>
        </is>
      </c>
      <c r="M95" s="116" t="n">
        <v>5</v>
      </c>
      <c r="N95" s="116" t="n">
        <v>2024</v>
      </c>
      <c r="O95" s="116" t="inlineStr">
        <is>
          <t>NA</t>
        </is>
      </c>
      <c r="P95" s="116" t="inlineStr">
        <is>
          <t>UND</t>
        </is>
      </c>
      <c r="Q95" s="116" t="inlineStr">
        <is>
          <t>NA</t>
        </is>
      </c>
      <c r="R95" s="527" t="n">
        <v>45656</v>
      </c>
      <c r="S95" s="527" t="n">
        <v>46196</v>
      </c>
      <c r="T95" s="527" t="n">
        <v>46256</v>
      </c>
      <c r="V95" s="327" t="n">
        <v>1900000</v>
      </c>
      <c r="W95" s="327" t="n">
        <v>160128</v>
      </c>
      <c r="X95" s="327" t="n">
        <v>44574</v>
      </c>
      <c r="Y95" s="116" t="inlineStr">
        <is>
          <t>HOMOLOGADA</t>
        </is>
      </c>
      <c r="Z95" s="329" t="n">
        <v>45950</v>
      </c>
      <c r="AB95" s="116" t="inlineStr">
        <is>
          <t>NA</t>
        </is>
      </c>
      <c r="AC95" s="116" t="inlineStr">
        <is>
          <t>NA</t>
        </is>
      </c>
      <c r="AE95" s="116" t="inlineStr">
        <is>
          <t>NA</t>
        </is>
      </c>
      <c r="AF95" s="289" t="inlineStr">
        <is>
          <t>EM EXECUÇÃO</t>
        </is>
      </c>
      <c r="AG95" s="289" t="inlineStr">
        <is>
          <t>NI</t>
        </is>
      </c>
      <c r="AH95" s="289" t="inlineStr">
        <is>
          <t>NI</t>
        </is>
      </c>
      <c r="AI95" s="289" t="inlineStr">
        <is>
          <t>NI</t>
        </is>
      </c>
      <c r="AJ95" s="116" t="inlineStr">
        <is>
          <t>NI</t>
        </is>
      </c>
      <c r="AK95" s="116" t="inlineStr">
        <is>
          <t>NI</t>
        </is>
      </c>
      <c r="AL95" s="116" t="n"/>
      <c r="AM95" s="116" t="inlineStr">
        <is>
          <t>Não iniciado</t>
        </is>
      </c>
      <c r="AN95" s="116" t="inlineStr">
        <is>
          <t>Substituição</t>
        </is>
      </c>
      <c r="AO95" s="116" t="inlineStr">
        <is>
          <t>Diagnóstico e apoio</t>
        </is>
      </c>
      <c r="AP95" s="116" t="n"/>
      <c r="AQ95" s="116" t="n"/>
      <c r="AR95" s="357" t="n"/>
      <c r="BE95" s="526" t="inlineStr">
        <is>
          <t>NI</t>
        </is>
      </c>
    </row>
    <row r="96" ht="91.5" customFormat="1" customHeight="1" s="138">
      <c r="A96" s="8" t="inlineStr">
        <is>
          <t>NORDESTE</t>
        </is>
      </c>
      <c r="B96" s="8" t="inlineStr">
        <is>
          <t>PB</t>
        </is>
      </c>
      <c r="C96" s="8" t="inlineStr">
        <is>
          <t>CAMPINA GRANDE</t>
        </is>
      </c>
      <c r="D96" s="8" t="inlineStr">
        <is>
          <t>FUNDACAO ASSISTENCIAL DA PARAIBA- FAP</t>
        </is>
      </c>
      <c r="E96" s="7" t="inlineStr">
        <is>
          <t>08841421000157</t>
        </is>
      </c>
      <c r="F96" s="148" t="n">
        <v>2315793</v>
      </c>
      <c r="G96" s="8" t="inlineStr">
        <is>
          <t>Transferegov/SEI</t>
        </is>
      </c>
      <c r="H96" s="8" t="inlineStr">
        <is>
          <t>Convênio</t>
        </is>
      </c>
      <c r="I96" s="8" t="n">
        <v>970364</v>
      </c>
      <c r="J96" s="525" t="inlineStr">
        <is>
          <t>90884124007</t>
        </is>
      </c>
      <c r="K96" s="7" t="inlineStr">
        <is>
          <t>25000.164414/2024-72</t>
        </is>
      </c>
      <c r="L96" s="8" t="inlineStr">
        <is>
          <t>REDE DE ATENÇÃO À PESSOA COM DOENÇAS CRÔNICAS - HOSPITAL HABILITADO NA ALTA COMPLEXIDADE EM ONCOLOGIA</t>
        </is>
      </c>
      <c r="M96" s="8" t="inlineStr">
        <is>
          <t>NA</t>
        </is>
      </c>
      <c r="N96" s="8" t="n">
        <v>2024</v>
      </c>
      <c r="O96" s="8" t="n">
        <v>1</v>
      </c>
      <c r="P96" s="8" t="inlineStr">
        <is>
          <t>UND</t>
        </is>
      </c>
      <c r="Q96" s="8" t="inlineStr">
        <is>
          <t xml:space="preserve">11804 - Tomógrafo Computadorizado (Até 16 canais) </t>
        </is>
      </c>
      <c r="R96" s="170" t="n">
        <v>45656</v>
      </c>
      <c r="S96" s="170" t="n">
        <v>46196</v>
      </c>
      <c r="T96" s="170" t="n">
        <v>46256</v>
      </c>
      <c r="V96" s="12" t="n">
        <v>1900000</v>
      </c>
      <c r="W96" s="161" t="inlineStr">
        <is>
          <t>NA</t>
        </is>
      </c>
      <c r="X96" s="12" t="inlineStr">
        <is>
          <t>NA</t>
        </is>
      </c>
      <c r="Y96" s="8" t="inlineStr">
        <is>
          <t>HOMOLOGADA</t>
        </is>
      </c>
      <c r="Z96" s="161" t="inlineStr">
        <is>
          <t>NA</t>
        </is>
      </c>
      <c r="AB96" s="8" t="inlineStr">
        <is>
          <t>CANON</t>
        </is>
      </c>
      <c r="AC96" s="8" t="inlineStr">
        <is>
          <t>AQUILION LIGHTNING SP</t>
        </is>
      </c>
      <c r="AE96" s="8" t="inlineStr">
        <is>
          <t>NA</t>
        </is>
      </c>
      <c r="AF96" s="186" t="inlineStr">
        <is>
          <t>EM EXECUÇÃO</t>
        </is>
      </c>
      <c r="AG96" s="186" t="inlineStr">
        <is>
          <t>NI</t>
        </is>
      </c>
      <c r="AH96" s="186" t="inlineStr">
        <is>
          <t>NI</t>
        </is>
      </c>
      <c r="AI96" s="186" t="inlineStr">
        <is>
          <t>NI</t>
        </is>
      </c>
      <c r="AJ96" s="171" t="inlineStr">
        <is>
          <t>NA</t>
        </is>
      </c>
      <c r="AK96" s="171" t="inlineStr">
        <is>
          <t>NA</t>
        </is>
      </c>
      <c r="AL96" s="171" t="n"/>
      <c r="AM96" s="171" t="inlineStr">
        <is>
          <t>NA</t>
        </is>
      </c>
      <c r="AN96" s="8" t="inlineStr">
        <is>
          <t>Substituição</t>
        </is>
      </c>
      <c r="AO96" s="8" t="inlineStr">
        <is>
          <t>Diagnóstico</t>
        </is>
      </c>
      <c r="AP96" s="8" t="n"/>
      <c r="AQ96" s="8" t="n"/>
      <c r="AR96" s="357" t="n"/>
      <c r="BE96" s="171" t="inlineStr">
        <is>
          <t>NA</t>
        </is>
      </c>
    </row>
    <row r="97" ht="91.5" customFormat="1" customHeight="1" s="138">
      <c r="A97" s="8" t="inlineStr">
        <is>
          <t>NORDESTE</t>
        </is>
      </c>
      <c r="B97" s="8" t="inlineStr">
        <is>
          <t>PB</t>
        </is>
      </c>
      <c r="C97" s="8" t="inlineStr">
        <is>
          <t>CAMPINA GRANDE</t>
        </is>
      </c>
      <c r="D97" s="8" t="inlineStr">
        <is>
          <t>FUNDACAO ASSISTENCIAL DA PARAIBA- FAP</t>
        </is>
      </c>
      <c r="E97" s="7" t="inlineStr">
        <is>
          <t>08841421000157</t>
        </is>
      </c>
      <c r="F97" s="148" t="n">
        <v>2315793</v>
      </c>
      <c r="G97" s="8" t="inlineStr">
        <is>
          <t>Transferegov/SEI</t>
        </is>
      </c>
      <c r="H97" s="8" t="inlineStr">
        <is>
          <t>Convênio</t>
        </is>
      </c>
      <c r="I97" s="524" t="n">
        <v>970364</v>
      </c>
      <c r="J97" s="7" t="inlineStr">
        <is>
          <t>90884124007</t>
        </is>
      </c>
      <c r="K97" s="7" t="inlineStr">
        <is>
          <t>25000.164414/2024-72</t>
        </is>
      </c>
      <c r="L97" s="8" t="inlineStr">
        <is>
          <t>REDE DE ATENÇÃO À PESSOA COM DOENÇAS CRÔNICAS - HOSPITAL HABILITADO NA ALTA COMPLEXIDADE EM ONCOLOGIA</t>
        </is>
      </c>
      <c r="M97" s="8" t="inlineStr">
        <is>
          <t>NA</t>
        </is>
      </c>
      <c r="N97" s="8" t="n">
        <v>2024</v>
      </c>
      <c r="O97" s="8" t="n">
        <v>1</v>
      </c>
      <c r="P97" s="8" t="inlineStr">
        <is>
          <t>UND</t>
        </is>
      </c>
      <c r="Q97" s="8" t="inlineStr">
        <is>
          <t>10254 - Sistema de Vídeo Endoscopia Rígida</t>
        </is>
      </c>
      <c r="R97" s="170" t="n">
        <v>45656</v>
      </c>
      <c r="S97" s="170" t="n">
        <v>46196</v>
      </c>
      <c r="T97" s="170" t="n">
        <v>46256</v>
      </c>
      <c r="V97" s="12" t="n">
        <v>1900000</v>
      </c>
      <c r="W97" s="161" t="inlineStr">
        <is>
          <t>NA</t>
        </is>
      </c>
      <c r="X97" s="12" t="inlineStr">
        <is>
          <t>NA</t>
        </is>
      </c>
      <c r="Y97" s="8" t="inlineStr">
        <is>
          <t>HOMOLOGADA</t>
        </is>
      </c>
      <c r="Z97" s="161" t="inlineStr">
        <is>
          <t>NA</t>
        </is>
      </c>
      <c r="AB97" s="8" t="inlineStr">
        <is>
          <t>SAFE</t>
        </is>
      </c>
      <c r="AC97" s="8" t="inlineStr">
        <is>
          <t>MINDRAY 4K UX5</t>
        </is>
      </c>
      <c r="AE97" s="8" t="inlineStr">
        <is>
          <t>NA</t>
        </is>
      </c>
      <c r="AF97" s="186" t="inlineStr">
        <is>
          <t>EM EXECUÇÃO</t>
        </is>
      </c>
      <c r="AG97" s="186" t="inlineStr">
        <is>
          <t>NI</t>
        </is>
      </c>
      <c r="AH97" s="186" t="inlineStr">
        <is>
          <t>NI</t>
        </is>
      </c>
      <c r="AI97" s="186" t="inlineStr">
        <is>
          <t>NI</t>
        </is>
      </c>
      <c r="AJ97" s="171" t="inlineStr">
        <is>
          <t>NA</t>
        </is>
      </c>
      <c r="AK97" s="171" t="inlineStr">
        <is>
          <t>NA</t>
        </is>
      </c>
      <c r="AL97" s="171" t="n"/>
      <c r="AM97" s="171" t="inlineStr">
        <is>
          <t>NA</t>
        </is>
      </c>
      <c r="AN97" s="8" t="inlineStr">
        <is>
          <t>Substituição</t>
        </is>
      </c>
      <c r="AO97" s="8" t="inlineStr">
        <is>
          <t>Diagnóstico</t>
        </is>
      </c>
      <c r="AP97" s="8" t="n"/>
      <c r="AQ97" s="8" t="n"/>
      <c r="AR97" s="357" t="n"/>
      <c r="BE97" s="171" t="inlineStr">
        <is>
          <t>NA</t>
        </is>
      </c>
    </row>
    <row r="98" ht="91.5" customFormat="1" customHeight="1" s="138">
      <c r="A98" s="116" t="inlineStr">
        <is>
          <t>CENTRO-OESTE</t>
        </is>
      </c>
      <c r="B98" s="116" t="inlineStr">
        <is>
          <t>DF</t>
        </is>
      </c>
      <c r="C98" s="116" t="inlineStr">
        <is>
          <t>BRASILIA</t>
        </is>
      </c>
      <c r="D98" s="116" t="inlineStr">
        <is>
          <t>FUNDO DE SAUDE DO DISTRITO FEDERAL</t>
        </is>
      </c>
      <c r="E98" s="117" t="inlineStr">
        <is>
          <t>12116247000157</t>
        </is>
      </c>
      <c r="F98" s="150" t="n">
        <v>10499</v>
      </c>
      <c r="G98" s="116" t="inlineStr">
        <is>
          <t>SISPRO</t>
        </is>
      </c>
      <c r="H98" s="116" t="inlineStr">
        <is>
          <t>FAF</t>
        </is>
      </c>
      <c r="I98" s="523" t="inlineStr">
        <is>
          <t>NA</t>
        </is>
      </c>
      <c r="J98" s="117" t="inlineStr">
        <is>
          <t>12116247000124089</t>
        </is>
      </c>
      <c r="K98" s="523" t="inlineStr">
        <is>
          <t>NI</t>
        </is>
      </c>
      <c r="L98" s="116" t="inlineStr">
        <is>
          <t>REDE DE ATENÇÃO À PESSOA COM DOENÇAS CRÔNICAS - HOSPITAL HABILITADO NA ALTA COMPLEXIDADE EM ONCOLOGIA</t>
        </is>
      </c>
      <c r="M98" s="116" t="n">
        <v>3</v>
      </c>
      <c r="N98" s="116" t="n">
        <v>2024</v>
      </c>
      <c r="O98" s="116" t="inlineStr">
        <is>
          <t>NA</t>
        </is>
      </c>
      <c r="P98" s="116" t="inlineStr">
        <is>
          <t>UND</t>
        </is>
      </c>
      <c r="Q98" s="116" t="inlineStr">
        <is>
          <t>NA</t>
        </is>
      </c>
      <c r="R98" s="328" t="n">
        <v>45653</v>
      </c>
      <c r="S98" s="328" t="n">
        <v>46432</v>
      </c>
      <c r="T98" s="328" t="n">
        <v>46432</v>
      </c>
      <c r="V98" s="327" t="n">
        <v>2934032</v>
      </c>
      <c r="W98" s="327" t="n">
        <v>2934032</v>
      </c>
      <c r="X98" s="327" t="n">
        <v>0</v>
      </c>
      <c r="Y98" s="116" t="inlineStr">
        <is>
          <t>NI</t>
        </is>
      </c>
      <c r="Z98" s="329" t="n">
        <v>45701</v>
      </c>
      <c r="AB98" s="116" t="inlineStr">
        <is>
          <t>NI</t>
        </is>
      </c>
      <c r="AC98" s="116" t="inlineStr">
        <is>
          <t>NI</t>
        </is>
      </c>
      <c r="AE98" s="116" t="inlineStr">
        <is>
          <t>NA</t>
        </is>
      </c>
      <c r="AF98" s="289" t="inlineStr">
        <is>
          <t>NI</t>
        </is>
      </c>
      <c r="AG98" s="289" t="inlineStr">
        <is>
          <t>NI</t>
        </is>
      </c>
      <c r="AH98" s="289" t="inlineStr">
        <is>
          <t>NI</t>
        </is>
      </c>
      <c r="AI98" s="289" t="inlineStr">
        <is>
          <t>NI</t>
        </is>
      </c>
      <c r="AJ98" s="116" t="inlineStr">
        <is>
          <t>NI</t>
        </is>
      </c>
      <c r="AK98" s="116" t="inlineStr">
        <is>
          <t>NI</t>
        </is>
      </c>
      <c r="AL98" s="116" t="n"/>
      <c r="AM98" s="116" t="inlineStr">
        <is>
          <t>Não iniciado</t>
        </is>
      </c>
      <c r="AN98" s="116" t="inlineStr">
        <is>
          <t>Ampliação</t>
        </is>
      </c>
      <c r="AO98" s="116" t="inlineStr">
        <is>
          <t>Diagnóstico e apoio</t>
        </is>
      </c>
      <c r="AP98" s="116" t="n"/>
      <c r="AQ98" s="116" t="n"/>
      <c r="AR98" s="357" t="n"/>
      <c r="BE98" s="526" t="inlineStr">
        <is>
          <t>NI</t>
        </is>
      </c>
    </row>
    <row r="99" ht="91.5" customFormat="1" customHeight="1" s="138">
      <c r="A99" s="8" t="inlineStr">
        <is>
          <t>CENTRO-OESTE</t>
        </is>
      </c>
      <c r="B99" s="8" t="inlineStr">
        <is>
          <t>DF</t>
        </is>
      </c>
      <c r="C99" s="8" t="inlineStr">
        <is>
          <t>BRASILIA</t>
        </is>
      </c>
      <c r="D99" s="8" t="inlineStr">
        <is>
          <t>FUNDO DE SAUDE DO DISTRITO FEDERAL</t>
        </is>
      </c>
      <c r="E99" s="7" t="inlineStr">
        <is>
          <t>12116247000157</t>
        </is>
      </c>
      <c r="F99" s="148" t="n">
        <v>10499</v>
      </c>
      <c r="G99" s="8" t="inlineStr">
        <is>
          <t>SISPRO</t>
        </is>
      </c>
      <c r="H99" s="8" t="inlineStr">
        <is>
          <t>FAF</t>
        </is>
      </c>
      <c r="I99" s="524" t="inlineStr">
        <is>
          <t>NA</t>
        </is>
      </c>
      <c r="J99" s="522" t="inlineStr">
        <is>
          <t>12116247000124089</t>
        </is>
      </c>
      <c r="K99" s="524" t="inlineStr">
        <is>
          <t>NI</t>
        </is>
      </c>
      <c r="L99" s="8" t="inlineStr">
        <is>
          <t>REDE DE ATENÇÃO À PESSOA COM DOENÇAS CRÔNICAS - HOSPITAL HABILITADO NA ALTA COMPLEXIDADE EM ONCOLOGIA</t>
        </is>
      </c>
      <c r="M99" s="8" t="inlineStr">
        <is>
          <t>NA</t>
        </is>
      </c>
      <c r="N99" s="8" t="n">
        <v>2024</v>
      </c>
      <c r="O99" s="8" t="n">
        <v>1</v>
      </c>
      <c r="P99" s="8" t="inlineStr">
        <is>
          <t>UND</t>
        </is>
      </c>
      <c r="Q99" s="8" t="inlineStr">
        <is>
          <t>719 - Simulador/ Tomógrafo para Radioterapia</t>
        </is>
      </c>
      <c r="R99" s="171" t="n">
        <v>45653</v>
      </c>
      <c r="S99" s="171" t="n">
        <v>46432</v>
      </c>
      <c r="T99" s="171" t="n">
        <v>46432</v>
      </c>
      <c r="V99" s="12" t="inlineStr">
        <is>
          <t>NA</t>
        </is>
      </c>
      <c r="W99" s="161" t="inlineStr">
        <is>
          <t xml:space="preserve"> NA</t>
        </is>
      </c>
      <c r="X99" s="12" t="inlineStr">
        <is>
          <t>NA</t>
        </is>
      </c>
      <c r="Y99" s="8" t="inlineStr">
        <is>
          <t>NI</t>
        </is>
      </c>
      <c r="Z99" s="161" t="inlineStr">
        <is>
          <t xml:space="preserve"> NA</t>
        </is>
      </c>
      <c r="AB99" s="8" t="inlineStr">
        <is>
          <t>NI</t>
        </is>
      </c>
      <c r="AC99" s="8" t="inlineStr">
        <is>
          <t>NI</t>
        </is>
      </c>
      <c r="AE99" s="8" t="inlineStr">
        <is>
          <t>NA</t>
        </is>
      </c>
      <c r="AF99" s="186" t="inlineStr">
        <is>
          <t>NI</t>
        </is>
      </c>
      <c r="AG99" s="186" t="inlineStr">
        <is>
          <t>NI</t>
        </is>
      </c>
      <c r="AH99" s="186" t="inlineStr">
        <is>
          <t>NI</t>
        </is>
      </c>
      <c r="AI99" s="186" t="inlineStr">
        <is>
          <t>NI</t>
        </is>
      </c>
      <c r="AJ99" s="171" t="inlineStr">
        <is>
          <t>NA</t>
        </is>
      </c>
      <c r="AK99" s="171" t="inlineStr">
        <is>
          <t>NA</t>
        </is>
      </c>
      <c r="AL99" s="171" t="n"/>
      <c r="AM99" s="171" t="inlineStr">
        <is>
          <t>NA</t>
        </is>
      </c>
      <c r="AN99" s="8" t="inlineStr">
        <is>
          <t>Ampliação</t>
        </is>
      </c>
      <c r="AO99" s="8" t="inlineStr">
        <is>
          <t>Diagnóstico</t>
        </is>
      </c>
      <c r="AP99" s="8" t="n"/>
      <c r="AQ99" s="8" t="n"/>
      <c r="AR99" s="357" t="n"/>
      <c r="BE99" s="171" t="inlineStr">
        <is>
          <t>NA</t>
        </is>
      </c>
    </row>
    <row r="100" ht="91.5" customFormat="1" customHeight="1" s="138">
      <c r="A100" s="116" t="inlineStr">
        <is>
          <t>NORDESTE</t>
        </is>
      </c>
      <c r="B100" s="116" t="inlineStr">
        <is>
          <t>PE</t>
        </is>
      </c>
      <c r="C100" s="116" t="inlineStr">
        <is>
          <t>RECIFE</t>
        </is>
      </c>
      <c r="D100" s="116" t="inlineStr">
        <is>
          <t>SOCIEDADE PERNAMBUCANA DE COMBATE AO CANCER</t>
        </is>
      </c>
      <c r="E100" s="117" t="inlineStr">
        <is>
          <t>10894988000133</t>
        </is>
      </c>
      <c r="F100" s="150" t="n">
        <v>582</v>
      </c>
      <c r="G100" s="116" t="inlineStr">
        <is>
          <t>Transferegov/SEI</t>
        </is>
      </c>
      <c r="H100" s="116" t="inlineStr">
        <is>
          <t>Convênio</t>
        </is>
      </c>
      <c r="I100" s="116" t="n">
        <v>962431</v>
      </c>
      <c r="J100" s="117" t="inlineStr">
        <is>
          <t>91089424004</t>
        </is>
      </c>
      <c r="K100" s="117" t="inlineStr">
        <is>
          <t>25000.082282/2024-61</t>
        </is>
      </c>
      <c r="L100" s="116" t="inlineStr">
        <is>
          <t>REDE DE ATENÇÃO À PESSOA COM DOENÇAS CRÔNICAS - HOSPITAL HABILITADO NA ALTA COMPLEXIDADE EM ONCOLOGIA</t>
        </is>
      </c>
      <c r="M100" s="116" t="n">
        <v>37</v>
      </c>
      <c r="N100" s="116" t="n">
        <v>2024</v>
      </c>
      <c r="O100" s="116" t="inlineStr">
        <is>
          <t>NA</t>
        </is>
      </c>
      <c r="P100" s="116" t="inlineStr">
        <is>
          <t>UND</t>
        </is>
      </c>
      <c r="Q100" s="116" t="inlineStr">
        <is>
          <t>NA</t>
        </is>
      </c>
      <c r="R100" s="328" t="n">
        <v>45636</v>
      </c>
      <c r="S100" s="328" t="inlineStr">
        <is>
          <t xml:space="preserve"> 03/06/2026</t>
        </is>
      </c>
      <c r="T100" s="328" t="inlineStr">
        <is>
          <t xml:space="preserve"> 02/08/2026</t>
        </is>
      </c>
      <c r="V100" s="327" t="n">
        <v>3249783</v>
      </c>
      <c r="W100" s="327" t="n">
        <v>502572</v>
      </c>
      <c r="X100" s="327" t="n">
        <v>0</v>
      </c>
      <c r="Y100" s="116" t="inlineStr">
        <is>
          <t>NI</t>
        </is>
      </c>
      <c r="Z100" s="329" t="n">
        <v>45923</v>
      </c>
      <c r="AB100" s="116" t="inlineStr">
        <is>
          <t>NI</t>
        </is>
      </c>
      <c r="AC100" s="116" t="inlineStr">
        <is>
          <t>NI</t>
        </is>
      </c>
      <c r="AE100" s="116" t="inlineStr">
        <is>
          <t>NA</t>
        </is>
      </c>
      <c r="AF100" s="289" t="inlineStr">
        <is>
          <t>EM EXECUÇÃO</t>
        </is>
      </c>
      <c r="AG100" s="289" t="inlineStr">
        <is>
          <t>NI</t>
        </is>
      </c>
      <c r="AH100" s="289" t="inlineStr">
        <is>
          <t>NI</t>
        </is>
      </c>
      <c r="AI100" s="289" t="inlineStr">
        <is>
          <t>NI</t>
        </is>
      </c>
      <c r="AJ100" s="116" t="inlineStr">
        <is>
          <t>NI</t>
        </is>
      </c>
      <c r="AK100" s="116" t="inlineStr">
        <is>
          <t>NI</t>
        </is>
      </c>
      <c r="AL100" s="116" t="n"/>
      <c r="AM100" s="116" t="inlineStr">
        <is>
          <t>Não iniciado</t>
        </is>
      </c>
      <c r="AN100" s="116" t="inlineStr">
        <is>
          <t xml:space="preserve"> Ampliação</t>
        </is>
      </c>
      <c r="AO100" s="116" t="inlineStr">
        <is>
          <t>Diagnóstico e apoio</t>
        </is>
      </c>
      <c r="AP100" s="116" t="n"/>
      <c r="AQ100" s="116" t="n"/>
      <c r="AR100" s="357" t="n"/>
      <c r="BE100" s="526" t="inlineStr">
        <is>
          <t>NI</t>
        </is>
      </c>
    </row>
    <row r="101" ht="91.5" customFormat="1" customHeight="1" s="138">
      <c r="A101" s="8" t="inlineStr">
        <is>
          <t>NORDESTE</t>
        </is>
      </c>
      <c r="B101" s="8" t="inlineStr">
        <is>
          <t>PE</t>
        </is>
      </c>
      <c r="C101" s="8" t="inlineStr">
        <is>
          <t>RECIFE</t>
        </is>
      </c>
      <c r="D101" s="8" t="inlineStr">
        <is>
          <t>SOCIEDADE PERNAMBUCANA DE COMBATE AO CANCER</t>
        </is>
      </c>
      <c r="E101" s="7" t="inlineStr">
        <is>
          <t>10894988000133</t>
        </is>
      </c>
      <c r="F101" s="430" t="inlineStr">
        <is>
          <t>0000582</t>
        </is>
      </c>
      <c r="G101" s="8" t="inlineStr">
        <is>
          <t>Transferegov/SEI</t>
        </is>
      </c>
      <c r="H101" s="8" t="inlineStr">
        <is>
          <t>Convênio</t>
        </is>
      </c>
      <c r="I101" s="524" t="n">
        <v>962431</v>
      </c>
      <c r="J101" s="522" t="inlineStr">
        <is>
          <t>91089424004</t>
        </is>
      </c>
      <c r="K101" s="7" t="inlineStr">
        <is>
          <t>25000.082282/2024-61</t>
        </is>
      </c>
      <c r="L101" s="8" t="inlineStr">
        <is>
          <t>REDE DE ATENÇÃO À PESSOA COM DOENÇAS CRÔNICAS - HOSPITAL HABILITADO NA ALTA COMPLEXIDADE EM ONCOLOGIA</t>
        </is>
      </c>
      <c r="M101" s="8" t="inlineStr">
        <is>
          <t>NA</t>
        </is>
      </c>
      <c r="N101" s="8" t="n">
        <v>2024</v>
      </c>
      <c r="O101" s="8" t="n">
        <v>1</v>
      </c>
      <c r="P101" s="8" t="inlineStr">
        <is>
          <t>UND</t>
        </is>
      </c>
      <c r="Q101" s="8" t="inlineStr">
        <is>
          <t>719 - Simulador/ Tomógrafo para Radioterapia</t>
        </is>
      </c>
      <c r="R101" s="171" t="n">
        <v>45636</v>
      </c>
      <c r="S101" s="171" t="inlineStr">
        <is>
          <t xml:space="preserve"> 03/06/2026</t>
        </is>
      </c>
      <c r="T101" s="171" t="inlineStr">
        <is>
          <t xml:space="preserve"> 02/08/2026</t>
        </is>
      </c>
      <c r="V101" s="12" t="n">
        <v>3249783</v>
      </c>
      <c r="W101" s="161" t="inlineStr">
        <is>
          <t xml:space="preserve"> NA</t>
        </is>
      </c>
      <c r="X101" s="12" t="inlineStr">
        <is>
          <t>NA</t>
        </is>
      </c>
      <c r="Y101" s="8" t="inlineStr">
        <is>
          <t>NI</t>
        </is>
      </c>
      <c r="Z101" s="161" t="inlineStr">
        <is>
          <t xml:space="preserve"> NA</t>
        </is>
      </c>
      <c r="AB101" s="8" t="inlineStr">
        <is>
          <t>NI</t>
        </is>
      </c>
      <c r="AC101" s="8" t="inlineStr">
        <is>
          <t>NI</t>
        </is>
      </c>
      <c r="AE101" s="8" t="inlineStr">
        <is>
          <t>NA</t>
        </is>
      </c>
      <c r="AF101" s="186" t="inlineStr">
        <is>
          <t>EM EXECUÇÃO</t>
        </is>
      </c>
      <c r="AG101" s="186" t="inlineStr">
        <is>
          <t>NI</t>
        </is>
      </c>
      <c r="AH101" s="186" t="inlineStr">
        <is>
          <t>NI</t>
        </is>
      </c>
      <c r="AI101" s="186" t="inlineStr">
        <is>
          <t>NI</t>
        </is>
      </c>
      <c r="AJ101" s="171" t="inlineStr">
        <is>
          <t>NA</t>
        </is>
      </c>
      <c r="AK101" s="171" t="inlineStr">
        <is>
          <t>NA</t>
        </is>
      </c>
      <c r="AL101" s="171" t="n"/>
      <c r="AM101" s="171" t="inlineStr">
        <is>
          <t>NA</t>
        </is>
      </c>
      <c r="AN101" s="8" t="inlineStr">
        <is>
          <t xml:space="preserve"> Ampliação</t>
        </is>
      </c>
      <c r="AO101" s="8" t="inlineStr">
        <is>
          <t>Diagnóstico</t>
        </is>
      </c>
      <c r="AP101" s="8" t="n"/>
      <c r="AQ101" s="8" t="n"/>
      <c r="AR101" s="357" t="n"/>
      <c r="BE101" s="171" t="inlineStr">
        <is>
          <t>NA</t>
        </is>
      </c>
    </row>
    <row r="102" ht="91.5" customFormat="1" customHeight="1" s="138">
      <c r="A102" s="116" t="inlineStr">
        <is>
          <t>SUL</t>
        </is>
      </c>
      <c r="B102" s="116" t="inlineStr">
        <is>
          <t>RS</t>
        </is>
      </c>
      <c r="C102" s="116" t="inlineStr">
        <is>
          <t>PORTO ALEGRE</t>
        </is>
      </c>
      <c r="D102" s="116" t="inlineStr">
        <is>
          <t>UNIAO BRASILEIRA DE EDUCACAO E ASSISTENCIA</t>
        </is>
      </c>
      <c r="E102" s="523" t="inlineStr">
        <is>
          <t>88630413000109</t>
        </is>
      </c>
      <c r="F102" s="150" t="n">
        <v>2262568</v>
      </c>
      <c r="G102" s="116" t="inlineStr">
        <is>
          <t>Transferegov/SEI</t>
        </is>
      </c>
      <c r="H102" s="116" t="inlineStr">
        <is>
          <t>Convênio</t>
        </is>
      </c>
      <c r="I102" s="116" t="n">
        <v>971399</v>
      </c>
      <c r="J102" s="117" t="inlineStr">
        <is>
          <t>98863024015</t>
        </is>
      </c>
      <c r="K102" s="117" t="inlineStr">
        <is>
          <t>25000.185760/2024-94</t>
        </is>
      </c>
      <c r="L102" s="116" t="inlineStr">
        <is>
          <t>REDE DE ATENÇÃO À PESSOA COM DOENÇAS CRÔNICAS - HOSPITAL HABILITADO NA ALTA COMPLEXIDADE EM ONCOLOGIA</t>
        </is>
      </c>
      <c r="M102" s="116" t="n">
        <v>1</v>
      </c>
      <c r="N102" s="116" t="n">
        <v>2024</v>
      </c>
      <c r="O102" s="116" t="n">
        <v>1</v>
      </c>
      <c r="P102" s="116" t="inlineStr">
        <is>
          <t>UND</t>
        </is>
      </c>
      <c r="Q102" s="116" t="inlineStr">
        <is>
          <t>301 - PET CT</t>
        </is>
      </c>
      <c r="R102" s="328" t="n">
        <v>45646</v>
      </c>
      <c r="S102" s="328" t="n">
        <v>46186</v>
      </c>
      <c r="T102" s="328" t="n">
        <v>46246</v>
      </c>
      <c r="V102" s="327" t="n">
        <v>7250000</v>
      </c>
      <c r="W102" s="327" t="n">
        <v>7250000</v>
      </c>
      <c r="X102" s="327" t="n">
        <v>0</v>
      </c>
      <c r="Y102" s="116" t="inlineStr">
        <is>
          <t>NI</t>
        </is>
      </c>
      <c r="Z102" s="329" t="n">
        <v>45898</v>
      </c>
      <c r="AB102" s="116" t="inlineStr">
        <is>
          <t>NI</t>
        </is>
      </c>
      <c r="AC102" s="116" t="inlineStr">
        <is>
          <t>NI</t>
        </is>
      </c>
      <c r="AE102" s="116" t="inlineStr">
        <is>
          <t>NA</t>
        </is>
      </c>
      <c r="AF102" s="289" t="inlineStr">
        <is>
          <t>EM EXECUÇÃO</t>
        </is>
      </c>
      <c r="AG102" s="289" t="inlineStr">
        <is>
          <t>NI</t>
        </is>
      </c>
      <c r="AH102" s="289" t="inlineStr">
        <is>
          <t>NI</t>
        </is>
      </c>
      <c r="AI102" s="289" t="inlineStr">
        <is>
          <t>NI</t>
        </is>
      </c>
      <c r="AJ102" s="116" t="inlineStr">
        <is>
          <t>NI</t>
        </is>
      </c>
      <c r="AK102" s="116" t="inlineStr">
        <is>
          <t>NI</t>
        </is>
      </c>
      <c r="AL102" s="116" t="n"/>
      <c r="AM102" s="116" t="inlineStr">
        <is>
          <t>Não iniciado</t>
        </is>
      </c>
      <c r="AN102" s="116" t="inlineStr">
        <is>
          <t xml:space="preserve"> Substituição</t>
        </is>
      </c>
      <c r="AO102" s="116" t="inlineStr">
        <is>
          <t>Diagnóstico</t>
        </is>
      </c>
      <c r="AP102" s="116" t="n"/>
      <c r="AQ102" s="116" t="n"/>
      <c r="AR102" s="357" t="n"/>
      <c r="BE102" s="526" t="inlineStr">
        <is>
          <t>NI</t>
        </is>
      </c>
    </row>
    <row r="103" ht="91.5" customFormat="1" customHeight="1" s="138">
      <c r="A103" s="116" t="inlineStr">
        <is>
          <t>NORDESTE</t>
        </is>
      </c>
      <c r="B103" s="116" t="inlineStr">
        <is>
          <t>RN</t>
        </is>
      </c>
      <c r="C103" s="116" t="inlineStr">
        <is>
          <t>MOSSORO</t>
        </is>
      </c>
      <c r="D103" s="116" t="inlineStr">
        <is>
          <t>LIGA MOSSOROENSE DE ESTUDOS E COMBATE AO CANCER</t>
        </is>
      </c>
      <c r="E103" s="117" t="inlineStr">
        <is>
          <t>04026039000139</t>
        </is>
      </c>
      <c r="F103" s="150" t="n">
        <v>3675580</v>
      </c>
      <c r="G103" s="116" t="inlineStr">
        <is>
          <t>Transferegov/SEI</t>
        </is>
      </c>
      <c r="H103" s="116" t="inlineStr">
        <is>
          <t>Convênio</t>
        </is>
      </c>
      <c r="I103" s="116" t="n">
        <v>971398</v>
      </c>
      <c r="J103" s="117" t="inlineStr">
        <is>
          <t>90402624002</t>
        </is>
      </c>
      <c r="K103" s="117" t="inlineStr">
        <is>
          <t>25000.185676/2024-71</t>
        </is>
      </c>
      <c r="L103" s="116" t="inlineStr">
        <is>
          <t>REDE DE ATENÇÃO À PESSOA COM DOENÇAS CRÔNICAS - HOSPITAL HABILITADO NA ALTA COMPLEXIDADE EM ONCOLOGIA</t>
        </is>
      </c>
      <c r="M103" s="116" t="n">
        <v>1</v>
      </c>
      <c r="N103" s="116" t="n">
        <v>2024</v>
      </c>
      <c r="O103" s="116" t="n">
        <v>1</v>
      </c>
      <c r="P103" s="116" t="inlineStr">
        <is>
          <t>UND</t>
        </is>
      </c>
      <c r="Q103" s="116" t="inlineStr">
        <is>
          <t>595 - Câmara Cintilográfica (Gama Câmara)</t>
        </is>
      </c>
      <c r="R103" s="328" t="n">
        <v>45653</v>
      </c>
      <c r="S103" s="328" t="n">
        <v>46193</v>
      </c>
      <c r="T103" s="328" t="n">
        <v>46253</v>
      </c>
      <c r="V103" s="327" t="n">
        <v>2000000</v>
      </c>
      <c r="W103" s="327" t="inlineStr">
        <is>
          <t>1.996.367,15</t>
        </is>
      </c>
      <c r="X103" s="327" t="n">
        <v>234058</v>
      </c>
      <c r="Y103" s="116" t="inlineStr">
        <is>
          <t>concluído</t>
        </is>
      </c>
      <c r="Z103" s="329" t="n">
        <v>46029</v>
      </c>
      <c r="AB103" s="393" t="inlineStr">
        <is>
          <t>SIEMENS</t>
        </is>
      </c>
      <c r="AC103" s="116" t="inlineStr">
        <is>
          <t>NI</t>
        </is>
      </c>
      <c r="AE103" s="116" t="inlineStr">
        <is>
          <t>NA</t>
        </is>
      </c>
      <c r="AF103" s="289" t="inlineStr">
        <is>
          <t>EM EXECUÇÃO</t>
        </is>
      </c>
      <c r="AG103" s="289" t="inlineStr">
        <is>
          <t>NI</t>
        </is>
      </c>
      <c r="AH103" s="289" t="inlineStr">
        <is>
          <t>NI</t>
        </is>
      </c>
      <c r="AI103" s="289" t="n">
        <v>30</v>
      </c>
      <c r="AJ103" s="116" t="inlineStr">
        <is>
          <t>Leonardo Barsante</t>
        </is>
      </c>
      <c r="AK103" s="116" t="inlineStr">
        <is>
          <t>Bruna Machado</t>
        </is>
      </c>
      <c r="AL103" s="116" t="n"/>
      <c r="AM103" s="116" t="inlineStr">
        <is>
          <t>Em monitoramento</t>
        </is>
      </c>
      <c r="AN103" s="116" t="inlineStr">
        <is>
          <t xml:space="preserve"> Ampliação</t>
        </is>
      </c>
      <c r="AO103" s="116" t="inlineStr">
        <is>
          <t>Diagnóstico</t>
        </is>
      </c>
      <c r="AP103" s="116" t="n"/>
      <c r="AQ103" s="116" t="n"/>
      <c r="AR103" s="138" t="inlineStr">
        <is>
          <t>Ofício 305, enviado para assessoria em 24/08</t>
        </is>
      </c>
      <c r="BE103" s="526" t="inlineStr">
        <is>
          <t>NI</t>
        </is>
      </c>
    </row>
    <row r="104" ht="91.5" customFormat="1" customHeight="1" s="138">
      <c r="A104" s="116" t="inlineStr">
        <is>
          <t>CENTRO-OESTE</t>
        </is>
      </c>
      <c r="B104" s="116" t="inlineStr">
        <is>
          <t>DF</t>
        </is>
      </c>
      <c r="C104" s="116" t="inlineStr">
        <is>
          <t>BRASILIA</t>
        </is>
      </c>
      <c r="D104" s="116" t="inlineStr">
        <is>
          <t>INSTITUTO HOSPITAL DE BASE DO DISTRITO FEDERAL -IHBDF</t>
        </is>
      </c>
      <c r="E104" s="117" t="inlineStr">
        <is>
          <t>28481233000172</t>
        </is>
      </c>
      <c r="F104" s="150" t="n">
        <v>10456</v>
      </c>
      <c r="G104" s="116" t="inlineStr">
        <is>
          <t>Transferegov/SEI</t>
        </is>
      </c>
      <c r="H104" s="116" t="inlineStr">
        <is>
          <t>Convênio</t>
        </is>
      </c>
      <c r="I104" s="116" t="n">
        <v>970343</v>
      </c>
      <c r="J104" s="117" t="inlineStr">
        <is>
          <t>92848124017</t>
        </is>
      </c>
      <c r="K104" s="117" t="inlineStr">
        <is>
          <t>25000.164424/2024-16</t>
        </is>
      </c>
      <c r="L104" s="116" t="inlineStr">
        <is>
          <t>REDE DE ATENÇÃO À PESSOA COM DOENÇAS CRÔNICAS - HOSPITAL HABILITADO NA ALTA COMPLEXIDADE EM ONCOLOGIA</t>
        </is>
      </c>
      <c r="M104" s="116" t="n">
        <v>1</v>
      </c>
      <c r="N104" s="116" t="n">
        <v>2024</v>
      </c>
      <c r="O104" s="116" t="n">
        <v>1</v>
      </c>
      <c r="P104" s="116" t="inlineStr">
        <is>
          <t>UND</t>
        </is>
      </c>
      <c r="Q104" s="116" t="inlineStr">
        <is>
          <t>10547 - Braquiterapia com Sistema de Controle Remoto</t>
        </is>
      </c>
      <c r="R104" s="328" t="n">
        <v>45643</v>
      </c>
      <c r="S104" s="328" t="inlineStr">
        <is>
          <t xml:space="preserve"> 10/06/2026</t>
        </is>
      </c>
      <c r="T104" s="328" t="inlineStr">
        <is>
          <t xml:space="preserve"> 09/08/2026</t>
        </is>
      </c>
      <c r="V104" s="327" t="n">
        <v>2100000</v>
      </c>
      <c r="W104" s="327" t="n">
        <v>0</v>
      </c>
      <c r="X104" s="327" t="n">
        <v>0</v>
      </c>
      <c r="Y104" s="116" t="inlineStr">
        <is>
          <t>NI</t>
        </is>
      </c>
      <c r="Z104" s="329" t="inlineStr">
        <is>
          <t xml:space="preserve"> NA</t>
        </is>
      </c>
      <c r="AB104" s="116" t="inlineStr">
        <is>
          <t>NI</t>
        </is>
      </c>
      <c r="AC104" s="116" t="inlineStr">
        <is>
          <t>NI</t>
        </is>
      </c>
      <c r="AE104" s="116" t="inlineStr">
        <is>
          <t>NA</t>
        </is>
      </c>
      <c r="AF104" s="289" t="inlineStr">
        <is>
          <t>EM EXECUÇÃO</t>
        </is>
      </c>
      <c r="AG104" s="289" t="inlineStr">
        <is>
          <t>NI</t>
        </is>
      </c>
      <c r="AH104" s="289" t="inlineStr">
        <is>
          <t>NI</t>
        </is>
      </c>
      <c r="AI104" s="289" t="inlineStr">
        <is>
          <t>NI</t>
        </is>
      </c>
      <c r="AJ104" s="116" t="inlineStr">
        <is>
          <t>Leonardo Barsante</t>
        </is>
      </c>
      <c r="AK104" s="116" t="inlineStr">
        <is>
          <t>NI</t>
        </is>
      </c>
      <c r="AL104" s="116" t="n"/>
      <c r="AM104" s="116" t="inlineStr">
        <is>
          <t>Não iniciado</t>
        </is>
      </c>
      <c r="AN104" s="116" t="inlineStr">
        <is>
          <t xml:space="preserve"> Ampliação</t>
        </is>
      </c>
      <c r="AO104" s="116" t="inlineStr">
        <is>
          <t>Tratamento</t>
        </is>
      </c>
      <c r="AP104" s="116" t="n"/>
      <c r="AQ104" s="116" t="n"/>
      <c r="AR104" s="138" t="inlineStr">
        <is>
          <t>Ordem bancária ainda não efetivada</t>
        </is>
      </c>
      <c r="BE104" s="526" t="inlineStr">
        <is>
          <t>NI</t>
        </is>
      </c>
    </row>
    <row r="105" ht="91.5" customFormat="1" customHeight="1" s="138">
      <c r="A105" s="116" t="inlineStr">
        <is>
          <t>CENTRO-OESTE</t>
        </is>
      </c>
      <c r="B105" s="116" t="inlineStr">
        <is>
          <t>MT</t>
        </is>
      </c>
      <c r="C105" s="116" t="inlineStr">
        <is>
          <t>CUIABA</t>
        </is>
      </c>
      <c r="D105" s="116" t="inlineStr">
        <is>
          <t>ASSOCIACAO MATOGROSSENSE DE COMBATE AO CANCER</t>
        </is>
      </c>
      <c r="E105" s="117" t="inlineStr">
        <is>
          <t>24672792000109</t>
        </is>
      </c>
      <c r="F105" s="150" t="n">
        <v>2534444</v>
      </c>
      <c r="G105" s="116" t="inlineStr">
        <is>
          <t>Transferegov/SEI</t>
        </is>
      </c>
      <c r="H105" s="116" t="inlineStr">
        <is>
          <t>Convênio</t>
        </is>
      </c>
      <c r="I105" s="116" t="n">
        <v>970357</v>
      </c>
      <c r="J105" s="117" t="inlineStr">
        <is>
          <t>92467224005</t>
        </is>
      </c>
      <c r="K105" s="117" t="inlineStr">
        <is>
          <t>25000.164419/2024-03</t>
        </is>
      </c>
      <c r="L105" s="116" t="inlineStr">
        <is>
          <t>REDE DE ATENÇÃO À PESSOA COM DOENÇAS CRÔNICAS - HOSPITAL HABILITADO NA ALTA COMPLEXIDADE EM ONCOLOGIA</t>
        </is>
      </c>
      <c r="M105" s="116" t="n">
        <v>114</v>
      </c>
      <c r="N105" s="116" t="n">
        <v>2024</v>
      </c>
      <c r="O105" s="116" t="inlineStr">
        <is>
          <t>NA</t>
        </is>
      </c>
      <c r="P105" s="116" t="inlineStr">
        <is>
          <t>UND</t>
        </is>
      </c>
      <c r="Q105" s="116" t="inlineStr">
        <is>
          <t>NA</t>
        </is>
      </c>
      <c r="R105" s="328" t="n">
        <v>45784</v>
      </c>
      <c r="S105" s="328" t="n">
        <v>46324</v>
      </c>
      <c r="T105" s="328" t="n">
        <v>46384</v>
      </c>
      <c r="V105" s="327" t="n">
        <v>4749928</v>
      </c>
      <c r="W105" s="327" t="n">
        <v>0</v>
      </c>
      <c r="X105" s="327" t="n">
        <v>0</v>
      </c>
      <c r="Y105" s="116" t="inlineStr">
        <is>
          <t>NI</t>
        </is>
      </c>
      <c r="Z105" s="329" t="inlineStr">
        <is>
          <t>NA</t>
        </is>
      </c>
      <c r="AB105" s="116" t="inlineStr">
        <is>
          <t>NI</t>
        </is>
      </c>
      <c r="AC105" s="116" t="inlineStr">
        <is>
          <t>NI</t>
        </is>
      </c>
      <c r="AE105" s="116" t="inlineStr">
        <is>
          <t>NA</t>
        </is>
      </c>
      <c r="AF105" s="289" t="inlineStr">
        <is>
          <t>EM EXECUÇÃO</t>
        </is>
      </c>
      <c r="AG105" s="289" t="inlineStr">
        <is>
          <t>NI</t>
        </is>
      </c>
      <c r="AH105" s="289" t="inlineStr">
        <is>
          <t>NI</t>
        </is>
      </c>
      <c r="AI105" s="289" t="inlineStr">
        <is>
          <t>NI</t>
        </is>
      </c>
      <c r="AJ105" s="116" t="inlineStr">
        <is>
          <t>NI</t>
        </is>
      </c>
      <c r="AK105" s="116" t="inlineStr">
        <is>
          <t>NI</t>
        </is>
      </c>
      <c r="AL105" s="116" t="n"/>
      <c r="AM105" s="116" t="inlineStr">
        <is>
          <t>Não iniciado</t>
        </is>
      </c>
      <c r="AN105" s="116" t="inlineStr">
        <is>
          <t xml:space="preserve"> Substituição</t>
        </is>
      </c>
      <c r="AO105" s="116" t="inlineStr">
        <is>
          <t>Tratamento e apoio</t>
        </is>
      </c>
      <c r="AP105" s="116" t="n"/>
      <c r="AQ105" s="116" t="n"/>
      <c r="AR105" s="357" t="n"/>
      <c r="BE105" s="526" t="inlineStr">
        <is>
          <t>NI</t>
        </is>
      </c>
    </row>
    <row r="106" ht="91.5" customFormat="1" customHeight="1" s="138">
      <c r="A106" s="8" t="inlineStr">
        <is>
          <t>CENTRO-OESTE</t>
        </is>
      </c>
      <c r="B106" s="8" t="inlineStr">
        <is>
          <t>MT</t>
        </is>
      </c>
      <c r="C106" s="8" t="inlineStr">
        <is>
          <t>CUIABA</t>
        </is>
      </c>
      <c r="D106" s="8" t="inlineStr">
        <is>
          <t>ASSOCIACAO MATOGROSSENSE DE COMBATE AO CANCER</t>
        </is>
      </c>
      <c r="E106" s="7" t="inlineStr">
        <is>
          <t>24672792000109</t>
        </is>
      </c>
      <c r="F106" s="148" t="n">
        <v>2534444</v>
      </c>
      <c r="G106" s="8" t="inlineStr">
        <is>
          <t>Transferegov/SEI</t>
        </is>
      </c>
      <c r="H106" s="8" t="inlineStr">
        <is>
          <t>Convênio</t>
        </is>
      </c>
      <c r="I106" s="524" t="n">
        <v>970357</v>
      </c>
      <c r="J106" s="7" t="inlineStr">
        <is>
          <t>92467224005</t>
        </is>
      </c>
      <c r="K106" s="7" t="inlineStr">
        <is>
          <t>25000.164419/2024-03</t>
        </is>
      </c>
      <c r="L106" s="8" t="inlineStr">
        <is>
          <t>REDE DE ATENÇÃO À PESSOA COM DOENÇAS CRÔNICAS - HOSPITAL HABILITADO NA ALTA COMPLEXIDADE EM ONCOLOGIA</t>
        </is>
      </c>
      <c r="M106" s="8" t="inlineStr">
        <is>
          <t>NA</t>
        </is>
      </c>
      <c r="N106" s="8" t="n">
        <v>2024</v>
      </c>
      <c r="O106" s="8" t="n">
        <v>1</v>
      </c>
      <c r="P106" s="8" t="inlineStr">
        <is>
          <t>UND</t>
        </is>
      </c>
      <c r="Q106" s="8" t="inlineStr">
        <is>
          <t>10547 - Braquiterapia com Sistema de Controle Remoto</t>
        </is>
      </c>
      <c r="R106" s="171" t="n">
        <v>45784</v>
      </c>
      <c r="S106" s="171" t="n">
        <v>46324</v>
      </c>
      <c r="T106" s="171" t="n">
        <v>46384</v>
      </c>
      <c r="V106" s="12" t="n">
        <v>4749928</v>
      </c>
      <c r="W106" s="161" t="inlineStr">
        <is>
          <t xml:space="preserve"> NA</t>
        </is>
      </c>
      <c r="X106" s="12" t="inlineStr">
        <is>
          <t>NA</t>
        </is>
      </c>
      <c r="Y106" s="8" t="inlineStr">
        <is>
          <t>NI</t>
        </is>
      </c>
      <c r="Z106" s="171" t="inlineStr">
        <is>
          <t>NA</t>
        </is>
      </c>
      <c r="AB106" s="8" t="inlineStr">
        <is>
          <t>NI</t>
        </is>
      </c>
      <c r="AC106" s="8" t="inlineStr">
        <is>
          <t>NI</t>
        </is>
      </c>
      <c r="AE106" s="8" t="inlineStr">
        <is>
          <t>NA</t>
        </is>
      </c>
      <c r="AF106" s="186" t="inlineStr">
        <is>
          <t>EM EXECUÇÃO</t>
        </is>
      </c>
      <c r="AG106" s="186" t="inlineStr">
        <is>
          <t>NI</t>
        </is>
      </c>
      <c r="AH106" s="186" t="inlineStr">
        <is>
          <t>NI</t>
        </is>
      </c>
      <c r="AI106" s="186" t="inlineStr">
        <is>
          <t>NI</t>
        </is>
      </c>
      <c r="AJ106" s="171" t="inlineStr">
        <is>
          <t>Leonardo Barsante</t>
        </is>
      </c>
      <c r="AK106" s="171" t="inlineStr">
        <is>
          <t>NA</t>
        </is>
      </c>
      <c r="AL106" s="171" t="n"/>
      <c r="AM106" s="171" t="inlineStr">
        <is>
          <t>NA</t>
        </is>
      </c>
      <c r="AN106" s="8" t="inlineStr">
        <is>
          <t xml:space="preserve"> Substituição</t>
        </is>
      </c>
      <c r="AO106" s="8" t="inlineStr">
        <is>
          <t>Tratamento</t>
        </is>
      </c>
      <c r="AP106" s="8" t="n"/>
      <c r="AQ106" s="8" t="n"/>
      <c r="AR106" s="138" t="inlineStr">
        <is>
          <t>encontra-se em processo de importação, com previsão de entrega para o dia 06/08/2026. Após a chegada do equipamento, serão realizados os procedimentos de instalação, testes operacionais e treinamento da equipe técnica</t>
        </is>
      </c>
      <c r="BE106" s="171" t="inlineStr">
        <is>
          <t>NA</t>
        </is>
      </c>
    </row>
    <row r="107" ht="91.5" customFormat="1" customHeight="1" s="138">
      <c r="A107" s="116" t="inlineStr">
        <is>
          <t>CENTRO-OESTE</t>
        </is>
      </c>
      <c r="B107" s="116" t="inlineStr">
        <is>
          <t>MS</t>
        </is>
      </c>
      <c r="C107" s="116" t="inlineStr">
        <is>
          <t>CAMPO GRANDE</t>
        </is>
      </c>
      <c r="D107" s="116" t="inlineStr">
        <is>
          <t>FUNDACAO CARMEM PRUDENTE DE MATO GROSSO DO SUL</t>
        </is>
      </c>
      <c r="E107" s="117" t="inlineStr">
        <is>
          <t>03221702000193</t>
        </is>
      </c>
      <c r="F107" s="150" t="n">
        <v>9776</v>
      </c>
      <c r="G107" s="116" t="inlineStr">
        <is>
          <t>Transferegov/SEI</t>
        </is>
      </c>
      <c r="H107" s="116" t="inlineStr">
        <is>
          <t>Convênio</t>
        </is>
      </c>
      <c r="I107" s="116" t="n">
        <v>959453</v>
      </c>
      <c r="J107" s="117" t="inlineStr">
        <is>
          <t>90322124003</t>
        </is>
      </c>
      <c r="K107" s="117" t="inlineStr">
        <is>
          <t>25000.065661/2024-97</t>
        </is>
      </c>
      <c r="L107" s="116" t="inlineStr">
        <is>
          <t>REDE DE ATENÇÃO À PESSOA COM DOENÇAS CRÔNICAS - HOSPITAL HABILITADO NA ALTA COMPLEXIDADE EM ONCOLOGIA</t>
        </is>
      </c>
      <c r="M107" s="116" t="n">
        <v>2</v>
      </c>
      <c r="N107" s="116" t="n">
        <v>2024</v>
      </c>
      <c r="O107" s="116" t="inlineStr">
        <is>
          <t>NA</t>
        </is>
      </c>
      <c r="P107" s="116" t="inlineStr">
        <is>
          <t>UND</t>
        </is>
      </c>
      <c r="Q107" s="116" t="inlineStr">
        <is>
          <t>NA</t>
        </is>
      </c>
      <c r="R107" s="328" t="n">
        <v>45653</v>
      </c>
      <c r="S107" s="328" t="inlineStr">
        <is>
          <t xml:space="preserve"> 08/01/2027</t>
        </is>
      </c>
      <c r="T107" s="328" t="inlineStr">
        <is>
          <t xml:space="preserve"> 09/03/2027</t>
        </is>
      </c>
      <c r="V107" s="327" t="n">
        <v>600000</v>
      </c>
      <c r="W107" s="327" t="n">
        <v>401135.82</v>
      </c>
      <c r="X107" s="327" t="n">
        <v>16998</v>
      </c>
      <c r="Y107" s="116" t="inlineStr">
        <is>
          <t>NI</t>
        </is>
      </c>
      <c r="Z107" s="329" t="n">
        <v>45855</v>
      </c>
      <c r="AB107" s="116" t="inlineStr">
        <is>
          <t>NI</t>
        </is>
      </c>
      <c r="AC107" s="116" t="inlineStr">
        <is>
          <t>NI</t>
        </is>
      </c>
      <c r="AE107" s="116" t="inlineStr">
        <is>
          <t>NA</t>
        </is>
      </c>
      <c r="AF107" s="289" t="inlineStr">
        <is>
          <t>PRESTAÇÃO DE CONTAS APROVADA</t>
        </is>
      </c>
      <c r="AG107" s="289" t="inlineStr">
        <is>
          <t>NI</t>
        </is>
      </c>
      <c r="AH107" s="289" t="inlineStr">
        <is>
          <t>NI</t>
        </is>
      </c>
      <c r="AI107" s="289" t="inlineStr">
        <is>
          <t>NI</t>
        </is>
      </c>
      <c r="AJ107" s="116" t="inlineStr">
        <is>
          <t>NI</t>
        </is>
      </c>
      <c r="AK107" s="116" t="inlineStr">
        <is>
          <t>NI</t>
        </is>
      </c>
      <c r="AL107" s="116" t="n"/>
      <c r="AM107" s="116" t="inlineStr">
        <is>
          <t>Não iniciado</t>
        </is>
      </c>
      <c r="AN107" s="116" t="inlineStr">
        <is>
          <t>Ampliação</t>
        </is>
      </c>
      <c r="AO107" s="116" t="inlineStr">
        <is>
          <t>Rastreamento e diagnóstico</t>
        </is>
      </c>
      <c r="AP107" s="116" t="n"/>
      <c r="AQ107" s="116" t="n"/>
      <c r="AR107" s="357" t="n"/>
      <c r="BE107" s="526" t="inlineStr">
        <is>
          <t>NI</t>
        </is>
      </c>
    </row>
    <row r="108" ht="91.5" customFormat="1" customHeight="1" s="138">
      <c r="A108" s="8" t="inlineStr">
        <is>
          <t>CENTRO-OESTE</t>
        </is>
      </c>
      <c r="B108" s="8" t="inlineStr">
        <is>
          <t>MS</t>
        </is>
      </c>
      <c r="C108" s="8" t="inlineStr">
        <is>
          <t>CAMPO GRANDE</t>
        </is>
      </c>
      <c r="D108" s="8" t="inlineStr">
        <is>
          <t>FUNDACAO CARMEM PRUDENTE DE MATO GROSSO DO SUL</t>
        </is>
      </c>
      <c r="E108" s="7" t="inlineStr">
        <is>
          <t>03221702000193</t>
        </is>
      </c>
      <c r="F108" s="148" t="n">
        <v>9776</v>
      </c>
      <c r="G108" s="8" t="inlineStr">
        <is>
          <t>Transferegov/SEI</t>
        </is>
      </c>
      <c r="H108" s="8" t="inlineStr">
        <is>
          <t>Convênio</t>
        </is>
      </c>
      <c r="I108" s="524" t="n">
        <v>959453</v>
      </c>
      <c r="J108" s="7" t="inlineStr">
        <is>
          <t>90322124003</t>
        </is>
      </c>
      <c r="K108" s="7" t="inlineStr">
        <is>
          <t>25000.065661/2024-97</t>
        </is>
      </c>
      <c r="L108" s="8" t="inlineStr">
        <is>
          <t>REDE DE ATENÇÃO À PESSOA COM DOENÇAS CRÔNICAS - HOSPITAL HABILITADO NA ALTA COMPLEXIDADE EM ONCOLOGIA</t>
        </is>
      </c>
      <c r="M108" s="8" t="inlineStr">
        <is>
          <t>NA</t>
        </is>
      </c>
      <c r="N108" s="8" t="n">
        <v>2024</v>
      </c>
      <c r="O108" s="8" t="n">
        <v>1</v>
      </c>
      <c r="P108" s="8" t="inlineStr">
        <is>
          <t>UND</t>
        </is>
      </c>
      <c r="Q108" s="8" t="inlineStr">
        <is>
          <t>11422 - Ultrassom Diagnóstico sem Aplicação Transesofágica</t>
        </is>
      </c>
      <c r="R108" s="171" t="n">
        <v>45653</v>
      </c>
      <c r="S108" s="171" t="n">
        <v>46395</v>
      </c>
      <c r="T108" s="171" t="n">
        <v>46455</v>
      </c>
      <c r="V108" s="12" t="n">
        <v>600000</v>
      </c>
      <c r="W108" s="161" t="inlineStr">
        <is>
          <t xml:space="preserve"> NA</t>
        </is>
      </c>
      <c r="X108" s="12" t="inlineStr">
        <is>
          <t>NA</t>
        </is>
      </c>
      <c r="Y108" s="8" t="inlineStr">
        <is>
          <t>NI</t>
        </is>
      </c>
      <c r="Z108" s="161" t="inlineStr">
        <is>
          <t xml:space="preserve"> NA</t>
        </is>
      </c>
      <c r="AB108" s="8" t="inlineStr">
        <is>
          <t>NI</t>
        </is>
      </c>
      <c r="AC108" s="8" t="inlineStr">
        <is>
          <t>NI</t>
        </is>
      </c>
      <c r="AE108" s="8" t="inlineStr">
        <is>
          <t>NA</t>
        </is>
      </c>
      <c r="AF108" s="186" t="inlineStr">
        <is>
          <t>PRESTAÇÃO DE CONTAS APROVADA</t>
        </is>
      </c>
      <c r="AG108" s="186" t="inlineStr">
        <is>
          <t>NI</t>
        </is>
      </c>
      <c r="AH108" s="186" t="inlineStr">
        <is>
          <t>NI</t>
        </is>
      </c>
      <c r="AI108" s="186" t="inlineStr">
        <is>
          <t>NI</t>
        </is>
      </c>
      <c r="AJ108" s="171" t="inlineStr">
        <is>
          <t>NA</t>
        </is>
      </c>
      <c r="AK108" s="171" t="inlineStr">
        <is>
          <t>NA</t>
        </is>
      </c>
      <c r="AL108" s="171" t="n"/>
      <c r="AM108" s="171" t="inlineStr">
        <is>
          <t>NA</t>
        </is>
      </c>
      <c r="AN108" s="8" t="inlineStr">
        <is>
          <t xml:space="preserve"> Ampliação</t>
        </is>
      </c>
      <c r="AO108" s="8" t="inlineStr">
        <is>
          <t>Diagnóstico</t>
        </is>
      </c>
      <c r="AP108" s="8" t="n"/>
      <c r="AQ108" s="8" t="n"/>
      <c r="AR108" s="357" t="n"/>
      <c r="BE108" s="171" t="inlineStr">
        <is>
          <t>NA</t>
        </is>
      </c>
    </row>
    <row r="109" ht="91.5" customFormat="1" customHeight="1" s="138">
      <c r="A109" s="8" t="inlineStr">
        <is>
          <t>CENTRO-OESTE</t>
        </is>
      </c>
      <c r="B109" s="8" t="inlineStr">
        <is>
          <t>MS</t>
        </is>
      </c>
      <c r="C109" s="8" t="inlineStr">
        <is>
          <t>CAMPO GRANDE</t>
        </is>
      </c>
      <c r="D109" s="8" t="inlineStr">
        <is>
          <t>FUNDACAO CARMEM PRUDENTE DE MATO GROSSO DO SUL</t>
        </is>
      </c>
      <c r="E109" s="7" t="inlineStr">
        <is>
          <t>03221702000193</t>
        </is>
      </c>
      <c r="F109" s="148" t="n">
        <v>9776</v>
      </c>
      <c r="G109" s="8" t="inlineStr">
        <is>
          <t>Transferegov/SEI</t>
        </is>
      </c>
      <c r="H109" s="8" t="inlineStr">
        <is>
          <t>Convênio</t>
        </is>
      </c>
      <c r="I109" s="524" t="n">
        <v>959453</v>
      </c>
      <c r="J109" s="7" t="inlineStr">
        <is>
          <t>90322124003</t>
        </is>
      </c>
      <c r="K109" s="7" t="inlineStr">
        <is>
          <t>25000.065661/2024-97</t>
        </is>
      </c>
      <c r="L109" s="8" t="inlineStr">
        <is>
          <t>REDE DE ATENÇÃO À PESSOA COM DOENÇAS CRÔNICAS - HOSPITAL HABILITADO NA ALTA COMPLEXIDADE EM ONCOLOGIA</t>
        </is>
      </c>
      <c r="M109" s="8" t="inlineStr">
        <is>
          <t>NA</t>
        </is>
      </c>
      <c r="N109" s="8" t="n">
        <v>2024</v>
      </c>
      <c r="O109" s="8" t="n">
        <v>1</v>
      </c>
      <c r="P109" s="8" t="inlineStr">
        <is>
          <t>UND</t>
        </is>
      </c>
      <c r="Q109" s="8" t="inlineStr">
        <is>
          <t>10254 - Sistema de Vídeo Endoscopia Rígida</t>
        </is>
      </c>
      <c r="R109" s="171" t="n">
        <v>45653</v>
      </c>
      <c r="S109" s="171" t="n">
        <v>46395</v>
      </c>
      <c r="T109" s="171" t="n">
        <v>46455</v>
      </c>
      <c r="V109" s="12" t="n">
        <v>600000</v>
      </c>
      <c r="W109" s="161" t="inlineStr">
        <is>
          <t xml:space="preserve"> NA</t>
        </is>
      </c>
      <c r="X109" s="12" t="inlineStr">
        <is>
          <t>NA</t>
        </is>
      </c>
      <c r="Y109" s="8" t="inlineStr">
        <is>
          <t>NI</t>
        </is>
      </c>
      <c r="Z109" s="161" t="inlineStr">
        <is>
          <t xml:space="preserve"> NA</t>
        </is>
      </c>
      <c r="AB109" s="8" t="inlineStr">
        <is>
          <t>NI</t>
        </is>
      </c>
      <c r="AC109" s="8" t="inlineStr">
        <is>
          <t>NI</t>
        </is>
      </c>
      <c r="AE109" s="8" t="inlineStr">
        <is>
          <t>NA</t>
        </is>
      </c>
      <c r="AF109" s="186" t="inlineStr">
        <is>
          <t>PRESTAÇÃO DE CONTAS APROVADA</t>
        </is>
      </c>
      <c r="AG109" s="186" t="inlineStr">
        <is>
          <t>NI</t>
        </is>
      </c>
      <c r="AH109" s="186" t="inlineStr">
        <is>
          <t>NI</t>
        </is>
      </c>
      <c r="AI109" s="186" t="inlineStr">
        <is>
          <t>NI</t>
        </is>
      </c>
      <c r="AJ109" s="171" t="inlineStr">
        <is>
          <t>NA</t>
        </is>
      </c>
      <c r="AK109" s="171" t="inlineStr">
        <is>
          <t>NA</t>
        </is>
      </c>
      <c r="AL109" s="171" t="n"/>
      <c r="AM109" s="171" t="inlineStr">
        <is>
          <t>NA</t>
        </is>
      </c>
      <c r="AN109" s="8" t="inlineStr">
        <is>
          <t xml:space="preserve"> Ampliação</t>
        </is>
      </c>
      <c r="AO109" s="8" t="inlineStr">
        <is>
          <t>Rastreamento</t>
        </is>
      </c>
      <c r="AP109" s="8" t="n"/>
      <c r="AQ109" s="8" t="n"/>
      <c r="AR109" s="357" t="n"/>
      <c r="BE109" s="171" t="inlineStr">
        <is>
          <t>NA</t>
        </is>
      </c>
    </row>
    <row r="110" ht="45.75" customFormat="1" customHeight="1" s="476">
      <c r="A110" s="278" t="inlineStr">
        <is>
          <t>NORDESTE</t>
        </is>
      </c>
      <c r="B110" s="331" t="inlineStr">
        <is>
          <t>PE</t>
        </is>
      </c>
      <c r="C110" s="331" t="inlineStr">
        <is>
          <t>RECIFE</t>
        </is>
      </c>
      <c r="D110" s="278" t="inlineStr">
        <is>
          <t>INSTITUTO DE MEDICINA INTEGRAL PROF FERNANDO FIGUEIRA</t>
        </is>
      </c>
      <c r="E110" s="352" t="inlineStr">
        <is>
          <t>10988301000129</t>
        </is>
      </c>
      <c r="F110" s="521" t="inlineStr">
        <is>
          <t>0000434</t>
        </is>
      </c>
      <c r="G110" s="520" t="inlineStr">
        <is>
          <t>Transferegov/SEI</t>
        </is>
      </c>
      <c r="H110" s="520" t="inlineStr">
        <is>
          <t>Convênio</t>
        </is>
      </c>
      <c r="I110" s="331" t="n">
        <v>942842</v>
      </c>
      <c r="J110" s="519" t="n">
        <v>91098823010</v>
      </c>
      <c r="K110" s="278" t="inlineStr">
        <is>
          <t>25000.085444/2023-32</t>
        </is>
      </c>
      <c r="L110" s="278" t="inlineStr">
        <is>
          <t>CENTRO DE ALTA COMPLEXIDADE EM ONCOLOGIA</t>
        </is>
      </c>
      <c r="M110" s="353" t="n">
        <v>1</v>
      </c>
      <c r="N110" s="331" t="n">
        <v>2023</v>
      </c>
      <c r="O110" s="278" t="n">
        <v>1</v>
      </c>
      <c r="P110" s="333" t="inlineStr">
        <is>
          <t xml:space="preserve"> UND</t>
        </is>
      </c>
      <c r="Q110" s="278" t="inlineStr">
        <is>
          <t>000301-PET CT</t>
        </is>
      </c>
      <c r="R110" s="354" t="n">
        <v>45243</v>
      </c>
      <c r="S110" s="354" t="n">
        <v>46311</v>
      </c>
      <c r="T110" s="354" t="n">
        <v>45608</v>
      </c>
      <c r="U110" s="356" t="n"/>
      <c r="V110" s="355" t="n">
        <v>6400000</v>
      </c>
      <c r="W110" s="355" t="n">
        <v>6180000</v>
      </c>
      <c r="X110" s="355" t="n">
        <v>0</v>
      </c>
      <c r="Y110" s="520" t="inlineStr">
        <is>
          <t>NI</t>
        </is>
      </c>
      <c r="Z110" s="354" t="n">
        <v>45406</v>
      </c>
      <c r="AA110" s="356" t="n"/>
      <c r="AB110" s="520" t="inlineStr">
        <is>
          <t>NI</t>
        </is>
      </c>
      <c r="AC110" s="520" t="inlineStr">
        <is>
          <t>NI</t>
        </is>
      </c>
      <c r="AD110" s="356" t="n"/>
      <c r="AE110" s="520" t="inlineStr">
        <is>
          <t xml:space="preserve"> NA</t>
        </is>
      </c>
      <c r="AF110" s="278" t="inlineStr">
        <is>
          <t>PRESTAÇÃO DE CONTAS EM ANÁLISE</t>
        </is>
      </c>
      <c r="AG110" s="278" t="inlineStr">
        <is>
          <t>NI</t>
        </is>
      </c>
      <c r="AH110" s="278" t="inlineStr">
        <is>
          <t>NI</t>
        </is>
      </c>
      <c r="AI110" s="278" t="inlineStr">
        <is>
          <t>NI</t>
        </is>
      </c>
      <c r="AJ110" s="278" t="n"/>
      <c r="AK110" s="278" t="n"/>
      <c r="AL110" s="278" t="n"/>
      <c r="AM110" s="278" t="n"/>
      <c r="AN110" s="278" t="inlineStr">
        <is>
          <t>Substituição</t>
        </is>
      </c>
      <c r="AO110" s="278" t="inlineStr">
        <is>
          <t>Diagnóstico</t>
        </is>
      </c>
      <c r="AP110" s="278" t="n"/>
      <c r="AQ110" s="278" t="n"/>
      <c r="AR110" s="366" t="n"/>
      <c r="AS110" s="356" t="n"/>
      <c r="AT110" s="356" t="n"/>
      <c r="AU110" s="356" t="n"/>
      <c r="AV110" s="356" t="n"/>
      <c r="AW110" s="356" t="n"/>
      <c r="AX110" s="356" t="n"/>
      <c r="AY110" s="356" t="n"/>
      <c r="AZ110" s="356" t="n"/>
      <c r="BA110" s="356" t="n"/>
      <c r="BB110" s="356" t="n"/>
      <c r="BC110" s="356" t="n"/>
      <c r="BD110" s="356" t="n"/>
      <c r="BE110" s="278" t="n"/>
      <c r="BF110" s="356" t="n"/>
      <c r="BG110" s="356" t="n"/>
      <c r="BH110" s="356" t="n"/>
      <c r="BI110" s="356" t="n"/>
      <c r="BJ110" s="356" t="n"/>
      <c r="BK110" s="356" t="n"/>
      <c r="BL110" s="356" t="n"/>
      <c r="BM110" s="356" t="n"/>
      <c r="BN110" s="356" t="n"/>
      <c r="BO110" s="356" t="n"/>
      <c r="BP110" s="356" t="n"/>
      <c r="BQ110" s="356" t="n"/>
    </row>
    <row r="111" ht="45.75" customFormat="1" customHeight="1" s="476">
      <c r="A111" s="278" t="inlineStr">
        <is>
          <t>CENTRO-OESTE</t>
        </is>
      </c>
      <c r="B111" s="331" t="inlineStr">
        <is>
          <t>DF</t>
        </is>
      </c>
      <c r="C111" s="331" t="inlineStr">
        <is>
          <t>BRASILIA</t>
        </is>
      </c>
      <c r="D111" s="278" t="inlineStr">
        <is>
          <t>HOSPITAL DE BASE DO DISTRITO FEDERAL</t>
        </is>
      </c>
      <c r="E111" s="352" t="inlineStr">
        <is>
          <t>28481233000172</t>
        </is>
      </c>
      <c r="F111" s="519" t="inlineStr">
        <is>
          <t>0010456</t>
        </is>
      </c>
      <c r="G111" s="520" t="inlineStr">
        <is>
          <t>Transferegov/SEI</t>
        </is>
      </c>
      <c r="H111" s="520" t="inlineStr">
        <is>
          <t>Convênio</t>
        </is>
      </c>
      <c r="I111" s="331" t="n">
        <v>943884</v>
      </c>
      <c r="J111" s="519" t="n">
        <v>92848123010</v>
      </c>
      <c r="K111" s="285" t="inlineStr">
        <is>
          <t>25000.085704/2023-70</t>
        </is>
      </c>
      <c r="L111" s="285" t="inlineStr">
        <is>
          <t>HOSPITAL DE ALTA COMPLEXIDADE</t>
        </is>
      </c>
      <c r="M111" s="278" t="n">
        <v>1</v>
      </c>
      <c r="N111" s="331" t="n">
        <v>2023</v>
      </c>
      <c r="O111" s="278" t="n">
        <v>1</v>
      </c>
      <c r="P111" s="333" t="inlineStr">
        <is>
          <t xml:space="preserve"> UND</t>
        </is>
      </c>
      <c r="Q111" s="278" t="inlineStr">
        <is>
          <t xml:space="preserve"> 	000595-Câmara Cintilográfica (Gama Câmara)</t>
        </is>
      </c>
      <c r="R111" s="354" t="n">
        <v>45240</v>
      </c>
      <c r="S111" s="354" t="n">
        <v>46280</v>
      </c>
      <c r="T111" s="354" t="n">
        <v>46340</v>
      </c>
      <c r="U111" s="356" t="n"/>
      <c r="V111" s="355" t="n">
        <v>230</v>
      </c>
      <c r="W111" s="355" t="n">
        <v>2270000</v>
      </c>
      <c r="X111" s="355" t="n">
        <v>0</v>
      </c>
      <c r="Y111" s="520" t="inlineStr">
        <is>
          <t>NI</t>
        </is>
      </c>
      <c r="Z111" s="354" t="n">
        <v>46006</v>
      </c>
      <c r="AA111" s="356" t="n"/>
      <c r="AB111" s="520" t="inlineStr">
        <is>
          <t>NI</t>
        </is>
      </c>
      <c r="AC111" s="520" t="inlineStr">
        <is>
          <t>NI</t>
        </is>
      </c>
      <c r="AD111" s="356" t="n"/>
      <c r="AE111" s="520" t="inlineStr">
        <is>
          <t xml:space="preserve"> NA</t>
        </is>
      </c>
      <c r="AF111" s="278" t="inlineStr">
        <is>
          <t>EM EXECUÇÃO</t>
        </is>
      </c>
      <c r="AG111" s="278" t="inlineStr">
        <is>
          <t>NI</t>
        </is>
      </c>
      <c r="AH111" s="278" t="inlineStr">
        <is>
          <t>NI</t>
        </is>
      </c>
      <c r="AI111" s="278" t="inlineStr">
        <is>
          <t>NI</t>
        </is>
      </c>
      <c r="AJ111" s="278" t="n"/>
      <c r="AK111" s="278" t="n"/>
      <c r="AL111" s="278" t="n"/>
      <c r="AM111" s="278" t="n"/>
      <c r="AN111" s="278" t="inlineStr">
        <is>
          <t>Substituição</t>
        </is>
      </c>
      <c r="AO111" s="278" t="inlineStr">
        <is>
          <t>Diagnóstico</t>
        </is>
      </c>
      <c r="AP111" s="278" t="n"/>
      <c r="AQ111" s="278" t="n"/>
      <c r="AR111" s="366" t="n"/>
      <c r="AS111" s="356" t="n"/>
      <c r="AT111" s="356" t="n"/>
      <c r="AU111" s="356" t="n"/>
      <c r="AV111" s="356" t="n"/>
      <c r="AW111" s="356" t="n"/>
      <c r="AX111" s="356" t="n"/>
      <c r="AY111" s="356" t="n"/>
      <c r="AZ111" s="356" t="n"/>
      <c r="BA111" s="356" t="n"/>
      <c r="BB111" s="356" t="n"/>
      <c r="BC111" s="356" t="n"/>
      <c r="BD111" s="356" t="n"/>
      <c r="BE111" s="278" t="n"/>
      <c r="BF111" s="356" t="n"/>
      <c r="BG111" s="356" t="n"/>
      <c r="BH111" s="356" t="n"/>
      <c r="BI111" s="356" t="n"/>
      <c r="BJ111" s="356" t="n"/>
      <c r="BK111" s="356" t="n"/>
      <c r="BL111" s="356" t="n"/>
      <c r="BM111" s="356" t="n"/>
      <c r="BN111" s="356" t="n"/>
      <c r="BO111" s="356" t="n"/>
      <c r="BP111" s="356" t="n"/>
      <c r="BQ111" s="356" t="n"/>
    </row>
    <row r="112" ht="45.75" customFormat="1" customHeight="1" s="476">
      <c r="A112" s="278" t="inlineStr">
        <is>
          <t>SUDESTE</t>
        </is>
      </c>
      <c r="B112" s="331" t="inlineStr">
        <is>
          <t>MG</t>
        </is>
      </c>
      <c r="C112" s="331" t="inlineStr">
        <is>
          <t>TEOFILO OTONI</t>
        </is>
      </c>
      <c r="D112" s="278" t="inlineStr">
        <is>
          <t>ASSOCIACAO HOSPITALAR SANTA ROSALIA</t>
        </is>
      </c>
      <c r="E112" s="352" t="inlineStr">
        <is>
          <t>25104902000107</t>
        </is>
      </c>
      <c r="F112" s="519" t="inlineStr">
        <is>
          <t>2208172</t>
        </is>
      </c>
      <c r="G112" s="520" t="inlineStr">
        <is>
          <t>Transferegov/SEI</t>
        </is>
      </c>
      <c r="H112" s="520" t="inlineStr">
        <is>
          <t>Convênio</t>
        </is>
      </c>
      <c r="I112" s="331" t="n">
        <v>942625</v>
      </c>
      <c r="J112" s="519" t="n">
        <v>92510423006</v>
      </c>
      <c r="K112" s="278" t="inlineStr">
        <is>
          <t xml:space="preserve"> 	25000.086060/2023-37</t>
        </is>
      </c>
      <c r="L112" s="278" t="inlineStr">
        <is>
          <t>HOSPITAL DE ALTA COMPLEXIDADE</t>
        </is>
      </c>
      <c r="M112" s="278" t="n">
        <v>1</v>
      </c>
      <c r="N112" s="331" t="n">
        <v>2023</v>
      </c>
      <c r="O112" s="278" t="n">
        <v>1</v>
      </c>
      <c r="P112" s="333" t="inlineStr">
        <is>
          <t xml:space="preserve"> UND</t>
        </is>
      </c>
      <c r="Q112" s="278" t="inlineStr">
        <is>
          <t xml:space="preserve"> 	000595-Câmara Cintilográfica (Gama Câmara)</t>
        </is>
      </c>
      <c r="R112" s="354" t="n">
        <v>45243</v>
      </c>
      <c r="S112" s="354" t="n">
        <v>46245</v>
      </c>
      <c r="T112" s="354" t="n">
        <v>46305</v>
      </c>
      <c r="U112" s="356" t="n"/>
      <c r="V112" s="355" t="n">
        <v>2216534</v>
      </c>
      <c r="W112" s="355" t="n">
        <v>0</v>
      </c>
      <c r="X112" s="355" t="n">
        <v>0</v>
      </c>
      <c r="Y112" s="520" t="inlineStr">
        <is>
          <t>NI</t>
        </is>
      </c>
      <c r="Z112" s="354" t="inlineStr">
        <is>
          <t>NA</t>
        </is>
      </c>
      <c r="AA112" s="356" t="n"/>
      <c r="AB112" s="520" t="inlineStr">
        <is>
          <t>NI</t>
        </is>
      </c>
      <c r="AC112" s="520" t="inlineStr">
        <is>
          <t>NI</t>
        </is>
      </c>
      <c r="AD112" s="356" t="n"/>
      <c r="AE112" s="520" t="inlineStr">
        <is>
          <t xml:space="preserve"> NA</t>
        </is>
      </c>
      <c r="AF112" s="278" t="inlineStr">
        <is>
          <t>EM EXECUÇÃO</t>
        </is>
      </c>
      <c r="AG112" s="278" t="inlineStr">
        <is>
          <t>NI</t>
        </is>
      </c>
      <c r="AH112" s="278" t="inlineStr">
        <is>
          <t>NI</t>
        </is>
      </c>
      <c r="AI112" s="278" t="inlineStr">
        <is>
          <t>NI</t>
        </is>
      </c>
      <c r="AJ112" s="278" t="n"/>
      <c r="AK112" s="278" t="n"/>
      <c r="AL112" s="278" t="n"/>
      <c r="AM112" s="278" t="n"/>
      <c r="AN112" s="278" t="inlineStr">
        <is>
          <t>Ampliação</t>
        </is>
      </c>
      <c r="AO112" s="278" t="inlineStr">
        <is>
          <t>Diagnóstico</t>
        </is>
      </c>
      <c r="AP112" s="278" t="n"/>
      <c r="AQ112" s="278" t="n"/>
      <c r="AR112" s="366" t="n"/>
      <c r="AS112" s="356" t="n"/>
      <c r="AT112" s="356" t="n"/>
      <c r="AU112" s="356" t="n"/>
      <c r="AV112" s="356" t="n"/>
      <c r="AW112" s="356" t="n"/>
      <c r="AX112" s="356" t="n"/>
      <c r="AY112" s="356" t="n"/>
      <c r="AZ112" s="356" t="n"/>
      <c r="BA112" s="356" t="n"/>
      <c r="BB112" s="356" t="n"/>
      <c r="BC112" s="356" t="n"/>
      <c r="BD112" s="356" t="n"/>
      <c r="BE112" s="278" t="n"/>
      <c r="BF112" s="356" t="n"/>
      <c r="BG112" s="356" t="n"/>
      <c r="BH112" s="356" t="n"/>
      <c r="BI112" s="356" t="n"/>
      <c r="BJ112" s="356" t="n"/>
      <c r="BK112" s="356" t="n"/>
      <c r="BL112" s="356" t="n"/>
      <c r="BM112" s="356" t="n"/>
      <c r="BN112" s="356" t="n"/>
      <c r="BO112" s="356" t="n"/>
      <c r="BP112" s="356" t="n"/>
      <c r="BQ112" s="356" t="n"/>
    </row>
    <row r="113" ht="30.75" customFormat="1" customHeight="1" s="476">
      <c r="A113" s="278" t="inlineStr">
        <is>
          <t>SUL</t>
        </is>
      </c>
      <c r="B113" s="331" t="inlineStr">
        <is>
          <t>RS</t>
        </is>
      </c>
      <c r="C113" s="331" t="inlineStr">
        <is>
          <t>PORTO ALEGRE</t>
        </is>
      </c>
      <c r="D113" s="334" t="inlineStr">
        <is>
          <t>IRMANDADE DA SANTA CASA DE MISERICORDIA DE PORTO ALEGRE</t>
        </is>
      </c>
      <c r="E113" s="352" t="inlineStr">
        <is>
          <t>92815000000168</t>
        </is>
      </c>
      <c r="F113" s="519" t="inlineStr">
        <is>
          <t>2237253</t>
        </is>
      </c>
      <c r="G113" s="520" t="inlineStr">
        <is>
          <t>Transferegov/SEI</t>
        </is>
      </c>
      <c r="H113" s="520" t="inlineStr">
        <is>
          <t>Convênio</t>
        </is>
      </c>
      <c r="I113" s="331" t="n">
        <v>949404</v>
      </c>
      <c r="J113" s="519" t="n">
        <v>99281523005</v>
      </c>
      <c r="K113" s="278" t="inlineStr">
        <is>
          <t>25000.155329/2023-32</t>
        </is>
      </c>
      <c r="L113" s="278" t="inlineStr">
        <is>
          <t>HOSPITAL DE ALTA COMPLEXIDADE</t>
        </is>
      </c>
      <c r="M113" s="278" t="n">
        <v>1</v>
      </c>
      <c r="N113" s="331" t="n">
        <v>2023</v>
      </c>
      <c r="O113" s="278" t="n">
        <v>1</v>
      </c>
      <c r="P113" s="333" t="inlineStr">
        <is>
          <t xml:space="preserve"> UND</t>
        </is>
      </c>
      <c r="Q113" s="278" t="inlineStr">
        <is>
          <t>011251-Gama Probe</t>
        </is>
      </c>
      <c r="R113" s="354" t="n">
        <v>45259</v>
      </c>
      <c r="S113" s="354" t="n">
        <v>46387</v>
      </c>
      <c r="T113" s="354" t="n">
        <v>46447</v>
      </c>
      <c r="U113" s="356" t="n"/>
      <c r="V113" s="355" t="n">
        <v>200000</v>
      </c>
      <c r="W113" s="355" t="n">
        <v>165000</v>
      </c>
      <c r="X113" s="355" t="n">
        <v>0</v>
      </c>
      <c r="Y113" s="520" t="inlineStr">
        <is>
          <t>NI</t>
        </is>
      </c>
      <c r="Z113" s="354" t="n">
        <v>45807</v>
      </c>
      <c r="AA113" s="356" t="n"/>
      <c r="AB113" s="520" t="inlineStr">
        <is>
          <t>NI</t>
        </is>
      </c>
      <c r="AC113" s="520" t="inlineStr">
        <is>
          <t>NI</t>
        </is>
      </c>
      <c r="AD113" s="356" t="n"/>
      <c r="AE113" s="520" t="inlineStr">
        <is>
          <t xml:space="preserve"> NA</t>
        </is>
      </c>
      <c r="AF113" s="278" t="inlineStr">
        <is>
          <t>EM EXECUÇÃO</t>
        </is>
      </c>
      <c r="AG113" s="278" t="inlineStr">
        <is>
          <t>NI</t>
        </is>
      </c>
      <c r="AH113" s="278" t="inlineStr">
        <is>
          <t>NI</t>
        </is>
      </c>
      <c r="AI113" s="278" t="inlineStr">
        <is>
          <t>NI</t>
        </is>
      </c>
      <c r="AJ113" s="278" t="n"/>
      <c r="AK113" s="278" t="n"/>
      <c r="AL113" s="278" t="n"/>
      <c r="AM113" s="278" t="n"/>
      <c r="AN113" s="278" t="inlineStr">
        <is>
          <t>Substituição</t>
        </is>
      </c>
      <c r="AO113" s="278" t="inlineStr">
        <is>
          <t>Rastreamento</t>
        </is>
      </c>
      <c r="AP113" s="278" t="n"/>
      <c r="AQ113" s="278" t="n"/>
      <c r="AR113" s="366" t="n"/>
      <c r="AS113" s="356" t="n"/>
      <c r="AT113" s="356" t="n"/>
      <c r="AU113" s="356" t="n"/>
      <c r="AV113" s="356" t="n"/>
      <c r="AW113" s="356" t="n"/>
      <c r="AX113" s="356" t="n"/>
      <c r="AY113" s="356" t="n"/>
      <c r="AZ113" s="356" t="n"/>
      <c r="BA113" s="356" t="n"/>
      <c r="BB113" s="356" t="n"/>
      <c r="BC113" s="356" t="n"/>
      <c r="BD113" s="356" t="n"/>
      <c r="BE113" s="278" t="n"/>
      <c r="BF113" s="356" t="n"/>
      <c r="BG113" s="356" t="n"/>
      <c r="BH113" s="356" t="n"/>
      <c r="BI113" s="356" t="n"/>
      <c r="BJ113" s="356" t="n"/>
      <c r="BK113" s="356" t="n"/>
      <c r="BL113" s="356" t="n"/>
      <c r="BM113" s="356" t="n"/>
      <c r="BN113" s="356" t="n"/>
      <c r="BO113" s="356" t="n"/>
      <c r="BP113" s="356" t="n"/>
      <c r="BQ113" s="356" t="n"/>
    </row>
    <row r="114" ht="22.5" customFormat="1" customHeight="1" s="476">
      <c r="A114" s="278" t="inlineStr">
        <is>
          <t>SUDESTE</t>
        </is>
      </c>
      <c r="B114" s="331" t="inlineStr">
        <is>
          <t>SP</t>
        </is>
      </c>
      <c r="C114" s="331" t="inlineStr">
        <is>
          <t>BARRETOS</t>
        </is>
      </c>
      <c r="D114" s="278" t="inlineStr">
        <is>
          <t>FUNDACAO PIO XII BARRETOS</t>
        </is>
      </c>
      <c r="E114" s="352" t="inlineStr">
        <is>
          <t>49150352000112</t>
        </is>
      </c>
      <c r="F114" s="519" t="inlineStr">
        <is>
          <t>2090236</t>
        </is>
      </c>
      <c r="G114" s="520" t="inlineStr">
        <is>
          <t>Transferegov/SEI</t>
        </is>
      </c>
      <c r="H114" s="520" t="inlineStr">
        <is>
          <t>Convênio</t>
        </is>
      </c>
      <c r="I114" s="331" t="n">
        <v>947256</v>
      </c>
      <c r="J114" s="519" t="n">
        <v>94915023004</v>
      </c>
      <c r="K114" s="278" t="inlineStr">
        <is>
          <t>25000.130349/2023-09</t>
        </is>
      </c>
      <c r="L114" s="278" t="inlineStr">
        <is>
          <t>HOSPITAL DE ALTA COMPLEXIDADE</t>
        </is>
      </c>
      <c r="M114" s="278" t="n">
        <v>8</v>
      </c>
      <c r="N114" s="331" t="n">
        <v>2023</v>
      </c>
      <c r="O114" s="278" t="inlineStr">
        <is>
          <t>NA</t>
        </is>
      </c>
      <c r="P114" s="278" t="inlineStr">
        <is>
          <t>UND</t>
        </is>
      </c>
      <c r="Q114" s="278" t="inlineStr">
        <is>
          <t>NA</t>
        </is>
      </c>
      <c r="R114" s="354" t="n">
        <v>45244</v>
      </c>
      <c r="S114" s="354" t="n">
        <v>46245</v>
      </c>
      <c r="T114" s="354" t="n">
        <v>46305</v>
      </c>
      <c r="U114" s="356" t="n"/>
      <c r="V114" s="355" t="n">
        <v>999538</v>
      </c>
      <c r="W114" s="355" t="n">
        <v>0</v>
      </c>
      <c r="X114" s="355" t="n">
        <v>0</v>
      </c>
      <c r="Y114" s="278" t="inlineStr">
        <is>
          <t>NI</t>
        </is>
      </c>
      <c r="Z114" s="354" t="inlineStr">
        <is>
          <t>NA</t>
        </is>
      </c>
      <c r="AA114" s="356" t="n"/>
      <c r="AB114" s="278" t="inlineStr">
        <is>
          <t>NI</t>
        </is>
      </c>
      <c r="AC114" s="278" t="inlineStr">
        <is>
          <t>NA</t>
        </is>
      </c>
      <c r="AD114" s="356" t="n"/>
      <c r="AE114" s="520" t="inlineStr">
        <is>
          <t xml:space="preserve"> NA</t>
        </is>
      </c>
      <c r="AF114" s="278" t="inlineStr">
        <is>
          <t>EM EXECUÇÃO</t>
        </is>
      </c>
      <c r="AG114" s="278" t="inlineStr">
        <is>
          <t>NI</t>
        </is>
      </c>
      <c r="AH114" s="278" t="inlineStr">
        <is>
          <t>NI</t>
        </is>
      </c>
      <c r="AI114" s="278" t="inlineStr">
        <is>
          <t>NI</t>
        </is>
      </c>
      <c r="AJ114" s="278" t="inlineStr">
        <is>
          <t>NI</t>
        </is>
      </c>
      <c r="AK114" s="278" t="inlineStr">
        <is>
          <t>NI</t>
        </is>
      </c>
      <c r="AL114" s="278" t="n"/>
      <c r="AM114" s="278" t="inlineStr">
        <is>
          <t>Não iniciado</t>
        </is>
      </c>
      <c r="AN114" s="278" t="inlineStr">
        <is>
          <t>Substituição</t>
        </is>
      </c>
      <c r="AO114" s="278" t="inlineStr">
        <is>
          <t>Vários</t>
        </is>
      </c>
      <c r="AP114" s="278" t="n"/>
      <c r="AQ114" s="278" t="n"/>
      <c r="AR114" s="366" t="n"/>
      <c r="AS114" s="356" t="n"/>
      <c r="AT114" s="356" t="n"/>
      <c r="AU114" s="356" t="n"/>
      <c r="AV114" s="356" t="n"/>
      <c r="AW114" s="356" t="n"/>
      <c r="AX114" s="356" t="n"/>
      <c r="AY114" s="356" t="n"/>
      <c r="AZ114" s="356" t="n"/>
      <c r="BA114" s="356" t="n"/>
      <c r="BB114" s="356" t="n"/>
      <c r="BC114" s="356" t="n"/>
      <c r="BD114" s="356" t="n"/>
      <c r="BE114" s="278" t="inlineStr">
        <is>
          <t>NI</t>
        </is>
      </c>
      <c r="BF114" s="356" t="n"/>
      <c r="BG114" s="356" t="n"/>
      <c r="BH114" s="356" t="n"/>
      <c r="BI114" s="356" t="n"/>
      <c r="BJ114" s="356" t="n"/>
      <c r="BK114" s="356" t="n"/>
      <c r="BL114" s="356" t="n"/>
      <c r="BM114" s="356" t="n"/>
      <c r="BN114" s="356" t="n"/>
      <c r="BO114" s="356" t="n"/>
      <c r="BP114" s="356" t="n"/>
      <c r="BQ114" s="356" t="n"/>
    </row>
    <row r="115" ht="27" customHeight="1">
      <c r="A115" s="258" t="inlineStr">
        <is>
          <t>SUDESTE</t>
        </is>
      </c>
      <c r="B115" s="518" t="inlineStr">
        <is>
          <t>SP</t>
        </is>
      </c>
      <c r="C115" s="518" t="inlineStr">
        <is>
          <t>BARRETOS</t>
        </is>
      </c>
      <c r="D115" s="258" t="inlineStr">
        <is>
          <t>FUNDACAO PIO XII BARRETOS</t>
        </is>
      </c>
      <c r="E115" s="390" t="inlineStr">
        <is>
          <t>49150352000112</t>
        </is>
      </c>
      <c r="F115" s="517" t="inlineStr">
        <is>
          <t>2090236</t>
        </is>
      </c>
      <c r="G115" s="534" t="inlineStr">
        <is>
          <t>Transferegov/SEI</t>
        </is>
      </c>
      <c r="H115" s="534" t="inlineStr">
        <is>
          <t>Convênio</t>
        </is>
      </c>
      <c r="I115" s="518" t="n">
        <v>947256</v>
      </c>
      <c r="J115" s="517" t="n">
        <v>94915023004</v>
      </c>
      <c r="K115" s="258" t="inlineStr">
        <is>
          <t>25000.130349/2023-09</t>
        </is>
      </c>
      <c r="L115" s="258" t="inlineStr">
        <is>
          <t>HOSPITAL DE ALTA COMPLEXIDADE</t>
        </is>
      </c>
      <c r="M115" s="258" t="inlineStr">
        <is>
          <t>NA</t>
        </is>
      </c>
      <c r="N115" s="518" t="n">
        <v>2023</v>
      </c>
      <c r="O115" s="258" t="n">
        <v>1</v>
      </c>
      <c r="P115" s="258" t="inlineStr">
        <is>
          <t>UND</t>
        </is>
      </c>
      <c r="Q115" s="258" t="inlineStr">
        <is>
          <t>011251-Gama Probe</t>
        </is>
      </c>
      <c r="R115" s="391" t="n">
        <v>45244</v>
      </c>
      <c r="S115" s="391" t="n">
        <v>46245</v>
      </c>
      <c r="T115" s="391" t="n">
        <v>46305</v>
      </c>
      <c r="U115" s="138" t="n"/>
      <c r="V115" s="392" t="n">
        <v>999538</v>
      </c>
      <c r="W115" s="258" t="inlineStr">
        <is>
          <t>NA</t>
        </is>
      </c>
      <c r="X115" s="347" t="inlineStr">
        <is>
          <t>NA</t>
        </is>
      </c>
      <c r="Y115" s="258" t="inlineStr">
        <is>
          <t>NI</t>
        </is>
      </c>
      <c r="Z115" s="391" t="inlineStr">
        <is>
          <t>NA</t>
        </is>
      </c>
      <c r="AA115" s="138" t="n"/>
      <c r="AB115" s="258" t="inlineStr">
        <is>
          <t>NI</t>
        </is>
      </c>
      <c r="AC115" s="258" t="inlineStr">
        <is>
          <t>NI</t>
        </is>
      </c>
      <c r="AD115" s="138" t="n"/>
      <c r="AE115" s="534" t="inlineStr">
        <is>
          <t xml:space="preserve"> NA</t>
        </is>
      </c>
      <c r="AF115" s="186" t="inlineStr">
        <is>
          <t>EM EXECUÇÃO</t>
        </is>
      </c>
      <c r="AG115" s="186" t="inlineStr">
        <is>
          <t>NI</t>
        </is>
      </c>
      <c r="AH115" s="186" t="inlineStr">
        <is>
          <t>NI</t>
        </is>
      </c>
      <c r="AI115" s="258" t="inlineStr">
        <is>
          <t>NI</t>
        </is>
      </c>
      <c r="AJ115" s="258" t="inlineStr">
        <is>
          <t>NI</t>
        </is>
      </c>
      <c r="AK115" s="258" t="inlineStr">
        <is>
          <t>NI</t>
        </is>
      </c>
      <c r="AL115" s="258" t="n"/>
      <c r="AM115" s="258" t="inlineStr">
        <is>
          <t>Não iniciado</t>
        </is>
      </c>
      <c r="AN115" s="258" t="inlineStr">
        <is>
          <t>Substituição</t>
        </is>
      </c>
      <c r="AO115" s="258" t="inlineStr">
        <is>
          <t>Rastreamento</t>
        </is>
      </c>
      <c r="AP115" s="258" t="n"/>
      <c r="AQ115" s="258" t="n"/>
      <c r="AR115" s="357" t="n"/>
      <c r="AS115" s="138" t="n"/>
      <c r="AT115" s="138" t="n"/>
      <c r="AU115" s="138" t="n"/>
      <c r="AV115" s="138" t="n"/>
      <c r="AW115" s="138" t="n"/>
      <c r="AX115" s="138" t="n"/>
      <c r="AY115" s="138" t="n"/>
      <c r="AZ115" s="138" t="n"/>
      <c r="BA115" s="138" t="n"/>
      <c r="BB115" s="138" t="n"/>
      <c r="BC115" s="138" t="n"/>
      <c r="BD115" s="138" t="n"/>
      <c r="BE115" s="258" t="inlineStr">
        <is>
          <t>NI</t>
        </is>
      </c>
      <c r="BF115" s="138" t="n"/>
      <c r="BG115" s="138" t="n"/>
      <c r="BH115" s="138" t="n"/>
      <c r="BI115" s="138" t="n"/>
      <c r="BJ115" s="138" t="n"/>
      <c r="BK115" s="138" t="n"/>
      <c r="BL115" s="138" t="n"/>
      <c r="BM115" s="138" t="n"/>
      <c r="BN115" s="138" t="n"/>
      <c r="BO115" s="138" t="n"/>
      <c r="BP115" s="138" t="n"/>
      <c r="BQ115" s="138" t="n"/>
    </row>
    <row r="116" ht="30.75" customFormat="1" customHeight="1" s="387">
      <c r="A116" s="387" t="inlineStr">
        <is>
          <t>NORDESTE</t>
        </is>
      </c>
      <c r="B116" s="387" t="inlineStr">
        <is>
          <t>PB</t>
        </is>
      </c>
      <c r="C116" s="389" t="inlineStr">
        <is>
          <t>JOÃO PESSOA</t>
        </is>
      </c>
      <c r="D116" s="386" t="inlineStr">
        <is>
          <t>FUNDACAO NAPOLEAO LAUREANO</t>
        </is>
      </c>
      <c r="E116" s="464" t="inlineStr">
        <is>
          <t>09.112.236/0001-94</t>
        </is>
      </c>
      <c r="F116" s="386" t="inlineStr">
        <is>
          <t xml:space="preserve">2399741
</t>
        </is>
      </c>
      <c r="G116" s="387" t="inlineStr">
        <is>
          <t>Transferegov/SEI</t>
        </is>
      </c>
      <c r="H116" s="387" t="inlineStr">
        <is>
          <t>Convênio</t>
        </is>
      </c>
      <c r="I116" s="389" t="n">
        <v>985653</v>
      </c>
      <c r="J116" s="464" t="n"/>
      <c r="K116" s="388" t="inlineStr">
        <is>
          <t>25000.198475/2025-14</t>
        </is>
      </c>
      <c r="N116" s="387" t="n">
        <v>2025</v>
      </c>
      <c r="R116" s="468" t="n"/>
      <c r="S116" s="468" t="n"/>
      <c r="T116" s="468" t="n"/>
      <c r="U116" s="300" t="n"/>
      <c r="V116" s="327" t="n">
        <v>180</v>
      </c>
      <c r="W116" s="466" t="n"/>
      <c r="X116" s="300" t="n"/>
      <c r="Z116" s="468" t="n"/>
      <c r="AD116" s="300" t="n"/>
      <c r="AF116" s="83" t="inlineStr">
        <is>
          <t>EM EXECUÇÃO</t>
        </is>
      </c>
      <c r="AG116" s="83" t="n"/>
      <c r="AH116" s="83" t="n"/>
      <c r="AI116" s="516" t="n"/>
      <c r="AJ116" s="387" t="inlineStr">
        <is>
          <t>Leonardo Barsante</t>
        </is>
      </c>
      <c r="AO116" s="387" t="inlineStr">
        <is>
          <t>Tratamento</t>
        </is>
      </c>
      <c r="AU116" s="468" t="n"/>
      <c r="AV116" s="468" t="n"/>
      <c r="AW116" s="468" t="n"/>
      <c r="AX116" s="468" t="n"/>
      <c r="AY116" s="468" t="n"/>
      <c r="AZ116" s="468" t="n"/>
      <c r="BA116" s="83" t="n"/>
      <c r="BB116" s="83" t="n"/>
      <c r="BC116" s="83" t="n"/>
      <c r="BE116" s="467" t="n"/>
      <c r="BG116" s="83" t="n"/>
      <c r="BH116" s="83" t="n"/>
      <c r="BI116" s="83" t="n"/>
      <c r="BJ116" s="83" t="n"/>
      <c r="BK116" s="83" t="n"/>
      <c r="BM116" s="141" t="n"/>
      <c r="BN116" s="83" t="n"/>
      <c r="BO116" s="83" t="n"/>
      <c r="BP116" s="83" t="n"/>
      <c r="BQ116" s="83" t="n"/>
    </row>
    <row r="117" ht="45.75" customFormat="1" customHeight="1" s="387">
      <c r="A117" s="469" t="inlineStr">
        <is>
          <t>CENTRO-OESTE</t>
        </is>
      </c>
      <c r="B117" s="387" t="inlineStr">
        <is>
          <t>DF</t>
        </is>
      </c>
      <c r="C117" s="387" t="inlineStr">
        <is>
          <t>BRASILIA</t>
        </is>
      </c>
      <c r="D117" s="386" t="inlineStr">
        <is>
          <t xml:space="preserve">FUNDACAO UNIVERSIDADE DE BRASILIA
</t>
        </is>
      </c>
      <c r="E117" s="464" t="inlineStr">
        <is>
          <t>00.038.174/0006-58</t>
        </is>
      </c>
      <c r="F117" s="386" t="inlineStr">
        <is>
          <t xml:space="preserve">0010510
</t>
        </is>
      </c>
      <c r="G117" s="387" t="inlineStr">
        <is>
          <t>Transferegov/SEI</t>
        </is>
      </c>
      <c r="H117" s="387" t="inlineStr">
        <is>
          <t>TED</t>
        </is>
      </c>
      <c r="I117" s="389" t="inlineStr">
        <is>
          <t>25000.175998/2020-88</t>
        </is>
      </c>
      <c r="J117" s="459" t="inlineStr">
        <is>
          <t>715126/20-014</t>
        </is>
      </c>
      <c r="K117" s="389" t="inlineStr">
        <is>
          <t>25000.175998/2020-88</t>
        </is>
      </c>
      <c r="M117" s="387" t="n">
        <v>1</v>
      </c>
      <c r="N117" s="387" t="n">
        <v>2020</v>
      </c>
      <c r="O117" s="387" t="n">
        <v>1</v>
      </c>
      <c r="P117" s="387" t="inlineStr">
        <is>
          <t>und</t>
        </is>
      </c>
      <c r="Q117" s="387" t="inlineStr">
        <is>
          <t>Braquiterapia com sistema de controle remoto</t>
        </is>
      </c>
      <c r="R117" s="468" t="n"/>
      <c r="S117" s="468" t="n"/>
      <c r="T117" s="468" t="n"/>
      <c r="U117" s="300" t="n"/>
      <c r="V117" s="466" t="inlineStr">
        <is>
          <t>2.000.000,00</t>
        </is>
      </c>
      <c r="W117" s="466" t="inlineStr">
        <is>
          <t>1.575.869,12</t>
        </is>
      </c>
      <c r="X117" s="300" t="n">
        <v>0</v>
      </c>
      <c r="Z117" s="468" t="n"/>
      <c r="AD117" s="300" t="n"/>
      <c r="AF117" s="83" t="n"/>
      <c r="AG117" s="83" t="n"/>
      <c r="AH117" s="83" t="n"/>
      <c r="AI117" s="516" t="n"/>
      <c r="AJ117" s="387" t="inlineStr">
        <is>
          <t>Leonardo Barsante</t>
        </is>
      </c>
      <c r="AO117" s="387" t="inlineStr">
        <is>
          <t>Tratamento</t>
        </is>
      </c>
      <c r="AU117" s="468" t="n"/>
      <c r="AV117" s="468" t="n"/>
      <c r="AW117" s="468" t="n"/>
      <c r="AX117" s="468" t="n"/>
      <c r="AY117" s="468" t="n"/>
      <c r="AZ117" s="468" t="n"/>
      <c r="BA117" s="83" t="n"/>
      <c r="BB117" s="83" t="n"/>
      <c r="BC117" s="83" t="n"/>
      <c r="BE117" s="467" t="n"/>
      <c r="BG117" s="83" t="n"/>
      <c r="BH117" s="83" t="n"/>
      <c r="BI117" s="83" t="n"/>
      <c r="BJ117" s="83" t="n"/>
      <c r="BK117" s="83" t="n"/>
      <c r="BM117" s="141" t="n"/>
      <c r="BN117" s="83" t="n"/>
      <c r="BO117" s="83" t="n"/>
      <c r="BP117" s="83" t="n"/>
      <c r="BQ117" s="83" t="n"/>
    </row>
    <row r="118" ht="30.75" customFormat="1" customHeight="1" s="475">
      <c r="A118" s="440" t="inlineStr">
        <is>
          <t>SUL</t>
        </is>
      </c>
      <c r="B118" s="440" t="inlineStr">
        <is>
          <t xml:space="preserve">SC </t>
        </is>
      </c>
      <c r="C118" s="439" t="inlineStr">
        <is>
          <t xml:space="preserve">FLORIANOPOLIS
</t>
        </is>
      </c>
      <c r="D118" s="440" t="inlineStr">
        <is>
          <t>CEPONSC</t>
        </is>
      </c>
      <c r="E118" s="515" t="inlineStr">
        <is>
          <t>82.951.245/0023-74</t>
        </is>
      </c>
      <c r="F118" s="439" t="inlineStr">
        <is>
          <t xml:space="preserve">0019445
</t>
        </is>
      </c>
      <c r="G118" s="440" t="inlineStr">
        <is>
          <t>SEI</t>
        </is>
      </c>
      <c r="H118" s="440" t="inlineStr">
        <is>
          <t>FAF</t>
        </is>
      </c>
      <c r="I118" s="441" t="inlineStr">
        <is>
          <t>25000.087502/2026-13</t>
        </is>
      </c>
      <c r="J118" s="515" t="inlineStr">
        <is>
          <t>80673411000125024</t>
        </is>
      </c>
      <c r="K118" s="441" t="inlineStr">
        <is>
          <t>25000.087502/2026-13</t>
        </is>
      </c>
      <c r="L118" s="440" t="n"/>
      <c r="M118" s="440" t="n">
        <v>4</v>
      </c>
      <c r="N118" s="440" t="n">
        <v>2025</v>
      </c>
      <c r="O118" s="440" t="inlineStr">
        <is>
          <t>NA</t>
        </is>
      </c>
      <c r="P118" s="440" t="inlineStr">
        <is>
          <t>UND</t>
        </is>
      </c>
      <c r="Q118" s="440" t="inlineStr">
        <is>
          <t>Braquiterapia</t>
        </is>
      </c>
      <c r="R118" s="514" t="inlineStr">
        <is>
          <t>29/12/2025</t>
        </is>
      </c>
      <c r="S118" s="514" t="inlineStr">
        <is>
          <t>13/02/2028</t>
        </is>
      </c>
      <c r="T118" s="514" t="n"/>
      <c r="U118" s="513" t="n"/>
      <c r="V118" s="512" t="inlineStr">
        <is>
          <t>2.200.000,00</t>
        </is>
      </c>
      <c r="W118" s="512" t="inlineStr">
        <is>
          <t>2.200.000,00</t>
        </is>
      </c>
      <c r="X118" s="513" t="n">
        <v>0</v>
      </c>
      <c r="Y118" s="440" t="n"/>
      <c r="Z118" s="514" t="inlineStr">
        <is>
          <t>13/02/2026</t>
        </is>
      </c>
      <c r="AA118" s="440" t="inlineStr">
        <is>
          <t>NI</t>
        </is>
      </c>
      <c r="AB118" s="440" t="inlineStr">
        <is>
          <t>NI</t>
        </is>
      </c>
      <c r="AC118" s="440" t="inlineStr">
        <is>
          <t>NI</t>
        </is>
      </c>
      <c r="AD118" s="513" t="n"/>
      <c r="AE118" s="440" t="n"/>
      <c r="AF118" s="476" t="n"/>
      <c r="AG118" s="476" t="n"/>
      <c r="AH118" s="476" t="n"/>
      <c r="AI118" s="511" t="n"/>
      <c r="AJ118" s="440" t="inlineStr">
        <is>
          <t>Leonardo Barsante</t>
        </is>
      </c>
      <c r="AK118" s="440" t="inlineStr">
        <is>
          <t>BRUNA</t>
        </is>
      </c>
      <c r="AL118" s="440" t="n"/>
      <c r="AM118" s="440" t="inlineStr">
        <is>
          <t>Iniciado</t>
        </is>
      </c>
      <c r="AN118" s="440" t="inlineStr">
        <is>
          <t>NA</t>
        </is>
      </c>
      <c r="AO118" s="440" t="inlineStr">
        <is>
          <t>Vários</t>
        </is>
      </c>
      <c r="AP118" s="440" t="n"/>
      <c r="AQ118" s="440" t="n"/>
      <c r="AR118" s="440" t="inlineStr">
        <is>
          <t>Acusou o recebimento do ofício 222 em 24/8/26</t>
        </is>
      </c>
      <c r="AS118" s="440" t="n"/>
      <c r="AT118" s="440" t="n"/>
      <c r="AU118" s="514" t="n"/>
      <c r="AV118" s="514" t="n"/>
      <c r="AW118" s="514" t="n"/>
      <c r="AX118" s="514" t="n"/>
      <c r="AY118" s="514" t="n"/>
      <c r="AZ118" s="514" t="n"/>
      <c r="BA118" s="476" t="n"/>
      <c r="BB118" s="476" t="n"/>
      <c r="BC118" s="476" t="n"/>
      <c r="BD118" s="440" t="n"/>
      <c r="BE118" s="510" t="n"/>
      <c r="BF118" s="440" t="n"/>
      <c r="BG118" s="474" t="n"/>
      <c r="BH118" s="474" t="n"/>
      <c r="BI118" s="474" t="n"/>
      <c r="BJ118" s="474" t="n"/>
      <c r="BK118" s="474" t="n"/>
      <c r="BM118" s="509" t="n"/>
      <c r="BN118" s="474" t="n"/>
      <c r="BO118" s="474" t="n"/>
      <c r="BP118" s="474" t="n"/>
      <c r="BQ118" s="474" t="n"/>
    </row>
    <row r="119" ht="30.75" customFormat="1" customHeight="1" s="474">
      <c r="A119" s="442" t="n"/>
      <c r="B119" s="442" t="inlineStr">
        <is>
          <t xml:space="preserve">SC </t>
        </is>
      </c>
      <c r="C119" s="258" t="inlineStr">
        <is>
          <t xml:space="preserve">FLORIANOPOLIS
</t>
        </is>
      </c>
      <c r="D119" s="442" t="inlineStr">
        <is>
          <t>CEPONSC</t>
        </is>
      </c>
      <c r="E119" s="508" t="inlineStr">
        <is>
          <t>82.951.245/0023-74</t>
        </is>
      </c>
      <c r="F119" s="258" t="inlineStr">
        <is>
          <t xml:space="preserve">0019445
</t>
        </is>
      </c>
      <c r="G119" s="442" t="inlineStr">
        <is>
          <t>NA</t>
        </is>
      </c>
      <c r="H119" s="442" t="inlineStr">
        <is>
          <t>FAF</t>
        </is>
      </c>
      <c r="I119" s="206" t="inlineStr">
        <is>
          <t>25000.087502/2026-13</t>
        </is>
      </c>
      <c r="J119" s="508" t="inlineStr">
        <is>
          <t>80673411000125024</t>
        </is>
      </c>
      <c r="K119" s="206" t="inlineStr">
        <is>
          <t>25000.087502/2026-13</t>
        </is>
      </c>
      <c r="L119" s="442" t="n"/>
      <c r="M119" s="442" t="inlineStr">
        <is>
          <t>NA</t>
        </is>
      </c>
      <c r="N119" s="442" t="n">
        <v>2025</v>
      </c>
      <c r="O119" s="442" t="n">
        <v>1</v>
      </c>
      <c r="P119" s="442" t="inlineStr">
        <is>
          <t>UND</t>
        </is>
      </c>
      <c r="Q119" s="442" t="inlineStr">
        <is>
          <t>Braquiterapia</t>
        </is>
      </c>
      <c r="R119" s="507" t="inlineStr">
        <is>
          <t>29/12/2025</t>
        </is>
      </c>
      <c r="S119" s="507" t="inlineStr">
        <is>
          <t>13/02/2028</t>
        </is>
      </c>
      <c r="T119" s="507" t="n"/>
      <c r="U119" s="506" t="n"/>
      <c r="V119" s="505" t="inlineStr">
        <is>
          <t>NA</t>
        </is>
      </c>
      <c r="W119" s="505" t="inlineStr">
        <is>
          <t>NA</t>
        </is>
      </c>
      <c r="X119" s="506" t="inlineStr">
        <is>
          <t>NA</t>
        </is>
      </c>
      <c r="Y119" s="442" t="n"/>
      <c r="Z119" s="507" t="inlineStr">
        <is>
          <t>13/02/2026</t>
        </is>
      </c>
      <c r="AA119" s="442" t="inlineStr">
        <is>
          <t>NI</t>
        </is>
      </c>
      <c r="AB119" s="442" t="inlineStr">
        <is>
          <t>NI</t>
        </is>
      </c>
      <c r="AC119" s="442" t="inlineStr">
        <is>
          <t>NI</t>
        </is>
      </c>
      <c r="AD119" s="506" t="n"/>
      <c r="AE119" s="442" t="n"/>
      <c r="AF119" s="477" t="n"/>
      <c r="AG119" s="477" t="n"/>
      <c r="AH119" s="477" t="n"/>
      <c r="AI119" s="504" t="n"/>
      <c r="AJ119" s="442" t="inlineStr">
        <is>
          <t>Leonardo Barsante</t>
        </is>
      </c>
      <c r="AK119" s="442" t="inlineStr">
        <is>
          <t>Bruna</t>
        </is>
      </c>
      <c r="AL119" s="442" t="n"/>
      <c r="AM119" s="442" t="inlineStr">
        <is>
          <t>Iniciado</t>
        </is>
      </c>
      <c r="AN119" s="442" t="inlineStr">
        <is>
          <t>Substituição</t>
        </is>
      </c>
      <c r="AO119" s="442" t="inlineStr">
        <is>
          <t>Tratamento</t>
        </is>
      </c>
      <c r="AP119" s="442" t="n"/>
      <c r="AQ119" s="442" t="n"/>
      <c r="AR119" s="442" t="n"/>
      <c r="AS119" s="442" t="n"/>
      <c r="AT119" s="442" t="n"/>
      <c r="AU119" s="507" t="n"/>
      <c r="AV119" s="507" t="n"/>
      <c r="AW119" s="507" t="n"/>
      <c r="AX119" s="507" t="n"/>
      <c r="AY119" s="507" t="n"/>
      <c r="AZ119" s="507" t="n"/>
      <c r="BA119" s="477" t="n"/>
      <c r="BB119" s="477" t="n"/>
      <c r="BC119" s="477" t="n"/>
      <c r="BD119" s="442" t="n"/>
      <c r="BE119" s="503" t="n"/>
      <c r="BF119" s="442" t="n"/>
      <c r="BL119" s="475" t="n"/>
      <c r="BM119" s="509" t="n"/>
    </row>
    <row r="120" ht="30.75" customFormat="1" customHeight="1" s="474">
      <c r="A120" s="38" t="inlineStr">
        <is>
          <t>NORTE</t>
        </is>
      </c>
      <c r="B120" s="38" t="inlineStr">
        <is>
          <t>PA</t>
        </is>
      </c>
      <c r="C120" s="38" t="inlineStr">
        <is>
          <t>BELÉM</t>
        </is>
      </c>
      <c r="D120" s="38" t="n"/>
      <c r="E120" s="502" t="n"/>
      <c r="F120" s="398" t="n">
        <v>2332981</v>
      </c>
      <c r="G120" s="38" t="inlineStr">
        <is>
          <t>Transferegov/SEI</t>
        </is>
      </c>
      <c r="H120" s="38" t="inlineStr">
        <is>
          <t>TED</t>
        </is>
      </c>
      <c r="I120" s="398" t="inlineStr">
        <is>
          <t>25000.217837/2025-83</t>
        </is>
      </c>
      <c r="J120" s="46" t="n"/>
      <c r="K120" s="398" t="inlineStr">
        <is>
          <t>25000.217837/2025-83</t>
        </is>
      </c>
      <c r="L120" s="38" t="n"/>
      <c r="M120" s="38" t="n"/>
      <c r="N120" s="38" t="n">
        <v>2025</v>
      </c>
      <c r="O120" s="38" t="n"/>
      <c r="P120" s="38" t="n"/>
      <c r="Q120" s="38" t="inlineStr">
        <is>
          <t>Braquiterapia</t>
        </is>
      </c>
      <c r="R120" s="338" t="n"/>
      <c r="S120" s="338" t="n"/>
      <c r="T120" s="338" t="n"/>
      <c r="U120" s="339" t="n"/>
      <c r="V120" s="339" t="n"/>
      <c r="W120" s="339" t="n"/>
      <c r="X120" s="339" t="n"/>
      <c r="Y120" s="38" t="n"/>
      <c r="Z120" s="338" t="n"/>
      <c r="AA120" s="38" t="n"/>
      <c r="AB120" s="38" t="n"/>
      <c r="AC120" s="38" t="n"/>
      <c r="AD120" s="339" t="n"/>
      <c r="AE120" s="38" t="n"/>
      <c r="AF120" s="38" t="n"/>
      <c r="AG120" s="38" t="n"/>
      <c r="AH120" s="38" t="n"/>
      <c r="AI120" s="501" t="n"/>
      <c r="AJ120" s="38" t="inlineStr">
        <is>
          <t>Leonardo Barsante</t>
        </is>
      </c>
      <c r="AK120" s="38" t="n"/>
      <c r="AL120" s="38" t="n"/>
      <c r="AM120" s="38" t="n"/>
      <c r="AN120" s="38" t="n"/>
      <c r="AO120" s="38" t="inlineStr">
        <is>
          <t>Tratamento</t>
        </is>
      </c>
      <c r="AP120" s="38" t="n"/>
      <c r="AQ120" s="38" t="n"/>
      <c r="AR120" s="38" t="inlineStr">
        <is>
          <t>Ver com a priscila</t>
        </is>
      </c>
      <c r="AS120" s="38" t="n"/>
      <c r="AT120" s="38" t="n"/>
      <c r="AU120" s="338" t="n"/>
      <c r="AV120" s="338" t="n"/>
      <c r="AW120" s="338" t="n"/>
      <c r="AX120" s="338" t="n"/>
      <c r="AY120" s="338" t="n"/>
      <c r="AZ120" s="338" t="n"/>
      <c r="BA120" s="38" t="n"/>
      <c r="BB120" s="38" t="n"/>
      <c r="BC120" s="38" t="n"/>
      <c r="BD120" s="38" t="n"/>
      <c r="BE120" s="396" t="n"/>
      <c r="BF120" s="38" t="n"/>
      <c r="BG120" s="38" t="n"/>
      <c r="BH120" s="38" t="n"/>
      <c r="BI120" s="38" t="n"/>
      <c r="BJ120" s="38" t="n"/>
      <c r="BK120" s="38" t="n"/>
      <c r="BL120" s="38" t="n"/>
      <c r="BM120" s="338" t="n"/>
      <c r="BN120" s="38" t="n"/>
      <c r="BO120" s="38" t="n"/>
      <c r="BP120" s="38" t="n"/>
      <c r="BQ120" s="38" t="n"/>
    </row>
    <row r="121" ht="30.75" customHeight="1">
      <c r="A121" s="399" t="inlineStr">
        <is>
          <t>SUDESTE</t>
        </is>
      </c>
      <c r="B121" s="399" t="inlineStr">
        <is>
          <t>MG</t>
        </is>
      </c>
      <c r="C121" s="447" t="inlineStr">
        <is>
          <t>ITUIUTABA</t>
        </is>
      </c>
      <c r="D121" s="463" t="inlineStr">
        <is>
          <t>UNIDADE MISTA CARLOS MODESTO DOS SANTOS</t>
        </is>
      </c>
      <c r="E121" s="462" t="inlineStr">
        <is>
          <t>97.529.530/0001-63</t>
        </is>
      </c>
      <c r="F121" s="133" t="n">
        <v>2194791</v>
      </c>
      <c r="G121" s="399" t="inlineStr">
        <is>
          <t>SEI</t>
        </is>
      </c>
      <c r="H121" s="399" t="inlineStr">
        <is>
          <t>FAF</t>
        </is>
      </c>
      <c r="I121" s="448" t="inlineStr">
        <is>
          <t>25000.083818/2026-28</t>
        </is>
      </c>
      <c r="J121" s="500" t="n"/>
      <c r="K121" s="448" t="inlineStr">
        <is>
          <t>25000.083818/2026-28</t>
        </is>
      </c>
      <c r="L121" s="399" t="n"/>
      <c r="M121" s="399" t="n">
        <v>1</v>
      </c>
      <c r="N121" s="399" t="n">
        <v>2023</v>
      </c>
      <c r="O121" s="399" t="n"/>
      <c r="P121" s="399" t="n"/>
      <c r="Q121" s="399" t="n"/>
      <c r="R121" s="711" t="n"/>
      <c r="S121" s="711" t="n"/>
      <c r="T121" s="711" t="n"/>
      <c r="U121" s="712" t="n"/>
      <c r="V121" s="712" t="n"/>
      <c r="W121" s="712" t="n"/>
      <c r="X121" s="712" t="n"/>
      <c r="Y121" s="399" t="n"/>
      <c r="Z121" s="711" t="n"/>
      <c r="AA121" s="399" t="n"/>
      <c r="AB121" s="399" t="n"/>
      <c r="AC121" s="399" t="n"/>
      <c r="AD121" s="712" t="n"/>
      <c r="AE121" s="399" t="n"/>
      <c r="AF121" s="399" t="n"/>
      <c r="AG121" s="399" t="n"/>
      <c r="AH121" s="399" t="n"/>
      <c r="AI121" s="499" t="n"/>
      <c r="AJ121" s="399" t="inlineStr">
        <is>
          <t>Leonardo Barsante</t>
        </is>
      </c>
      <c r="AK121" s="399" t="n"/>
      <c r="AL121" s="399" t="n"/>
      <c r="AM121" s="399" t="n"/>
      <c r="AN121" s="399" t="n"/>
      <c r="AO121" s="399" t="n"/>
      <c r="AP121" s="399" t="n"/>
      <c r="AQ121" s="399" t="n"/>
      <c r="AR121" s="399" t="inlineStr">
        <is>
          <t>Em 12/08/26 envio do parecer técnico</t>
        </is>
      </c>
      <c r="AS121" s="399" t="n"/>
      <c r="AT121" s="399" t="n"/>
      <c r="AU121" s="711" t="n"/>
      <c r="AV121" s="711" t="n"/>
      <c r="AW121" s="711" t="n"/>
      <c r="AX121" s="711" t="n"/>
      <c r="AY121" s="711" t="n"/>
      <c r="AZ121" s="711" t="n"/>
      <c r="BA121" s="399" t="n"/>
      <c r="BB121" s="399" t="n"/>
      <c r="BC121" s="399" t="n"/>
      <c r="BD121" s="399" t="n"/>
      <c r="BE121" s="498" t="n"/>
      <c r="BF121" s="399" t="n"/>
      <c r="BG121" s="399" t="n"/>
      <c r="BH121" s="399" t="n"/>
      <c r="BI121" s="399" t="n"/>
      <c r="BJ121" s="399" t="n"/>
      <c r="BK121" s="399" t="n"/>
      <c r="BL121" s="399" t="n"/>
      <c r="BM121" s="711" t="n"/>
      <c r="BN121" s="399" t="n"/>
      <c r="BO121" s="399" t="n"/>
      <c r="BP121" s="399" t="n"/>
      <c r="BQ121" s="399" t="n"/>
    </row>
    <row r="122" ht="30.75" customHeight="1">
      <c r="A122" s="32" t="inlineStr">
        <is>
          <t>CENTRO-OESTE</t>
        </is>
      </c>
      <c r="B122" s="32" t="inlineStr">
        <is>
          <t>MT</t>
        </is>
      </c>
      <c r="C122" s="71" t="inlineStr">
        <is>
          <t>ALTA FLORESTA</t>
        </is>
      </c>
      <c r="D122" s="178" t="inlineStr">
        <is>
          <t>AMBULATORIO DE ATENCAO SECUNDARIA</t>
        </is>
      </c>
      <c r="E122" s="133" t="inlineStr">
        <is>
          <t>15.023.906/0001-07</t>
        </is>
      </c>
      <c r="F122" s="98" t="inlineStr">
        <is>
          <t>6410308</t>
        </is>
      </c>
      <c r="G122" s="32" t="inlineStr">
        <is>
          <t>SEI</t>
        </is>
      </c>
      <c r="H122" s="32" t="inlineStr">
        <is>
          <t>FAF</t>
        </is>
      </c>
      <c r="I122" s="456" t="inlineStr">
        <is>
          <t>25000.083823/2026-31</t>
        </is>
      </c>
      <c r="J122" s="497" t="inlineStr">
        <is>
          <t>11241006000123009</t>
        </is>
      </c>
      <c r="K122" s="456" t="inlineStr">
        <is>
          <t>25000.083823/2026-31</t>
        </is>
      </c>
      <c r="L122" s="32" t="n"/>
      <c r="M122" s="32" t="n">
        <v>1</v>
      </c>
      <c r="N122" s="32" t="n">
        <v>2023</v>
      </c>
      <c r="O122" s="32" t="n">
        <v>1</v>
      </c>
      <c r="P122" s="32" t="inlineStr">
        <is>
          <t>UND</t>
        </is>
      </c>
      <c r="Q122" s="32" t="inlineStr">
        <is>
          <t>Mamógrafo</t>
        </is>
      </c>
      <c r="R122" s="103" t="inlineStr">
        <is>
          <t>17/11/2023</t>
        </is>
      </c>
      <c r="S122" s="103" t="inlineStr">
        <is>
          <t>26/12/2025</t>
        </is>
      </c>
      <c r="T122" s="103" t="n"/>
      <c r="U122" s="323" t="n"/>
      <c r="V122" s="323" t="inlineStr">
        <is>
          <t>R$ 899.994,00</t>
        </is>
      </c>
      <c r="W122" s="323" t="inlineStr">
        <is>
          <t>899.994,00</t>
        </is>
      </c>
      <c r="X122" s="323" t="n">
        <v>0</v>
      </c>
      <c r="Y122" s="32" t="n"/>
      <c r="Z122" s="103" t="inlineStr">
        <is>
          <t>26/12/2023</t>
        </is>
      </c>
      <c r="AA122" s="32" t="n"/>
      <c r="AB122" s="32" t="n"/>
      <c r="AC122" s="32" t="n"/>
      <c r="AD122" s="323" t="n"/>
      <c r="AE122" s="32" t="n"/>
      <c r="AF122" s="32" t="n"/>
      <c r="AG122" s="32" t="n"/>
      <c r="AH122" s="32" t="n"/>
      <c r="AI122" s="131" t="n"/>
      <c r="AJ122" s="399" t="inlineStr">
        <is>
          <t>Leonardo Barsante</t>
        </is>
      </c>
      <c r="AK122" s="32" t="inlineStr">
        <is>
          <t>Bruna</t>
        </is>
      </c>
      <c r="AL122" s="32" t="n"/>
      <c r="AM122" s="32" t="inlineStr">
        <is>
          <t>Iniciado</t>
        </is>
      </c>
      <c r="AN122" s="32" t="inlineStr">
        <is>
          <t>Ampliação</t>
        </is>
      </c>
      <c r="AO122" s="32" t="inlineStr">
        <is>
          <t>Rastreamento</t>
        </is>
      </c>
      <c r="AP122" s="32" t="n"/>
      <c r="AQ122" s="32" t="n"/>
      <c r="AR122" s="32" t="inlineStr">
        <is>
          <t>Ofício 292 recebido em 25/8/26</t>
        </is>
      </c>
      <c r="AS122" s="32" t="n"/>
      <c r="AT122" s="32" t="n"/>
      <c r="AU122" s="103" t="n"/>
      <c r="AV122" s="103" t="n"/>
      <c r="AW122" s="103" t="n"/>
      <c r="AX122" s="103" t="n"/>
      <c r="AY122" s="103" t="n"/>
      <c r="AZ122" s="103" t="n"/>
      <c r="BA122" s="32" t="n"/>
      <c r="BB122" s="32" t="n"/>
      <c r="BC122" s="32" t="n"/>
      <c r="BD122" s="32" t="n"/>
      <c r="BE122" s="72" t="n"/>
      <c r="BF122" s="32" t="n"/>
      <c r="BG122" s="32" t="n"/>
      <c r="BH122" s="32" t="n"/>
      <c r="BI122" s="32" t="n"/>
      <c r="BJ122" s="32" t="n"/>
      <c r="BK122" s="32" t="n"/>
      <c r="BL122" s="32" t="n"/>
      <c r="BM122" s="103" t="n"/>
      <c r="BN122" s="32" t="n"/>
      <c r="BO122" s="32" t="n"/>
      <c r="BP122" s="32" t="n"/>
      <c r="BQ122" s="32" t="n"/>
    </row>
    <row r="123" ht="30.75" customHeight="1">
      <c r="A123" s="432" t="inlineStr">
        <is>
          <t>Norte</t>
        </is>
      </c>
      <c r="B123" s="432" t="inlineStr">
        <is>
          <t>RO</t>
        </is>
      </c>
      <c r="C123" s="431" t="inlineStr">
        <is>
          <t>PORTO VELHO</t>
        </is>
      </c>
      <c r="D123" s="451" t="inlineStr">
        <is>
          <t>CENTRO DE ESPECIALIDADES MEDICAS DR ALFREDO SILVA</t>
        </is>
      </c>
      <c r="E123" s="728" t="inlineStr">
        <is>
          <t>05.903.125/0001-45</t>
        </is>
      </c>
      <c r="F123" s="496" t="inlineStr">
        <is>
          <t>2552914</t>
        </is>
      </c>
      <c r="G123" s="432" t="inlineStr">
        <is>
          <t>SEI</t>
        </is>
      </c>
      <c r="H123" s="432" t="inlineStr">
        <is>
          <t>FAF</t>
        </is>
      </c>
      <c r="I123" s="443" t="inlineStr">
        <is>
          <t>25000.083824/2026-85</t>
        </is>
      </c>
      <c r="J123" s="453" t="inlineStr">
        <is>
          <t>11155765000123086</t>
        </is>
      </c>
      <c r="K123" s="443" t="inlineStr">
        <is>
          <t>25000.083824/2026-85</t>
        </is>
      </c>
      <c r="L123" s="432" t="n"/>
      <c r="M123" s="432" t="n">
        <v>7</v>
      </c>
      <c r="N123" s="432" t="n">
        <v>2023</v>
      </c>
      <c r="O123" s="432" t="inlineStr">
        <is>
          <t>NA</t>
        </is>
      </c>
      <c r="P123" s="432" t="inlineStr">
        <is>
          <t>UND</t>
        </is>
      </c>
      <c r="Q123" s="432" t="inlineStr">
        <is>
          <t>NA</t>
        </is>
      </c>
      <c r="R123" s="495" t="inlineStr">
        <is>
          <t>30/12/2023</t>
        </is>
      </c>
      <c r="S123" s="495" t="inlineStr">
        <is>
          <t>20/06/2026</t>
        </is>
      </c>
      <c r="T123" s="495" t="n"/>
      <c r="U123" s="494" t="n"/>
      <c r="V123" s="494" t="inlineStr">
        <is>
          <t>1.258.287,00</t>
        </is>
      </c>
      <c r="W123" s="494" t="inlineStr">
        <is>
          <t>1.258.287,00</t>
        </is>
      </c>
      <c r="X123" s="494" t="n">
        <v>0</v>
      </c>
      <c r="Y123" s="432" t="n"/>
      <c r="Z123" s="495" t="inlineStr">
        <is>
          <t>20/06/2024</t>
        </is>
      </c>
      <c r="AA123" s="432" t="n"/>
      <c r="AB123" s="432" t="n"/>
      <c r="AC123" s="432" t="n"/>
      <c r="AD123" s="494" t="n"/>
      <c r="AE123" s="432" t="n"/>
      <c r="AF123" s="432" t="n"/>
      <c r="AG123" s="432" t="n"/>
      <c r="AH123" s="432" t="n"/>
      <c r="AI123" s="493" t="n"/>
      <c r="AJ123" s="492" t="inlineStr">
        <is>
          <t>Leonardo Barsante</t>
        </is>
      </c>
      <c r="AK123" s="432" t="inlineStr">
        <is>
          <t>Bruna</t>
        </is>
      </c>
      <c r="AL123" s="432" t="inlineStr">
        <is>
          <t>Tático</t>
        </is>
      </c>
      <c r="AM123" s="432" t="inlineStr">
        <is>
          <t>Iniciado</t>
        </is>
      </c>
      <c r="AN123" s="432" t="inlineStr">
        <is>
          <t>Substituição</t>
        </is>
      </c>
      <c r="AO123" s="432" t="inlineStr">
        <is>
          <t>Rastreamento</t>
        </is>
      </c>
      <c r="AP123" s="432" t="n"/>
      <c r="AQ123" s="432" t="n"/>
      <c r="AR123" s="432" t="inlineStr">
        <is>
          <t>Ofício 295, solicitação de informação enviado para assessoria dia 13/08</t>
        </is>
      </c>
      <c r="AS123" s="432" t="n"/>
      <c r="AT123" s="432" t="n"/>
      <c r="AU123" s="495" t="n"/>
      <c r="AV123" s="495" t="n"/>
      <c r="AW123" s="495" t="n"/>
      <c r="AX123" s="495" t="n"/>
      <c r="AY123" s="495" t="n"/>
      <c r="AZ123" s="495" t="n"/>
      <c r="BA123" s="432" t="n"/>
      <c r="BB123" s="432" t="n"/>
      <c r="BC123" s="432" t="n"/>
      <c r="BD123" s="432" t="n"/>
      <c r="BE123" s="491" t="n"/>
      <c r="BF123" s="432" t="n"/>
      <c r="BG123" s="432" t="n"/>
      <c r="BH123" s="432" t="n"/>
      <c r="BI123" s="432" t="n"/>
      <c r="BJ123" s="432" t="n"/>
      <c r="BK123" s="432" t="n"/>
      <c r="BL123" s="432" t="n"/>
      <c r="BM123" s="103" t="n"/>
      <c r="BN123" s="32" t="n"/>
      <c r="BO123" s="32" t="n"/>
      <c r="BP123" s="32" t="n"/>
      <c r="BQ123" s="32" t="n"/>
    </row>
    <row r="124" ht="30.75" customHeight="1">
      <c r="A124" s="132" t="inlineStr">
        <is>
          <t>Norte</t>
        </is>
      </c>
      <c r="B124" s="132" t="inlineStr">
        <is>
          <t>RO</t>
        </is>
      </c>
      <c r="C124" s="444" t="inlineStr">
        <is>
          <t>PORTO VELHO</t>
        </is>
      </c>
      <c r="D124" s="186" t="inlineStr">
        <is>
          <t>CENTRO DE ESPECIALIDADES MEDICAS DR ALFREDO SILVA</t>
        </is>
      </c>
      <c r="E124" s="341" t="inlineStr">
        <is>
          <t>05.903.125/0001-45</t>
        </is>
      </c>
      <c r="F124" s="341" t="inlineStr">
        <is>
          <t>2552914</t>
        </is>
      </c>
      <c r="G124" s="132" t="inlineStr">
        <is>
          <t>SEI</t>
        </is>
      </c>
      <c r="H124" s="132" t="inlineStr">
        <is>
          <t>FAF</t>
        </is>
      </c>
      <c r="I124" s="190" t="inlineStr">
        <is>
          <t>25000.083824/2026-85</t>
        </is>
      </c>
      <c r="J124" s="454" t="inlineStr">
        <is>
          <t>11155765000123086</t>
        </is>
      </c>
      <c r="K124" s="190" t="inlineStr">
        <is>
          <t>25000.083824/2026-85</t>
        </is>
      </c>
      <c r="L124" s="132" t="n"/>
      <c r="M124" s="132" t="inlineStr">
        <is>
          <t>NA</t>
        </is>
      </c>
      <c r="N124" s="132" t="n">
        <v>2023</v>
      </c>
      <c r="O124" s="132" t="n">
        <v>1</v>
      </c>
      <c r="P124" s="132" t="inlineStr">
        <is>
          <t>UND</t>
        </is>
      </c>
      <c r="Q124" s="132" t="inlineStr">
        <is>
          <t>Mamógrafo</t>
        </is>
      </c>
      <c r="R124" s="154" t="inlineStr">
        <is>
          <t>30/12/2026</t>
        </is>
      </c>
      <c r="S124" s="154" t="inlineStr">
        <is>
          <t>20/06/2026</t>
        </is>
      </c>
      <c r="T124" s="154" t="n"/>
      <c r="U124" s="542" t="n"/>
      <c r="V124" s="542" t="n"/>
      <c r="W124" s="542" t="n"/>
      <c r="X124" s="542" t="n"/>
      <c r="Y124" s="132" t="n"/>
      <c r="Z124" s="154" t="n"/>
      <c r="AA124" s="132" t="n"/>
      <c r="AB124" s="132" t="n"/>
      <c r="AC124" s="132" t="n"/>
      <c r="AD124" s="542" t="n"/>
      <c r="AE124" s="132" t="n"/>
      <c r="AF124" s="132" t="n"/>
      <c r="AG124" s="132" t="n"/>
      <c r="AH124" s="132" t="n"/>
      <c r="AI124" s="541" t="n"/>
      <c r="AJ124" s="560" t="n"/>
      <c r="AK124" s="132" t="n"/>
      <c r="AL124" s="132" t="n"/>
      <c r="AM124" s="132" t="n"/>
      <c r="AN124" s="132" t="n"/>
      <c r="AO124" s="132" t="n"/>
      <c r="AP124" s="132" t="n"/>
      <c r="AQ124" s="132" t="n"/>
      <c r="AR124" s="563" t="n"/>
      <c r="AS124" s="563" t="n"/>
      <c r="AT124" s="563" t="n"/>
      <c r="AU124" s="154" t="n"/>
      <c r="AV124" s="154" t="n"/>
      <c r="AW124" s="154" t="n"/>
      <c r="AX124" s="154" t="n"/>
      <c r="AY124" s="154" t="n"/>
      <c r="AZ124" s="154" t="n"/>
      <c r="BA124" s="563" t="n"/>
      <c r="BB124" s="563" t="n"/>
      <c r="BC124" s="563" t="n"/>
      <c r="BD124" s="563" t="n"/>
      <c r="BE124" s="569" t="n"/>
      <c r="BF124" s="132" t="n"/>
      <c r="BG124" s="563" t="n"/>
      <c r="BH124" s="563" t="n"/>
      <c r="BI124" s="132" t="n"/>
      <c r="BJ124" s="132" t="n"/>
      <c r="BK124" s="132" t="n"/>
      <c r="BL124" s="132" t="n"/>
      <c r="BM124" s="154" t="n"/>
      <c r="BN124" s="132" t="n"/>
      <c r="BO124" s="132" t="n"/>
      <c r="BP124" s="132" t="n"/>
      <c r="BQ124" s="132" t="n"/>
    </row>
    <row r="125" ht="45.75" customHeight="1">
      <c r="A125" s="432" t="inlineStr">
        <is>
          <t>Norte</t>
        </is>
      </c>
      <c r="B125" s="432" t="inlineStr">
        <is>
          <t>RR</t>
        </is>
      </c>
      <c r="C125" s="431" t="inlineStr">
        <is>
          <t>BOA VISTA</t>
        </is>
      </c>
      <c r="D125" s="451" t="inlineStr">
        <is>
          <t>CENT DE TRATAMENTO E PREV DE CANCER DE COLO E MAMA CPCOM</t>
        </is>
      </c>
      <c r="E125" s="729" t="inlineStr">
        <is>
          <t>05.943.030/0001-55</t>
        </is>
      </c>
      <c r="F125" s="445" t="n">
        <v>9156836</v>
      </c>
      <c r="G125" s="432" t="inlineStr">
        <is>
          <t>SEI</t>
        </is>
      </c>
      <c r="H125" s="432" t="inlineStr">
        <is>
          <t>FAF</t>
        </is>
      </c>
      <c r="I125" s="443" t="inlineStr">
        <is>
          <t>25000.083829/2026-16</t>
        </is>
      </c>
      <c r="J125" s="496" t="inlineStr">
        <is>
          <t>13464636000123101</t>
        </is>
      </c>
      <c r="K125" s="443" t="inlineStr">
        <is>
          <t>25000.083829/2026-16</t>
        </is>
      </c>
      <c r="L125" s="432" t="n"/>
      <c r="M125" s="432" t="n">
        <v>13</v>
      </c>
      <c r="N125" s="432" t="n">
        <v>2023</v>
      </c>
      <c r="O125" s="432" t="inlineStr">
        <is>
          <t>NA</t>
        </is>
      </c>
      <c r="P125" s="432" t="inlineStr">
        <is>
          <t>UND</t>
        </is>
      </c>
      <c r="Q125" s="432" t="n"/>
      <c r="R125" s="495" t="inlineStr">
        <is>
          <t>22/12/2023</t>
        </is>
      </c>
      <c r="S125" s="495" t="n"/>
      <c r="T125" s="495" t="n"/>
      <c r="U125" s="494" t="n"/>
      <c r="V125" s="494" t="inlineStr">
        <is>
          <t>1.433.307,00</t>
        </is>
      </c>
      <c r="W125" s="494" t="inlineStr">
        <is>
          <t>1.433.307,00</t>
        </is>
      </c>
      <c r="X125" s="494" t="n">
        <v>0</v>
      </c>
      <c r="Y125" s="432" t="inlineStr">
        <is>
          <t>NI</t>
        </is>
      </c>
      <c r="Z125" s="495" t="inlineStr">
        <is>
          <t>30/04/2024</t>
        </is>
      </c>
      <c r="AA125" s="432" t="inlineStr">
        <is>
          <t>NI</t>
        </is>
      </c>
      <c r="AB125" s="432" t="inlineStr">
        <is>
          <t>NI</t>
        </is>
      </c>
      <c r="AC125" s="432" t="inlineStr">
        <is>
          <t>NI</t>
        </is>
      </c>
      <c r="AD125" s="494" t="n"/>
      <c r="AE125" s="432" t="n"/>
      <c r="AF125" s="432" t="n"/>
      <c r="AG125" s="432" t="n"/>
      <c r="AH125" s="432" t="n"/>
      <c r="AI125" s="493" t="n"/>
      <c r="AJ125" s="492" t="inlineStr">
        <is>
          <t>Leonardo Barsante</t>
        </is>
      </c>
      <c r="AK125" s="432" t="inlineStr">
        <is>
          <t>BRUNA</t>
        </is>
      </c>
      <c r="AL125" s="432" t="inlineStr">
        <is>
          <t>Tático</t>
        </is>
      </c>
      <c r="AM125" s="432" t="inlineStr">
        <is>
          <t>Iniciado</t>
        </is>
      </c>
      <c r="AN125" s="432" t="inlineStr">
        <is>
          <t>Ampliação</t>
        </is>
      </c>
      <c r="AO125" s="432" t="inlineStr">
        <is>
          <t>Rastreamento</t>
        </is>
      </c>
      <c r="AP125" s="432" t="n"/>
      <c r="AQ125" s="432" t="n"/>
      <c r="AR125" s="432" t="inlineStr">
        <is>
          <t>Ofício 231 respondido  em pelo CPCOM em 13/08 - FAF vencido Mamógrafo não adquirido</t>
        </is>
      </c>
      <c r="AS125" s="432" t="n"/>
      <c r="AT125" s="432" t="n"/>
      <c r="AU125" s="495" t="n"/>
      <c r="AV125" s="495" t="n"/>
      <c r="AW125" s="495" t="n"/>
      <c r="AX125" s="495" t="n"/>
      <c r="AY125" s="495" t="n"/>
      <c r="AZ125" s="495" t="n"/>
      <c r="BA125" s="432" t="n"/>
      <c r="BB125" s="432" t="n"/>
      <c r="BC125" s="432" t="n"/>
      <c r="BD125" s="432" t="n"/>
      <c r="BE125" s="491" t="n"/>
      <c r="BF125" s="432" t="n"/>
      <c r="BG125" s="432" t="n"/>
      <c r="BH125" s="432" t="n"/>
      <c r="BI125" s="432" t="n"/>
      <c r="BJ125" s="432" t="n"/>
      <c r="BK125" s="432" t="n"/>
      <c r="BL125" s="432" t="n"/>
      <c r="BM125" s="495" t="n"/>
      <c r="BN125" s="432" t="n"/>
      <c r="BO125" s="432" t="n"/>
      <c r="BP125" s="432" t="n"/>
      <c r="BQ125" s="432" t="n"/>
    </row>
    <row r="126" ht="45.75" customFormat="1" customHeight="1" s="473">
      <c r="A126" s="437" t="inlineStr">
        <is>
          <t>Norte</t>
        </is>
      </c>
      <c r="B126" s="437" t="inlineStr">
        <is>
          <t>RR</t>
        </is>
      </c>
      <c r="C126" s="436" t="inlineStr">
        <is>
          <t>BOA VISTA</t>
        </is>
      </c>
      <c r="D126" s="458" t="inlineStr">
        <is>
          <t>CENT DE TRATAMENTO E PREV DE CANCER DE COLO E MAMA CPCOM</t>
        </is>
      </c>
      <c r="E126" s="490" t="inlineStr">
        <is>
          <t>05.943.030/0001-55</t>
        </is>
      </c>
      <c r="F126" s="449" t="inlineStr">
        <is>
          <t>NA</t>
        </is>
      </c>
      <c r="G126" s="437" t="inlineStr">
        <is>
          <t>NA</t>
        </is>
      </c>
      <c r="H126" s="437" t="inlineStr">
        <is>
          <t>NA</t>
        </is>
      </c>
      <c r="I126" s="455" t="inlineStr">
        <is>
          <t>25000.083829/2026-16</t>
        </is>
      </c>
      <c r="J126" s="490" t="inlineStr">
        <is>
          <t>13464636000123101</t>
        </is>
      </c>
      <c r="K126" s="455" t="inlineStr">
        <is>
          <t>25000.083829/2026-16</t>
        </is>
      </c>
      <c r="L126" s="437" t="n"/>
      <c r="M126" s="437" t="inlineStr">
        <is>
          <t>NA</t>
        </is>
      </c>
      <c r="N126" s="437" t="n">
        <v>2023</v>
      </c>
      <c r="O126" s="437" t="n">
        <v>1</v>
      </c>
      <c r="P126" s="437" t="inlineStr">
        <is>
          <t>UND</t>
        </is>
      </c>
      <c r="Q126" s="437" t="inlineStr">
        <is>
          <t>Mamógrafo</t>
        </is>
      </c>
      <c r="R126" s="489" t="inlineStr">
        <is>
          <t>22/12/2023</t>
        </is>
      </c>
      <c r="S126" s="489" t="inlineStr">
        <is>
          <t>30/04/2026</t>
        </is>
      </c>
      <c r="T126" s="489" t="n"/>
      <c r="U126" s="488" t="n"/>
      <c r="V126" s="488" t="inlineStr">
        <is>
          <t>NA</t>
        </is>
      </c>
      <c r="W126" s="488" t="inlineStr">
        <is>
          <t>NA</t>
        </is>
      </c>
      <c r="X126" s="488" t="inlineStr">
        <is>
          <t>NA</t>
        </is>
      </c>
      <c r="Y126" s="437" t="n"/>
      <c r="Z126" s="489" t="n"/>
      <c r="AA126" s="437" t="n"/>
      <c r="AB126" s="437" t="n"/>
      <c r="AC126" s="437" t="n"/>
      <c r="AD126" s="488" t="n"/>
      <c r="AE126" s="437" t="n"/>
      <c r="AF126" s="437" t="n"/>
      <c r="AG126" s="437" t="n"/>
      <c r="AH126" s="437" t="n"/>
      <c r="AI126" s="487" t="n"/>
      <c r="AJ126" s="486" t="inlineStr">
        <is>
          <t>Leonardo Barsante</t>
        </is>
      </c>
      <c r="AK126" s="437" t="inlineStr">
        <is>
          <t>BRUNA</t>
        </is>
      </c>
      <c r="AL126" s="437" t="n"/>
      <c r="AM126" s="437" t="inlineStr">
        <is>
          <t>Iniciado</t>
        </is>
      </c>
      <c r="AN126" s="437" t="n"/>
      <c r="AO126" s="437" t="n"/>
      <c r="AP126" s="437" t="n"/>
      <c r="AQ126" s="437" t="n"/>
      <c r="AR126" s="437" t="inlineStr">
        <is>
          <t>Ofício 231 respondido pelo CPCOM em 13/08 - FAF vencido Mamógrafo não adquirido</t>
        </is>
      </c>
      <c r="AS126" s="437" t="n"/>
      <c r="AT126" s="437" t="n"/>
      <c r="AU126" s="489" t="n"/>
      <c r="AV126" s="489" t="n"/>
      <c r="AW126" s="489" t="n"/>
      <c r="AX126" s="489" t="n"/>
      <c r="AY126" s="489" t="n"/>
      <c r="AZ126" s="489" t="n"/>
      <c r="BA126" s="437" t="n"/>
      <c r="BB126" s="437" t="n"/>
      <c r="BC126" s="437" t="n"/>
      <c r="BD126" s="437" t="n"/>
      <c r="BE126" s="485" t="n"/>
      <c r="BF126" s="437" t="n"/>
      <c r="BG126" s="437" t="n"/>
      <c r="BH126" s="437" t="n"/>
      <c r="BI126" s="437" t="n"/>
      <c r="BJ126" s="437" t="n"/>
      <c r="BK126" s="437" t="n"/>
      <c r="BL126" s="437" t="n"/>
      <c r="BM126" s="489" t="n"/>
      <c r="BN126" s="437" t="n"/>
      <c r="BO126" s="437" t="n"/>
      <c r="BP126" s="437" t="n"/>
      <c r="BQ126" s="437" t="n"/>
    </row>
    <row r="127" ht="45.75" customFormat="1" customHeight="1" s="473">
      <c r="A127" s="437" t="inlineStr">
        <is>
          <t>Norte</t>
        </is>
      </c>
      <c r="B127" s="437" t="inlineStr">
        <is>
          <t>RR</t>
        </is>
      </c>
      <c r="C127" s="436" t="inlineStr">
        <is>
          <t>BOA VISTA</t>
        </is>
      </c>
      <c r="D127" s="458" t="inlineStr">
        <is>
          <t>CENT DE TRATAMENTO E PREV DE CANCER DE COLO E MAMA CPCOM</t>
        </is>
      </c>
      <c r="E127" s="490" t="inlineStr">
        <is>
          <t>05.943.030/0001-55</t>
        </is>
      </c>
      <c r="F127" s="450" t="inlineStr">
        <is>
          <t>NA</t>
        </is>
      </c>
      <c r="G127" s="437" t="inlineStr">
        <is>
          <t>NA</t>
        </is>
      </c>
      <c r="H127" s="437" t="inlineStr">
        <is>
          <t>NA</t>
        </is>
      </c>
      <c r="I127" s="455" t="inlineStr">
        <is>
          <t>25000.083829/2026-16</t>
        </is>
      </c>
      <c r="J127" s="490" t="inlineStr">
        <is>
          <t>13464636000123101</t>
        </is>
      </c>
      <c r="K127" s="455" t="inlineStr">
        <is>
          <t>25000.083829/2026-16</t>
        </is>
      </c>
      <c r="L127" s="437" t="n"/>
      <c r="M127" s="437" t="inlineStr">
        <is>
          <t>NA</t>
        </is>
      </c>
      <c r="N127" s="437" t="n">
        <v>2023</v>
      </c>
      <c r="O127" s="437" t="n">
        <v>1</v>
      </c>
      <c r="P127" s="437" t="inlineStr">
        <is>
          <t>UND</t>
        </is>
      </c>
      <c r="Q127" s="437" t="inlineStr">
        <is>
          <t>Ultrasom</t>
        </is>
      </c>
      <c r="R127" s="489" t="inlineStr">
        <is>
          <t>22/12/2023</t>
        </is>
      </c>
      <c r="S127" s="489" t="inlineStr">
        <is>
          <t>30/04/2026</t>
        </is>
      </c>
      <c r="T127" s="489" t="n"/>
      <c r="U127" s="488" t="n"/>
      <c r="V127" s="488" t="inlineStr">
        <is>
          <t>NA</t>
        </is>
      </c>
      <c r="W127" s="488" t="inlineStr">
        <is>
          <t>NA</t>
        </is>
      </c>
      <c r="X127" s="488" t="inlineStr">
        <is>
          <t>NA</t>
        </is>
      </c>
      <c r="Y127" s="437" t="n"/>
      <c r="Z127" s="489" t="n"/>
      <c r="AA127" s="437" t="n"/>
      <c r="AB127" s="437" t="n"/>
      <c r="AC127" s="437" t="n"/>
      <c r="AD127" s="488" t="n"/>
      <c r="AE127" s="437" t="n"/>
      <c r="AF127" s="437" t="n"/>
      <c r="AG127" s="437" t="n"/>
      <c r="AH127" s="437" t="n"/>
      <c r="AI127" s="487" t="n"/>
      <c r="AJ127" s="486" t="inlineStr">
        <is>
          <t>Leonardo Barsante</t>
        </is>
      </c>
      <c r="AK127" s="437" t="inlineStr">
        <is>
          <t>BRUNA</t>
        </is>
      </c>
      <c r="AL127" s="437" t="n"/>
      <c r="AM127" s="437" t="inlineStr">
        <is>
          <t>Iniciado</t>
        </is>
      </c>
      <c r="AN127" s="437" t="n"/>
      <c r="AO127" s="437" t="n"/>
      <c r="AP127" s="437" t="n"/>
      <c r="AQ127" s="437" t="n"/>
      <c r="AR127" s="437" t="inlineStr">
        <is>
          <t>Ofício 231 respondido pelo CPCOM em 13/08 - FAF vencido equipamento adquirido</t>
        </is>
      </c>
      <c r="AS127" s="437" t="n"/>
      <c r="AT127" s="437" t="n"/>
      <c r="AU127" s="489" t="n"/>
      <c r="AV127" s="489" t="n"/>
      <c r="AW127" s="489" t="n"/>
      <c r="AX127" s="489" t="n"/>
      <c r="AY127" s="489" t="n"/>
      <c r="AZ127" s="489" t="n"/>
      <c r="BA127" s="437" t="n"/>
      <c r="BB127" s="437" t="n"/>
      <c r="BC127" s="437" t="n"/>
      <c r="BD127" s="437" t="n"/>
      <c r="BE127" s="485" t="n"/>
      <c r="BF127" s="437" t="n"/>
      <c r="BG127" s="437" t="n"/>
      <c r="BH127" s="437" t="n"/>
      <c r="BI127" s="437" t="n"/>
      <c r="BJ127" s="437" t="n"/>
      <c r="BK127" s="437" t="n"/>
      <c r="BL127" s="437" t="n"/>
      <c r="BM127" s="489" t="n"/>
      <c r="BN127" s="437" t="n"/>
      <c r="BO127" s="437" t="n"/>
      <c r="BP127" s="437" t="n"/>
      <c r="BQ127" s="437" t="n"/>
    </row>
    <row r="128" ht="30.75" customHeight="1">
      <c r="A128" s="132" t="inlineStr">
        <is>
          <t>Nordeste</t>
        </is>
      </c>
      <c r="B128" s="190" t="inlineStr">
        <is>
          <t>CE</t>
        </is>
      </c>
      <c r="C128" s="190" t="inlineStr">
        <is>
          <t>SOBRAL</t>
        </is>
      </c>
      <c r="D128" s="186" t="inlineStr">
        <is>
          <t>SANTA CASA DE MISERICORDIA DE SOBRAL</t>
        </is>
      </c>
      <c r="E128" s="341" t="inlineStr">
        <is>
          <t>07.818.313/0001-09</t>
        </is>
      </c>
      <c r="F128" s="341" t="inlineStr">
        <is>
          <t>3021114</t>
        </is>
      </c>
      <c r="G128" s="132" t="inlineStr">
        <is>
          <t>SEI</t>
        </is>
      </c>
      <c r="H128" s="132" t="inlineStr">
        <is>
          <t>Convênio</t>
        </is>
      </c>
      <c r="I128" s="444" t="n">
        <v>985640</v>
      </c>
      <c r="J128" s="341" t="n"/>
      <c r="K128" s="341" t="inlineStr">
        <is>
          <t>25000.198468/2025-12</t>
        </is>
      </c>
      <c r="L128" s="132" t="n"/>
      <c r="M128" s="132" t="n">
        <v>1</v>
      </c>
      <c r="N128" s="132" t="n">
        <v>2025</v>
      </c>
      <c r="O128" s="132" t="n">
        <v>1</v>
      </c>
      <c r="P128" s="132" t="inlineStr">
        <is>
          <t>UND</t>
        </is>
      </c>
      <c r="Q128" s="132" t="inlineStr">
        <is>
          <t>Mamógrafo</t>
        </is>
      </c>
      <c r="R128" s="154" t="n">
        <v>46059</v>
      </c>
      <c r="S128" s="154" t="inlineStr">
        <is>
          <t>14/12/2027</t>
        </is>
      </c>
      <c r="T128" s="154" t="n">
        <v>46795</v>
      </c>
      <c r="U128" s="542" t="n"/>
      <c r="V128" s="542" t="n">
        <v>1468023</v>
      </c>
      <c r="W128" s="542" t="inlineStr">
        <is>
          <t>1.079.770,75</t>
        </is>
      </c>
      <c r="X128" s="542" t="inlineStr">
        <is>
          <t>234,00</t>
        </is>
      </c>
      <c r="Y128" s="132" t="n"/>
      <c r="Z128" s="154" t="inlineStr">
        <is>
          <t>22/6/26</t>
        </is>
      </c>
      <c r="AA128" s="132" t="n"/>
      <c r="AB128" s="132" t="n"/>
      <c r="AC128" s="132" t="n"/>
      <c r="AD128" s="542" t="n"/>
      <c r="AE128" s="132" t="n"/>
      <c r="AF128" s="132" t="inlineStr">
        <is>
          <t>EM EXECUÇÃO</t>
        </is>
      </c>
      <c r="AG128" s="132" t="n"/>
      <c r="AH128" s="132" t="n"/>
      <c r="AI128" s="541" t="n"/>
      <c r="AJ128" s="560" t="inlineStr">
        <is>
          <t>Leonardo Barsante</t>
        </is>
      </c>
      <c r="AK128" s="132" t="inlineStr">
        <is>
          <t>BRUNA</t>
        </is>
      </c>
      <c r="AL128" s="132" t="n"/>
      <c r="AM128" s="132" t="inlineStr">
        <is>
          <t>Em monitoramento</t>
        </is>
      </c>
      <c r="AN128" s="132" t="inlineStr">
        <is>
          <t>Substituição</t>
        </is>
      </c>
      <c r="AO128" s="132" t="inlineStr">
        <is>
          <t>Rastreamento</t>
        </is>
      </c>
      <c r="AP128" s="132" t="n"/>
      <c r="AQ128" s="132" t="n"/>
      <c r="AR128" s="132" t="inlineStr">
        <is>
          <t>Ofício 304 enviado para assessoria, 24/8/26</t>
        </is>
      </c>
      <c r="AS128" s="132" t="n"/>
      <c r="AT128" s="132" t="n"/>
      <c r="AU128" s="154" t="n"/>
      <c r="AV128" s="154" t="n"/>
      <c r="AW128" s="154" t="n"/>
      <c r="AX128" s="154" t="n"/>
      <c r="AY128" s="154" t="n"/>
      <c r="AZ128" s="154" t="n"/>
      <c r="BA128" s="132" t="n"/>
      <c r="BB128" s="132" t="n"/>
      <c r="BC128" s="132" t="n"/>
      <c r="BD128" s="132" t="n"/>
      <c r="BE128" s="569" t="n"/>
      <c r="BF128" s="132" t="n"/>
      <c r="BG128" s="132" t="n"/>
      <c r="BH128" s="132" t="n"/>
      <c r="BI128" s="132" t="n"/>
      <c r="BJ128" s="132" t="n"/>
      <c r="BK128" s="132" t="n"/>
      <c r="BL128" s="132" t="n"/>
      <c r="BM128" s="154" t="n"/>
      <c r="BN128" s="132" t="n"/>
      <c r="BO128" s="132" t="n"/>
      <c r="BP128" s="132" t="n"/>
      <c r="BQ128" s="132" t="n"/>
    </row>
    <row r="129" ht="30.75" customFormat="1" customHeight="1" s="477">
      <c r="A129" s="132" t="inlineStr">
        <is>
          <t>Nordeste</t>
        </is>
      </c>
      <c r="B129" s="190" t="inlineStr">
        <is>
          <t>PB</t>
        </is>
      </c>
      <c r="C129" s="190" t="inlineStr">
        <is>
          <t>JOAO PESSOA</t>
        </is>
      </c>
      <c r="D129" s="186" t="inlineStr">
        <is>
          <t>INSTITUTO WALFREDO GUEDES PEREIRA</t>
        </is>
      </c>
      <c r="E129" s="341" t="inlineStr">
        <is>
          <t>09.124.165/0001-40</t>
        </is>
      </c>
      <c r="F129" s="341" t="inlineStr">
        <is>
          <t>2399776</t>
        </is>
      </c>
      <c r="G129" s="132" t="inlineStr">
        <is>
          <t>SEI</t>
        </is>
      </c>
      <c r="H129" s="132" t="inlineStr">
        <is>
          <t>Convênio</t>
        </is>
      </c>
      <c r="I129" s="444" t="n">
        <v>988835</v>
      </c>
      <c r="J129" s="484" t="n"/>
      <c r="K129" s="484" t="inlineStr">
        <is>
          <t>25000.214555/2025-24</t>
        </is>
      </c>
      <c r="L129" s="132" t="n"/>
      <c r="M129" s="132" t="n">
        <v>1</v>
      </c>
      <c r="N129" s="132" t="n">
        <v>2025</v>
      </c>
      <c r="O129" s="132" t="n">
        <v>1</v>
      </c>
      <c r="P129" s="132" t="inlineStr">
        <is>
          <t>UND</t>
        </is>
      </c>
      <c r="Q129" s="132" t="inlineStr">
        <is>
          <t>Mamógrafo</t>
        </is>
      </c>
      <c r="R129" s="154" t="inlineStr">
        <is>
          <t>17/12/2025</t>
        </is>
      </c>
      <c r="S129" s="154" t="n">
        <v>46548</v>
      </c>
      <c r="T129" s="154" t="n">
        <v>46608</v>
      </c>
      <c r="U129" s="542" t="n"/>
      <c r="V129" s="542" t="n">
        <v>1250000</v>
      </c>
      <c r="W129" s="542" t="n"/>
      <c r="X129" s="542" t="inlineStr">
        <is>
          <t>150.643,00</t>
        </is>
      </c>
      <c r="Y129" s="132" t="n"/>
      <c r="Z129" s="154" t="inlineStr">
        <is>
          <t>NI</t>
        </is>
      </c>
      <c r="AA129" s="132" t="n"/>
      <c r="AB129" s="132" t="n"/>
      <c r="AC129" s="132" t="n"/>
      <c r="AD129" s="542" t="n"/>
      <c r="AE129" s="132" t="n"/>
      <c r="AF129" s="132" t="inlineStr">
        <is>
          <t>EM EXECUÇÃO</t>
        </is>
      </c>
      <c r="AG129" s="132" t="n"/>
      <c r="AH129" s="132" t="n"/>
      <c r="AI129" s="541" t="n"/>
      <c r="AJ129" s="560" t="inlineStr">
        <is>
          <t>Leonardo Barsante</t>
        </is>
      </c>
      <c r="AK129" s="132" t="inlineStr">
        <is>
          <t>BRUNA</t>
        </is>
      </c>
      <c r="AL129" s="132" t="n"/>
      <c r="AM129" s="132" t="n"/>
      <c r="AN129" s="132" t="inlineStr">
        <is>
          <t>Ampliação</t>
        </is>
      </c>
      <c r="AO129" s="132" t="inlineStr">
        <is>
          <t>Rastreamento</t>
        </is>
      </c>
      <c r="AP129" s="132" t="n"/>
      <c r="AQ129" s="132" t="n"/>
      <c r="AR129" s="132" t="inlineStr">
        <is>
          <t>Ordem bancária ainda não efetivada</t>
        </is>
      </c>
      <c r="AS129" s="132" t="n"/>
      <c r="AT129" s="132" t="n"/>
      <c r="AU129" s="154" t="n"/>
      <c r="AV129" s="154" t="n"/>
      <c r="AW129" s="154" t="n"/>
      <c r="AX129" s="154" t="n"/>
      <c r="AY129" s="154" t="n"/>
      <c r="AZ129" s="154" t="n"/>
      <c r="BA129" s="132" t="n"/>
      <c r="BB129" s="132" t="n"/>
      <c r="BC129" s="132" t="n"/>
      <c r="BD129" s="132" t="n"/>
      <c r="BE129" s="569" t="n"/>
      <c r="BF129" s="132" t="n"/>
      <c r="BG129" s="132" t="n"/>
      <c r="BH129" s="132" t="n"/>
      <c r="BI129" s="132" t="n"/>
      <c r="BJ129" s="132" t="n"/>
      <c r="BK129" s="132" t="n"/>
      <c r="BL129" s="132" t="n"/>
      <c r="BM129" s="154" t="n"/>
      <c r="BN129" s="132" t="n"/>
      <c r="BO129" s="132" t="n"/>
      <c r="BP129" s="132" t="n"/>
      <c r="BQ129" s="132" t="n"/>
    </row>
    <row r="130" ht="45.75" customFormat="1" customHeight="1" s="472">
      <c r="A130" s="432" t="inlineStr">
        <is>
          <t>NORDESTE</t>
        </is>
      </c>
      <c r="B130" s="443" t="inlineStr">
        <is>
          <t>PB</t>
        </is>
      </c>
      <c r="C130" s="443" t="inlineStr">
        <is>
          <t>SAPE</t>
        </is>
      </c>
      <c r="D130" s="451" t="inlineStr">
        <is>
          <t>POLICLINICA MUNICIPAL MONSENHOR ODILON ALVES PEDROSA</t>
        </is>
      </c>
      <c r="E130" s="729" t="inlineStr">
        <is>
          <t>08.917.080/0001-56</t>
        </is>
      </c>
      <c r="F130" s="446" t="n">
        <v>3565041</v>
      </c>
      <c r="G130" s="432" t="inlineStr">
        <is>
          <t>SEI</t>
        </is>
      </c>
      <c r="H130" s="432" t="inlineStr">
        <is>
          <t>FAF</t>
        </is>
      </c>
      <c r="I130" s="431" t="inlineStr">
        <is>
          <t>25000.083850/2026-11</t>
        </is>
      </c>
      <c r="J130" s="496" t="inlineStr">
        <is>
          <t>08036438000125003</t>
        </is>
      </c>
      <c r="K130" s="431" t="inlineStr">
        <is>
          <t>25000.083850/2026-11</t>
        </is>
      </c>
      <c r="L130" s="432" t="n"/>
      <c r="M130" s="432" t="n">
        <v>44</v>
      </c>
      <c r="N130" s="432" t="n">
        <v>2025</v>
      </c>
      <c r="O130" s="432" t="inlineStr">
        <is>
          <t>NA</t>
        </is>
      </c>
      <c r="P130" s="432" t="inlineStr">
        <is>
          <t>UND</t>
        </is>
      </c>
      <c r="Q130" s="432" t="n"/>
      <c r="R130" s="495" t="n"/>
      <c r="S130" s="495" t="n"/>
      <c r="T130" s="495" t="n"/>
      <c r="U130" s="494" t="n"/>
      <c r="V130" s="494" t="inlineStr">
        <is>
          <t>1.494.391,00</t>
        </is>
      </c>
      <c r="W130" s="494" t="n">
        <v>0</v>
      </c>
      <c r="X130" s="494" t="n">
        <v>0</v>
      </c>
      <c r="Y130" s="432" t="inlineStr">
        <is>
          <t>NI</t>
        </is>
      </c>
      <c r="Z130" s="495" t="inlineStr">
        <is>
          <t>NI</t>
        </is>
      </c>
      <c r="AA130" s="432" t="inlineStr">
        <is>
          <t>NI</t>
        </is>
      </c>
      <c r="AB130" s="432" t="inlineStr">
        <is>
          <t>NI</t>
        </is>
      </c>
      <c r="AC130" s="432" t="inlineStr">
        <is>
          <t>NI</t>
        </is>
      </c>
      <c r="AD130" s="494" t="n"/>
      <c r="AE130" s="432" t="n"/>
      <c r="AF130" s="432" t="n"/>
      <c r="AG130" s="432" t="n"/>
      <c r="AH130" s="432" t="n"/>
      <c r="AI130" s="493" t="n"/>
      <c r="AJ130" s="492" t="inlineStr">
        <is>
          <t>Leonardo Barsante</t>
        </is>
      </c>
      <c r="AK130" s="432" t="n"/>
      <c r="AL130" s="432" t="n"/>
      <c r="AM130" s="432" t="n"/>
      <c r="AN130" s="432" t="inlineStr">
        <is>
          <t>NA</t>
        </is>
      </c>
      <c r="AO130" s="432" t="inlineStr">
        <is>
          <t>Rastreamento</t>
        </is>
      </c>
      <c r="AP130" s="432" t="n"/>
      <c r="AQ130" s="432" t="n"/>
      <c r="AR130" s="432" t="inlineStr">
        <is>
          <t>Ofício 160 enviado em 08/06/26,  ordem bancária não realizada  ?????</t>
        </is>
      </c>
      <c r="AS130" s="432" t="n"/>
      <c r="AT130" s="432" t="n"/>
      <c r="AU130" s="495" t="n"/>
      <c r="AV130" s="495" t="n"/>
      <c r="AW130" s="495" t="n"/>
      <c r="AX130" s="495" t="n"/>
      <c r="AY130" s="495" t="n"/>
      <c r="AZ130" s="495" t="n"/>
      <c r="BA130" s="432" t="n"/>
      <c r="BB130" s="432" t="n"/>
      <c r="BC130" s="432" t="n"/>
      <c r="BD130" s="432" t="n"/>
      <c r="BE130" s="491" t="n"/>
      <c r="BF130" s="432" t="n"/>
      <c r="BG130" s="432" t="n"/>
      <c r="BH130" s="432" t="n"/>
      <c r="BI130" s="432" t="n"/>
      <c r="BJ130" s="432" t="n"/>
      <c r="BK130" s="432" t="n"/>
      <c r="BL130" s="432" t="n"/>
      <c r="BM130" s="495" t="n"/>
      <c r="BN130" s="432" t="n"/>
      <c r="BO130" s="432" t="n"/>
      <c r="BP130" s="432" t="n"/>
      <c r="BQ130" s="432" t="n"/>
    </row>
    <row r="131" ht="45.75" customFormat="1" customHeight="1" s="472">
      <c r="A131" s="432" t="inlineStr">
        <is>
          <t>NORDESTE</t>
        </is>
      </c>
      <c r="B131" s="190" t="inlineStr">
        <is>
          <t>PB</t>
        </is>
      </c>
      <c r="C131" s="190" t="inlineStr">
        <is>
          <t>SAPE</t>
        </is>
      </c>
      <c r="D131" s="186" t="inlineStr">
        <is>
          <t>POLICLINICA MUNICIPAL MONSENHOR ODILON ALVES PEDROSA</t>
        </is>
      </c>
      <c r="E131" s="341" t="inlineStr">
        <is>
          <t>08.917.080/0001-56</t>
        </is>
      </c>
      <c r="F131" s="461" t="n">
        <v>3565041</v>
      </c>
      <c r="G131" s="132" t="inlineStr">
        <is>
          <t>SEI</t>
        </is>
      </c>
      <c r="H131" s="132" t="inlineStr">
        <is>
          <t>FAF</t>
        </is>
      </c>
      <c r="I131" s="444" t="inlineStr">
        <is>
          <t>25000.083850/2026-11</t>
        </is>
      </c>
      <c r="J131" s="341" t="inlineStr">
        <is>
          <t>08036438000125003</t>
        </is>
      </c>
      <c r="K131" s="444" t="inlineStr">
        <is>
          <t>25000.083850/2026-11</t>
        </is>
      </c>
      <c r="L131" s="132" t="n"/>
      <c r="M131" s="132" t="inlineStr">
        <is>
          <t>NA</t>
        </is>
      </c>
      <c r="N131" s="132" t="n">
        <v>2025</v>
      </c>
      <c r="O131" s="132" t="n">
        <v>1</v>
      </c>
      <c r="P131" s="132" t="inlineStr">
        <is>
          <t>UND</t>
        </is>
      </c>
      <c r="Q131" s="132" t="inlineStr">
        <is>
          <t>Mamógrafo</t>
        </is>
      </c>
      <c r="R131" s="495" t="inlineStr">
        <is>
          <t>16/12/2025</t>
        </is>
      </c>
      <c r="S131" s="495" t="n"/>
      <c r="T131" s="495" t="n"/>
      <c r="U131" s="494" t="n"/>
      <c r="V131" s="494" t="inlineStr">
        <is>
          <t>NA</t>
        </is>
      </c>
      <c r="W131" s="494" t="inlineStr">
        <is>
          <t>NA</t>
        </is>
      </c>
      <c r="X131" s="494" t="n">
        <v>0</v>
      </c>
      <c r="Y131" s="432" t="inlineStr">
        <is>
          <t>NA</t>
        </is>
      </c>
      <c r="Z131" s="495" t="inlineStr">
        <is>
          <t>NI</t>
        </is>
      </c>
      <c r="AA131" s="432" t="inlineStr">
        <is>
          <t>NI</t>
        </is>
      </c>
      <c r="AB131" s="432" t="inlineStr">
        <is>
          <t>NI</t>
        </is>
      </c>
      <c r="AC131" s="432" t="inlineStr">
        <is>
          <t>NI</t>
        </is>
      </c>
      <c r="AD131" s="494" t="n"/>
      <c r="AE131" s="432" t="n"/>
      <c r="AF131" s="432" t="n"/>
      <c r="AG131" s="432" t="n"/>
      <c r="AH131" s="432" t="n"/>
      <c r="AI131" s="493" t="n"/>
      <c r="AJ131" s="492" t="inlineStr">
        <is>
          <t>Leonardo Barsante</t>
        </is>
      </c>
      <c r="AK131" s="432" t="inlineStr">
        <is>
          <t>Bruna</t>
        </is>
      </c>
      <c r="AL131" s="432" t="n"/>
      <c r="AM131" s="432" t="n"/>
      <c r="AN131" s="432" t="inlineStr">
        <is>
          <t>Ampliação</t>
        </is>
      </c>
      <c r="AO131" s="432" t="inlineStr">
        <is>
          <t>Rastreamento</t>
        </is>
      </c>
      <c r="AP131" s="432" t="n"/>
      <c r="AQ131" s="432" t="n"/>
      <c r="AR131" s="432" t="inlineStr">
        <is>
          <t>Ofício 160 enviado em 08/06/26, aguardando retorno</t>
        </is>
      </c>
      <c r="AS131" s="432" t="n"/>
      <c r="AT131" s="432" t="n"/>
      <c r="AU131" s="495" t="n"/>
      <c r="AV131" s="495" t="n"/>
      <c r="AW131" s="495" t="n"/>
      <c r="AX131" s="495" t="n"/>
      <c r="AY131" s="495" t="n"/>
      <c r="AZ131" s="495" t="n"/>
      <c r="BA131" s="432" t="n"/>
      <c r="BB131" s="432" t="n"/>
      <c r="BC131" s="432" t="n"/>
      <c r="BD131" s="432" t="n"/>
      <c r="BE131" s="491" t="n"/>
      <c r="BF131" s="432" t="n"/>
      <c r="BG131" s="432" t="n"/>
      <c r="BH131" s="432" t="n"/>
      <c r="BI131" s="432" t="n"/>
      <c r="BJ131" s="432" t="n"/>
      <c r="BK131" s="432" t="n"/>
      <c r="BL131" s="432" t="n"/>
      <c r="BM131" s="495" t="n"/>
      <c r="BN131" s="432" t="n"/>
      <c r="BO131" s="432" t="n"/>
      <c r="BP131" s="432" t="n"/>
      <c r="BQ131" s="432" t="n"/>
    </row>
    <row r="132" ht="30.75" customFormat="1" customHeight="1" s="477">
      <c r="A132" s="132" t="inlineStr">
        <is>
          <t>Nordeste</t>
        </is>
      </c>
      <c r="B132" s="190" t="inlineStr">
        <is>
          <t>PE</t>
        </is>
      </c>
      <c r="C132" s="190" t="inlineStr">
        <is>
          <t>RECIFE</t>
        </is>
      </c>
      <c r="D132" s="186" t="inlineStr">
        <is>
          <t>IRMANDADE DA SANTA CASA DE MISERICORDIA DO RECIFE</t>
        </is>
      </c>
      <c r="E132" s="460" t="inlineStr">
        <is>
          <t>10.869.782/0001-53</t>
        </is>
      </c>
      <c r="F132" s="190" t="n">
        <v>2777460</v>
      </c>
      <c r="G132" s="483" t="inlineStr">
        <is>
          <t>SEI</t>
        </is>
      </c>
      <c r="H132" s="132" t="inlineStr">
        <is>
          <t>Convênio</t>
        </is>
      </c>
      <c r="I132" s="444" t="n">
        <v>991766</v>
      </c>
      <c r="J132" s="460" t="n">
        <v>91086925002</v>
      </c>
      <c r="K132" s="153" t="inlineStr">
        <is>
          <t>25000.226746/2025-39</t>
        </is>
      </c>
      <c r="L132" s="132" t="n"/>
      <c r="M132" s="132" t="n">
        <v>1</v>
      </c>
      <c r="N132" s="132" t="n">
        <v>2025</v>
      </c>
      <c r="O132" s="132" t="n">
        <v>1</v>
      </c>
      <c r="P132" s="132" t="inlineStr">
        <is>
          <t>UND</t>
        </is>
      </c>
      <c r="Q132" s="132" t="inlineStr">
        <is>
          <t>Mamógrafo</t>
        </is>
      </c>
      <c r="R132" s="154" t="inlineStr">
        <is>
          <t>31/12/2025</t>
        </is>
      </c>
      <c r="S132" s="154" t="inlineStr">
        <is>
          <t>23/11/2027</t>
        </is>
      </c>
      <c r="T132" s="154" t="inlineStr">
        <is>
          <t>22/01/2028</t>
        </is>
      </c>
      <c r="U132" s="542" t="n"/>
      <c r="V132" s="542" t="n">
        <v>1736185</v>
      </c>
      <c r="W132" s="542" t="inlineStr">
        <is>
          <t>R$ 1.656.950,00</t>
        </is>
      </c>
      <c r="X132" s="542" t="n">
        <v>0</v>
      </c>
      <c r="Y132" s="132" t="n"/>
      <c r="Z132" s="154" t="n">
        <v>46174</v>
      </c>
      <c r="AA132" s="132" t="n"/>
      <c r="AB132" s="132" t="n"/>
      <c r="AC132" s="132" t="n"/>
      <c r="AD132" s="542" t="n"/>
      <c r="AE132" s="132" t="n"/>
      <c r="AF132" s="132" t="inlineStr">
        <is>
          <t>EM EXECUÇÃO</t>
        </is>
      </c>
      <c r="AG132" s="132" t="n"/>
      <c r="AH132" s="132" t="n"/>
      <c r="AI132" s="541" t="n"/>
      <c r="AJ132" s="560" t="inlineStr">
        <is>
          <t>Leonardo Barsante</t>
        </is>
      </c>
      <c r="AK132" s="132" t="inlineStr">
        <is>
          <t>Bruna</t>
        </is>
      </c>
      <c r="AL132" s="132" t="inlineStr">
        <is>
          <t>Tático</t>
        </is>
      </c>
      <c r="AM132" s="132" t="inlineStr">
        <is>
          <t>Iniciado</t>
        </is>
      </c>
      <c r="AN132" s="132" t="inlineStr">
        <is>
          <t>Substituição</t>
        </is>
      </c>
      <c r="AO132" s="132" t="inlineStr">
        <is>
          <t>Rastreamento</t>
        </is>
      </c>
      <c r="AP132" s="132" t="n"/>
      <c r="AQ132" s="132" t="n"/>
      <c r="AR132" s="132" t="inlineStr">
        <is>
          <t>Passado para assessoria, 18/08/26 (aguardando assinatura)</t>
        </is>
      </c>
      <c r="AS132" s="132" t="n"/>
      <c r="AT132" s="132" t="n"/>
      <c r="AU132" s="154" t="n"/>
      <c r="AV132" s="154" t="n"/>
      <c r="AW132" s="154" t="n"/>
      <c r="AX132" s="154" t="n"/>
      <c r="AY132" s="154" t="n"/>
      <c r="AZ132" s="154" t="n"/>
      <c r="BA132" s="132" t="n"/>
      <c r="BB132" s="132" t="n"/>
      <c r="BC132" s="132" t="n"/>
      <c r="BD132" s="132" t="n"/>
      <c r="BE132" s="569" t="n"/>
      <c r="BF132" s="132" t="n"/>
      <c r="BG132" s="132" t="n"/>
      <c r="BH132" s="132" t="n"/>
      <c r="BI132" s="132" t="n"/>
      <c r="BJ132" s="132" t="n"/>
      <c r="BK132" s="132" t="n"/>
      <c r="BL132" s="132" t="n"/>
      <c r="BM132" s="154" t="n"/>
      <c r="BN132" s="132" t="n"/>
      <c r="BO132" s="132" t="n"/>
      <c r="BP132" s="132" t="n"/>
      <c r="BQ132" s="132" t="n"/>
    </row>
    <row r="133" ht="30.75" customFormat="1" customHeight="1" s="763">
      <c r="A133" s="753" t="inlineStr">
        <is>
          <t>Sul</t>
        </is>
      </c>
      <c r="B133" s="754" t="inlineStr">
        <is>
          <t>RS</t>
        </is>
      </c>
      <c r="C133" s="754" t="inlineStr">
        <is>
          <t>TENENTE PORTELA</t>
        </is>
      </c>
      <c r="D133" s="755" t="inlineStr">
        <is>
          <t>ASSOCIACAO HOSPITALAR BENEFICIENTE SANTO ANTONIO</t>
        </is>
      </c>
      <c r="E133" s="756" t="inlineStr">
        <is>
          <t>08.579.164/0001-27</t>
        </is>
      </c>
      <c r="F133" s="764" t="n">
        <v>5384117</v>
      </c>
      <c r="G133" s="753" t="inlineStr">
        <is>
          <t>SEI</t>
        </is>
      </c>
      <c r="H133" s="753" t="inlineStr">
        <is>
          <t>Convênio</t>
        </is>
      </c>
      <c r="I133" s="754" t="n">
        <v>991708</v>
      </c>
      <c r="J133" s="757" t="n"/>
      <c r="K133" s="757" t="inlineStr">
        <is>
          <t>25000.2266522/2025-60</t>
        </is>
      </c>
      <c r="L133" s="753" t="n"/>
      <c r="M133" s="753" t="n">
        <v>1</v>
      </c>
      <c r="N133" s="753" t="n">
        <v>2025</v>
      </c>
      <c r="O133" s="753" t="n">
        <v>1</v>
      </c>
      <c r="P133" s="753" t="inlineStr">
        <is>
          <t>UND</t>
        </is>
      </c>
      <c r="Q133" s="753" t="inlineStr">
        <is>
          <t>Mamógrafo</t>
        </is>
      </c>
      <c r="R133" s="758" t="inlineStr">
        <is>
          <t>30/12/2025</t>
        </is>
      </c>
      <c r="S133" s="758" t="inlineStr">
        <is>
          <t>23/06/27</t>
        </is>
      </c>
      <c r="T133" s="758" t="inlineStr">
        <is>
          <t>22/08/27</t>
        </is>
      </c>
      <c r="U133" s="759" t="n"/>
      <c r="V133" s="759" t="n">
        <v>1396507</v>
      </c>
      <c r="W133" s="759" t="inlineStr">
        <is>
          <t>1.349.000,00</t>
        </is>
      </c>
      <c r="X133" s="759" t="n">
        <v>0</v>
      </c>
      <c r="Y133" s="753" t="n"/>
      <c r="Z133" s="758" t="inlineStr">
        <is>
          <t>30/06/2026</t>
        </is>
      </c>
      <c r="AA133" s="753" t="n"/>
      <c r="AB133" s="753" t="n"/>
      <c r="AC133" s="753" t="n"/>
      <c r="AD133" s="759" t="n"/>
      <c r="AE133" s="753" t="n"/>
      <c r="AF133" s="753" t="inlineStr">
        <is>
          <t>EM EXECUÇÃO</t>
        </is>
      </c>
      <c r="AG133" s="753" t="n"/>
      <c r="AH133" s="753" t="n"/>
      <c r="AI133" s="760" t="n"/>
      <c r="AJ133" s="761" t="inlineStr">
        <is>
          <t>Leonardo Barsante</t>
        </is>
      </c>
      <c r="AK133" s="753" t="inlineStr">
        <is>
          <t>BRUNA</t>
        </is>
      </c>
      <c r="AL133" s="753" t="inlineStr">
        <is>
          <t>Tático</t>
        </is>
      </c>
      <c r="AM133" s="753" t="inlineStr">
        <is>
          <t>Iniciado</t>
        </is>
      </c>
      <c r="AN133" s="753" t="inlineStr">
        <is>
          <t>Substituição</t>
        </is>
      </c>
      <c r="AO133" s="753" t="inlineStr">
        <is>
          <t>Rastreamento</t>
        </is>
      </c>
      <c r="AP133" s="753" t="n"/>
      <c r="AQ133" s="753" t="n"/>
      <c r="AR133" s="753" t="inlineStr">
        <is>
          <t>Verificar realmente substituição (análogico x digital)</t>
        </is>
      </c>
      <c r="AS133" s="753" t="n"/>
      <c r="AT133" s="753" t="n"/>
      <c r="AU133" s="758" t="n"/>
      <c r="AV133" s="758" t="n"/>
      <c r="AW133" s="758" t="n"/>
      <c r="AX133" s="758" t="n"/>
      <c r="AY133" s="758" t="n"/>
      <c r="AZ133" s="758" t="n"/>
      <c r="BA133" s="753" t="n"/>
      <c r="BB133" s="753" t="n"/>
      <c r="BC133" s="753" t="n"/>
      <c r="BD133" s="753" t="n"/>
      <c r="BE133" s="762" t="n"/>
      <c r="BF133" s="753" t="n"/>
      <c r="BG133" s="753" t="n"/>
      <c r="BH133" s="753" t="n"/>
      <c r="BI133" s="753" t="n"/>
      <c r="BJ133" s="753" t="n"/>
      <c r="BK133" s="753" t="n"/>
      <c r="BL133" s="753" t="n"/>
      <c r="BM133" s="758" t="n"/>
      <c r="BN133" s="753" t="n"/>
      <c r="BO133" s="753" t="n"/>
      <c r="BP133" s="753" t="n"/>
      <c r="BQ133" s="753" t="n"/>
    </row>
    <row r="134" ht="16.5" customHeight="1">
      <c r="A134" s="32" t="inlineStr">
        <is>
          <t>SUDESTE</t>
        </is>
      </c>
      <c r="B134" s="32" t="inlineStr">
        <is>
          <t>MG</t>
        </is>
      </c>
      <c r="C134" s="32" t="inlineStr">
        <is>
          <t>Muriae</t>
        </is>
      </c>
      <c r="D134" t="inlineStr">
        <is>
          <t>FUNDACAO CRISTIANO VARELLA</t>
        </is>
      </c>
      <c r="E134" s="765" t="inlineStr">
        <is>
          <t>00961315000103</t>
        </is>
      </c>
      <c r="F134" s="765" t="inlineStr">
        <is>
          <t>2195453</t>
        </is>
      </c>
      <c r="G134" s="8" t="inlineStr">
        <is>
          <t>SEI</t>
        </is>
      </c>
      <c r="H134" s="8" t="inlineStr">
        <is>
          <t>Convênio</t>
        </is>
      </c>
      <c r="I134" t="inlineStr">
        <is>
          <t>950115</t>
        </is>
      </c>
      <c r="J134" s="766" t="inlineStr">
        <is>
          <t>90096123004</t>
        </is>
      </c>
      <c r="K134" s="98" t="inlineStr">
        <is>
          <t>25000.177706/2023-94</t>
        </is>
      </c>
      <c r="L134" s="32" t="n"/>
      <c r="M134" s="32" t="n">
        <v>1</v>
      </c>
      <c r="N134" s="32" t="n">
        <v>2023</v>
      </c>
      <c r="O134" s="32" t="n">
        <v>1</v>
      </c>
      <c r="P134" s="32" t="inlineStr">
        <is>
          <t>UND</t>
        </is>
      </c>
      <c r="Q134" s="32" t="n"/>
      <c r="R134" s="103" t="n">
        <v>45265</v>
      </c>
      <c r="S134" s="103" t="n">
        <v>46275</v>
      </c>
      <c r="T134" s="103" t="n">
        <v>46090</v>
      </c>
      <c r="U134" s="323" t="n"/>
      <c r="V134" s="323" t="n">
        <v>3215250</v>
      </c>
      <c r="W134" s="323" t="n"/>
      <c r="X134" s="323" t="n"/>
      <c r="Y134" s="32" t="n"/>
      <c r="Z134" s="103" t="n"/>
      <c r="AA134" s="32" t="n"/>
      <c r="AB134" s="32" t="n"/>
      <c r="AC134" s="32" t="n"/>
      <c r="AD134" s="323" t="n"/>
      <c r="AE134" s="32" t="n"/>
      <c r="AF134" s="32" t="inlineStr">
        <is>
          <t>NORMAL</t>
        </is>
      </c>
      <c r="AG134" s="32" t="n"/>
      <c r="AH134" s="32" t="n"/>
      <c r="AI134" s="131" t="n"/>
      <c r="AJ134" s="32" t="n"/>
      <c r="AK134" s="32" t="n"/>
      <c r="AL134" s="32" t="n"/>
      <c r="AM134" s="32" t="n"/>
      <c r="AN134" s="32" t="n"/>
      <c r="AO134" s="32" t="n"/>
      <c r="AP134" s="32" t="n"/>
      <c r="AQ134" s="32" t="n"/>
      <c r="AR134" s="406" t="n"/>
      <c r="AS134" s="406" t="n"/>
      <c r="AT134" s="406" t="n"/>
      <c r="AU134" s="338" t="n"/>
      <c r="AV134" s="338" t="n"/>
      <c r="AW134" s="338" t="n"/>
      <c r="AX134" s="338" t="n"/>
      <c r="AY134" s="338" t="n"/>
      <c r="AZ134" s="338" t="n"/>
      <c r="BA134" s="94" t="n"/>
      <c r="BB134" s="94" t="n"/>
      <c r="BC134" s="94" t="n"/>
      <c r="BD134" s="94" t="n"/>
      <c r="BE134" s="72" t="n"/>
      <c r="BF134" s="32" t="n"/>
      <c r="BG134" s="94" t="n"/>
      <c r="BH134" s="94" t="n"/>
      <c r="BI134" s="32" t="n"/>
      <c r="BJ134" s="32" t="n"/>
      <c r="BK134" s="32" t="n"/>
      <c r="BL134" s="32" t="n"/>
      <c r="BM134" s="103" t="n"/>
      <c r="BN134" s="32" t="n"/>
      <c r="BO134" s="32" t="n"/>
      <c r="BP134" s="32" t="n"/>
      <c r="BQ134" s="32" t="n"/>
    </row>
    <row r="135">
      <c r="A135" s="32" t="n"/>
      <c r="B135" s="32" t="n"/>
      <c r="C135" s="32" t="n"/>
      <c r="D135" s="32" t="n"/>
      <c r="E135" s="98" t="n"/>
      <c r="F135" s="98" t="n"/>
      <c r="G135" s="32" t="n"/>
      <c r="H135" s="32" t="n"/>
      <c r="I135" s="98" t="n"/>
      <c r="J135" s="497" t="n"/>
      <c r="K135" s="98" t="n"/>
      <c r="L135" s="32" t="n"/>
      <c r="M135" s="32" t="n"/>
      <c r="N135" s="32" t="n"/>
      <c r="O135" s="32" t="n"/>
      <c r="P135" s="32" t="n"/>
      <c r="Q135" s="32" t="n"/>
      <c r="R135" s="103" t="n"/>
      <c r="S135" s="103" t="n"/>
      <c r="T135" s="103" t="n"/>
      <c r="U135" s="323" t="n"/>
      <c r="V135" s="323" t="n"/>
      <c r="W135" s="323" t="n"/>
      <c r="X135" s="323" t="n"/>
      <c r="Y135" s="32" t="n"/>
      <c r="Z135" s="103" t="n"/>
      <c r="AA135" s="32" t="n"/>
      <c r="AB135" s="32" t="n"/>
      <c r="AC135" s="32" t="n"/>
      <c r="AD135" s="323" t="n"/>
      <c r="AE135" s="32" t="n"/>
      <c r="AF135" s="32" t="n"/>
      <c r="AG135" s="32" t="n"/>
      <c r="AH135" s="32" t="n"/>
      <c r="AI135" s="131" t="n"/>
      <c r="AJ135" s="32" t="n"/>
      <c r="AK135" s="32" t="n"/>
      <c r="AL135" s="32" t="n"/>
      <c r="AM135" s="32" t="n"/>
      <c r="AN135" s="32" t="n"/>
      <c r="AO135" s="32" t="n"/>
      <c r="AP135" s="32" t="n"/>
      <c r="AQ135" s="32" t="n"/>
      <c r="AR135" s="38" t="n"/>
      <c r="AS135" s="38" t="n"/>
      <c r="AT135" s="396" t="n"/>
      <c r="AU135" s="338" t="n"/>
      <c r="AV135" s="338" t="n"/>
      <c r="AW135" s="338" t="n"/>
      <c r="AX135" s="338" t="n"/>
      <c r="AY135" s="338" t="n"/>
      <c r="AZ135" s="338" t="n"/>
      <c r="BA135" s="32" t="n"/>
      <c r="BB135" s="32" t="n"/>
      <c r="BC135" s="32" t="n"/>
      <c r="BD135" s="32" t="n"/>
      <c r="BE135" s="72" t="n"/>
      <c r="BF135" s="32" t="n"/>
      <c r="BG135" s="32" t="n"/>
      <c r="BH135" s="32" t="n"/>
      <c r="BI135" s="32" t="n"/>
      <c r="BJ135" s="32" t="n"/>
      <c r="BK135" s="32" t="n"/>
      <c r="BL135" s="32" t="n"/>
      <c r="BM135" s="103" t="n"/>
      <c r="BN135" s="32" t="n"/>
      <c r="BO135" s="32" t="n"/>
      <c r="BP135" s="32" t="n"/>
      <c r="BQ135" s="32" t="n"/>
    </row>
    <row r="136">
      <c r="A136" s="32" t="n"/>
      <c r="B136" s="32" t="n"/>
      <c r="C136" s="32" t="n"/>
      <c r="D136" s="32" t="n"/>
      <c r="E136" s="98" t="n"/>
      <c r="F136" s="98" t="n"/>
      <c r="G136" s="32" t="n"/>
      <c r="H136" s="32" t="n"/>
      <c r="I136" s="98" t="n"/>
      <c r="J136" s="497" t="n"/>
      <c r="K136" s="98" t="n"/>
      <c r="L136" s="32" t="n"/>
      <c r="M136" s="32" t="n"/>
      <c r="N136" s="32" t="n"/>
      <c r="O136" s="32" t="n"/>
      <c r="P136" s="32" t="n"/>
      <c r="Q136" s="32" t="n"/>
      <c r="R136" s="103" t="n"/>
      <c r="S136" s="103" t="n"/>
      <c r="T136" s="103" t="n"/>
      <c r="U136" s="323" t="n"/>
      <c r="V136" s="323" t="n"/>
      <c r="W136" s="323" t="n"/>
      <c r="X136" s="323" t="n"/>
      <c r="Y136" s="32" t="n"/>
      <c r="Z136" s="103" t="n"/>
      <c r="AA136" s="32" t="n"/>
      <c r="AB136" s="32" t="n"/>
      <c r="AC136" s="32" t="n"/>
      <c r="AD136" s="323" t="n"/>
      <c r="AE136" s="32" t="n"/>
      <c r="AF136" s="32" t="n"/>
      <c r="AG136" s="32" t="n"/>
      <c r="AH136" s="32" t="n"/>
      <c r="AI136" s="131" t="n"/>
      <c r="AJ136" s="32" t="n"/>
      <c r="AK136" s="32" t="n"/>
      <c r="AL136" s="32" t="n"/>
      <c r="AM136" s="32" t="n"/>
      <c r="AN136" s="32" t="n"/>
      <c r="AO136" s="32" t="n"/>
      <c r="AP136" s="32" t="n"/>
      <c r="AQ136" s="32" t="n"/>
      <c r="AR136" s="38" t="n"/>
      <c r="AS136" s="38" t="n"/>
      <c r="AT136" s="396" t="n"/>
      <c r="AU136" s="338" t="n"/>
      <c r="AV136" s="338" t="n"/>
      <c r="AW136" s="338" t="n"/>
      <c r="AX136" s="338" t="n"/>
      <c r="AY136" s="338" t="n"/>
      <c r="AZ136" s="338" t="n"/>
      <c r="BA136" s="32" t="n"/>
      <c r="BB136" s="32" t="n"/>
      <c r="BC136" s="32" t="n"/>
      <c r="BD136" s="32" t="n"/>
      <c r="BE136" s="72" t="n"/>
      <c r="BF136" s="32" t="n"/>
      <c r="BG136" s="32" t="n"/>
      <c r="BH136" s="32" t="n"/>
      <c r="BI136" s="32" t="n"/>
      <c r="BJ136" s="32" t="n"/>
      <c r="BK136" s="32" t="n"/>
      <c r="BL136" s="32" t="n"/>
      <c r="BM136" s="103" t="n"/>
      <c r="BN136" s="32" t="n"/>
      <c r="BO136" s="32" t="n"/>
      <c r="BP136" s="32" t="n"/>
      <c r="BQ136" s="32" t="n"/>
    </row>
    <row r="137">
      <c r="A137" s="32" t="n"/>
      <c r="B137" s="32" t="n"/>
      <c r="C137" s="32" t="n"/>
      <c r="D137" s="32" t="n"/>
      <c r="E137" s="98" t="n"/>
      <c r="F137" s="98" t="n"/>
      <c r="G137" s="32" t="n"/>
      <c r="H137" s="32" t="n"/>
      <c r="I137" s="98" t="n"/>
      <c r="J137" s="497" t="n"/>
      <c r="K137" s="98" t="n"/>
      <c r="L137" s="32" t="n"/>
      <c r="M137" s="32" t="n"/>
      <c r="N137" s="32" t="n"/>
      <c r="O137" s="32" t="n"/>
      <c r="P137" s="32" t="n"/>
      <c r="Q137" s="32" t="n"/>
      <c r="R137" s="103" t="n"/>
      <c r="S137" s="103" t="n"/>
      <c r="T137" s="103" t="n"/>
      <c r="U137" s="323" t="n"/>
      <c r="V137" s="323" t="n"/>
      <c r="W137" s="323" t="n"/>
      <c r="X137" s="323" t="n"/>
      <c r="Y137" s="32" t="n"/>
      <c r="Z137" s="103" t="n"/>
      <c r="AA137" s="32" t="n"/>
      <c r="AB137" s="32" t="n"/>
      <c r="AC137" s="32" t="n"/>
      <c r="AD137" s="323" t="n"/>
      <c r="AE137" s="32" t="n"/>
      <c r="AF137" s="32" t="n"/>
      <c r="AG137" s="32" t="n"/>
      <c r="AH137" s="32" t="n"/>
      <c r="AI137" s="131" t="n"/>
      <c r="AJ137" s="32" t="n"/>
      <c r="AK137" s="32" t="n"/>
      <c r="AL137" s="32" t="n"/>
      <c r="AM137" s="32" t="n"/>
      <c r="AN137" s="32" t="n"/>
      <c r="AO137" s="32" t="n"/>
      <c r="AP137" s="32" t="n"/>
      <c r="AQ137" s="32" t="n"/>
      <c r="AR137" s="38" t="n"/>
      <c r="AS137" s="38" t="n"/>
      <c r="AT137" s="396" t="n"/>
      <c r="AU137" s="338" t="n"/>
      <c r="AV137" s="338" t="n"/>
      <c r="AW137" s="338" t="n"/>
      <c r="AX137" s="338" t="n"/>
      <c r="AY137" s="338" t="n"/>
      <c r="AZ137" s="338" t="n"/>
      <c r="BA137" s="32" t="n"/>
      <c r="BB137" s="32" t="n"/>
      <c r="BC137" s="32" t="n"/>
      <c r="BD137" s="32" t="n"/>
      <c r="BE137" s="72" t="n"/>
      <c r="BF137" s="32" t="n"/>
      <c r="BG137" s="32" t="n"/>
      <c r="BH137" s="32" t="n"/>
      <c r="BI137" s="32" t="n"/>
      <c r="BJ137" s="32" t="n"/>
      <c r="BK137" s="32" t="n"/>
      <c r="BL137" s="32" t="n"/>
      <c r="BM137" s="103" t="n"/>
      <c r="BN137" s="32" t="n"/>
      <c r="BO137" s="32" t="n"/>
      <c r="BP137" s="32" t="n"/>
      <c r="BQ137" s="32" t="n"/>
    </row>
    <row r="138">
      <c r="A138" s="32" t="n"/>
      <c r="B138" s="32" t="n"/>
      <c r="C138" s="32" t="n"/>
      <c r="D138" s="32" t="n"/>
      <c r="E138" s="98" t="n"/>
      <c r="F138" s="98" t="n"/>
      <c r="G138" s="32" t="n"/>
      <c r="H138" s="32" t="n"/>
      <c r="I138" s="98" t="n"/>
      <c r="J138" s="497" t="n"/>
      <c r="K138" s="98" t="n"/>
      <c r="L138" s="32" t="n"/>
      <c r="M138" s="32" t="n"/>
      <c r="N138" s="32" t="n"/>
      <c r="O138" s="32" t="n"/>
      <c r="P138" s="32" t="n"/>
      <c r="Q138" s="32" t="n"/>
      <c r="R138" s="103" t="n"/>
      <c r="S138" s="103" t="n"/>
      <c r="T138" s="103" t="n"/>
      <c r="U138" s="323" t="n"/>
      <c r="V138" s="323" t="n"/>
      <c r="W138" s="323" t="n"/>
      <c r="X138" s="323" t="n"/>
      <c r="Y138" s="32" t="n"/>
      <c r="Z138" s="103" t="n"/>
      <c r="AA138" s="32" t="n"/>
      <c r="AB138" s="32" t="n"/>
      <c r="AC138" s="32" t="n"/>
      <c r="AD138" s="323" t="n"/>
      <c r="AE138" s="32" t="n"/>
      <c r="AF138" s="32" t="n"/>
      <c r="AG138" s="32" t="n"/>
      <c r="AH138" s="32" t="n"/>
      <c r="AI138" s="131" t="n"/>
      <c r="AJ138" s="32" t="n"/>
      <c r="AK138" s="32" t="n"/>
      <c r="AL138" s="32" t="n"/>
      <c r="AM138" s="32" t="n"/>
      <c r="AN138" s="32" t="n"/>
      <c r="AO138" s="32" t="n"/>
      <c r="AP138" s="32" t="n"/>
      <c r="AQ138" s="32" t="n"/>
      <c r="AR138" s="38" t="n"/>
      <c r="AS138" s="38" t="n"/>
      <c r="AT138" s="396" t="n"/>
      <c r="AU138" s="338" t="n"/>
      <c r="AV138" s="338" t="n"/>
      <c r="AW138" s="338" t="n"/>
      <c r="AX138" s="338" t="n"/>
      <c r="AY138" s="338" t="n"/>
      <c r="AZ138" s="338" t="n"/>
      <c r="BA138" s="32" t="n"/>
      <c r="BB138" s="32" t="n"/>
      <c r="BC138" s="32" t="n"/>
      <c r="BD138" s="32" t="n"/>
      <c r="BE138" s="72" t="n"/>
      <c r="BF138" s="32" t="n"/>
      <c r="BG138" s="32" t="n"/>
      <c r="BH138" s="32" t="n"/>
      <c r="BI138" s="32" t="n"/>
      <c r="BJ138" s="32" t="n"/>
      <c r="BK138" s="32" t="n"/>
      <c r="BL138" s="32" t="n"/>
      <c r="BM138" s="103" t="n"/>
      <c r="BN138" s="32" t="n"/>
      <c r="BO138" s="32" t="n"/>
      <c r="BP138" s="32" t="n"/>
      <c r="BQ138" s="32" t="n"/>
    </row>
    <row r="139">
      <c r="A139" s="32" t="n"/>
      <c r="B139" s="32" t="n"/>
      <c r="C139" s="32" t="n"/>
      <c r="D139" s="32" t="n"/>
      <c r="E139" s="98" t="n"/>
      <c r="F139" s="98" t="n"/>
      <c r="G139" s="32" t="n"/>
      <c r="H139" s="32" t="n"/>
      <c r="I139" s="98" t="n"/>
      <c r="J139" s="497" t="n"/>
      <c r="K139" s="98" t="n"/>
      <c r="L139" s="32" t="n"/>
      <c r="M139" s="32" t="n"/>
      <c r="N139" s="32" t="n"/>
      <c r="O139" s="32" t="n"/>
      <c r="P139" s="32" t="n"/>
      <c r="Q139" s="32" t="n"/>
      <c r="R139" s="103" t="n"/>
      <c r="S139" s="103" t="n"/>
      <c r="T139" s="103" t="n"/>
      <c r="U139" s="323" t="n"/>
      <c r="V139" s="323" t="n"/>
      <c r="W139" s="323" t="n"/>
      <c r="X139" s="323" t="n"/>
      <c r="Y139" s="32" t="n"/>
      <c r="Z139" s="103" t="n"/>
      <c r="AA139" s="32" t="n"/>
      <c r="AB139" s="32" t="n"/>
      <c r="AC139" s="32" t="n"/>
      <c r="AD139" s="323" t="n"/>
      <c r="AE139" s="32" t="n"/>
      <c r="AF139" s="32" t="n"/>
      <c r="AG139" s="32" t="n"/>
      <c r="AH139" s="32" t="n"/>
      <c r="AI139" s="131" t="n"/>
      <c r="AJ139" s="32" t="n"/>
      <c r="AK139" s="32" t="n"/>
      <c r="AL139" s="32" t="n"/>
      <c r="AM139" s="32" t="n"/>
      <c r="AN139" s="32" t="n"/>
      <c r="AO139" s="32" t="n"/>
      <c r="AP139" s="32" t="n"/>
      <c r="AQ139" s="32" t="n"/>
      <c r="AR139" s="38" t="n"/>
      <c r="AS139" s="38" t="n"/>
      <c r="AT139" s="396" t="n"/>
      <c r="AU139" s="338" t="n"/>
      <c r="AV139" s="338" t="n"/>
      <c r="AW139" s="338" t="n"/>
      <c r="AX139" s="338" t="n"/>
      <c r="AY139" s="338" t="n"/>
      <c r="AZ139" s="338" t="n"/>
      <c r="BA139" s="32" t="n"/>
      <c r="BB139" s="32" t="n"/>
      <c r="BC139" s="32" t="n"/>
      <c r="BD139" s="32" t="n"/>
      <c r="BE139" s="72" t="n"/>
      <c r="BF139" s="32" t="n"/>
      <c r="BG139" s="32" t="n"/>
      <c r="BH139" s="32" t="n"/>
      <c r="BI139" s="32" t="n"/>
      <c r="BJ139" s="32" t="n"/>
      <c r="BK139" s="32" t="n"/>
      <c r="BL139" s="32" t="n"/>
      <c r="BM139" s="103" t="n"/>
      <c r="BN139" s="32" t="n"/>
      <c r="BO139" s="32" t="n"/>
      <c r="BP139" s="32" t="n"/>
      <c r="BQ139" s="32" t="n"/>
    </row>
    <row r="140"/>
    <row r="141"/>
    <row r="142"/>
    <row r="143"/>
    <row r="144"/>
    <row r="145"/>
    <row r="146"/>
    <row r="147">
      <c r="I147" s="482" t="n"/>
    </row>
    <row r="148">
      <c r="I148" s="481" t="n"/>
    </row>
    <row r="149"/>
    <row r="150"/>
    <row r="151"/>
    <row r="152"/>
    <row r="153"/>
    <row r="154"/>
    <row r="155"/>
    <row r="156"/>
    <row r="157"/>
    <row r="158"/>
    <row r="159"/>
    <row r="160"/>
    <row r="161"/>
    <row r="162"/>
    <row r="163"/>
    <row r="164"/>
    <row r="165"/>
    <row r="166"/>
    <row r="167"/>
    <row r="168"/>
    <row r="169"/>
    <row r="170"/>
    <row r="171"/>
    <row r="172">
      <c r="AR172" s="165" t="n"/>
      <c r="AS172" s="165" t="n"/>
      <c r="AT172" s="751" t="n"/>
    </row>
  </sheetData>
  <autoFilter ref="A1:XER134"/>
  <conditionalFormatting sqref="AI132:AI144 AI147:AI1048576">
    <cfRule type="expression" priority="14" dxfId="5">
      <formula>$AF133="Concluído"</formula>
    </cfRule>
    <cfRule type="expression" priority="15" dxfId="4">
      <formula>$AG133="Em andamento"</formula>
    </cfRule>
    <cfRule type="expression" priority="16" dxfId="3">
      <formula>$AG133="Aguardando Repasse"</formula>
    </cfRule>
    <cfRule type="expression" priority="17" dxfId="2">
      <formula>$AG133="Equipamento em aquisição"</formula>
    </cfRule>
    <cfRule type="expression" priority="18" dxfId="1">
      <formula>$AG133="Contratado"</formula>
    </cfRule>
    <cfRule type="expression" priority="19" dxfId="0">
      <formula>$AG133="Em licitação"</formula>
    </cfRule>
  </conditionalFormatting>
  <conditionalFormatting sqref="AI1:AI53">
    <cfRule type="expression" priority="22" dxfId="5">
      <formula>$AE2="Concluído"</formula>
    </cfRule>
    <cfRule type="expression" priority="26" dxfId="4">
      <formula>$AF2="Em andamento"</formula>
    </cfRule>
    <cfRule type="expression" priority="30" dxfId="3">
      <formula>$AF2="Aguardando Repasse"</formula>
    </cfRule>
    <cfRule type="expression" priority="34" dxfId="2">
      <formula>$AF2="Equipamento em aquisição"</formula>
    </cfRule>
    <cfRule type="expression" priority="38" dxfId="1">
      <formula>$AF2="Contratado"</formula>
    </cfRule>
    <cfRule type="expression" priority="42" dxfId="0">
      <formula>$AF2="Em licitação"</formula>
    </cfRule>
  </conditionalFormatting>
  <conditionalFormatting sqref="AI118:AI119 AI123:AI124 AI127 AI130:AI131">
    <cfRule type="expression" priority="45" dxfId="5">
      <formula>$AG120="Concluído"</formula>
    </cfRule>
    <cfRule type="expression" priority="49" dxfId="4">
      <formula>$AH120="Em andamento"</formula>
    </cfRule>
    <cfRule type="expression" priority="53" dxfId="3">
      <formula>$AH120="Aguardando Repasse"</formula>
    </cfRule>
    <cfRule type="expression" priority="57" dxfId="2">
      <formula>$AH120="Equipamento em aquisição"</formula>
    </cfRule>
    <cfRule type="expression" priority="61" dxfId="1">
      <formula>$AH120="Contratado"</formula>
    </cfRule>
    <cfRule type="expression" priority="65" dxfId="0">
      <formula>$AH120="Em licitação"</formula>
    </cfRule>
  </conditionalFormatting>
  <conditionalFormatting sqref="AI125:AI126">
    <cfRule type="expression" priority="66" dxfId="5">
      <formula>$AG128="Concluído"</formula>
    </cfRule>
    <cfRule type="expression" priority="68" dxfId="4">
      <formula>$AH128="Em andamento"</formula>
    </cfRule>
    <cfRule type="expression" priority="70" dxfId="3">
      <formula>$AH128="Aguardando Repasse"</formula>
    </cfRule>
    <cfRule type="expression" priority="72" dxfId="2">
      <formula>$AH128="Equipamento em aquisição"</formula>
    </cfRule>
    <cfRule type="expression" priority="74" dxfId="1">
      <formula>$AH128="Contratado"</formula>
    </cfRule>
    <cfRule type="expression" priority="76" dxfId="0">
      <formula>$AH128="Em licitação"</formula>
    </cfRule>
  </conditionalFormatting>
  <conditionalFormatting sqref="AI54:AI117 AI120:AI122 AI128:AI129">
    <cfRule type="expression" priority="77" dxfId="5">
      <formula>$AG55="Concluído"</formula>
    </cfRule>
    <cfRule type="expression" priority="80" dxfId="4">
      <formula>$AH55="Em andamento"</formula>
    </cfRule>
    <cfRule type="expression" priority="83" dxfId="3">
      <formula>$AH55="Aguardando Repasse"</formula>
    </cfRule>
    <cfRule type="expression" priority="86" dxfId="2">
      <formula>$AH55="Equipamento em aquisição"</formula>
    </cfRule>
    <cfRule type="expression" priority="89" dxfId="1">
      <formula>$AH55="Contratado"</formula>
    </cfRule>
    <cfRule type="expression" priority="92" dxfId="0">
      <formula>$AH55="Em licitação"</formula>
    </cfRule>
  </conditionalFormatting>
  <conditionalFormatting sqref="AI145:AI146">
    <cfRule type="expression" priority="95" dxfId="5">
      <formula>$AF147="Concluído"</formula>
    </cfRule>
    <cfRule type="expression" priority="99" dxfId="4">
      <formula>$AG147="Em andamento"</formula>
    </cfRule>
    <cfRule type="expression" priority="103" dxfId="3">
      <formula>$AG147="Aguardando Repasse"</formula>
    </cfRule>
    <cfRule type="expression" priority="107" dxfId="2">
      <formula>$AG147="Equipamento em aquisição"</formula>
    </cfRule>
    <cfRule type="expression" priority="111" dxfId="1">
      <formula>$AG147="Contratado"</formula>
    </cfRule>
    <cfRule type="expression" priority="115" dxfId="0">
      <formula>$AG147="Em licitação"</formula>
    </cfRule>
  </conditionalFormatting>
  <dataValidations count="3">
    <dataValidation sqref="AF45 AF50:AG50 AG1:AG48 AG52:AG1048576" showDropDown="0" showInputMessage="1" showErrorMessage="1" allowBlank="1" type="list">
      <formula1>"Aguardando repasse, Comissionamento, Concluído, Contratado, Em andamento, Em licitação, Equipamento em aquisição, Equipamento entregue, Não iniciado, NI"</formula1>
    </dataValidation>
    <dataValidation sqref="AF1:AF44 AF46:AF49 AF51:AF1048576" showDropDown="0" showInputMessage="1" showErrorMessage="1" allowBlank="1" type="list">
      <formula1>"Concluído, Em execução, Em licitação, Não iniciado, NI"</formula1>
    </dataValidation>
    <dataValidation sqref="BE46:BE47" showDropDown="0" showInputMessage="1" showErrorMessage="1" allowBlank="1" type="list">
      <formula1>"Inaugurado, Entregue, Aguardando licença de operação, Treinamento em andamento, Comissionamento, Instalação concluída, Montagem em andamento, Reforma em andamento, Descomissionamento, Aguardando repasse, Licitação aguardando aceite, Em licitação, NI"</formula1>
    </dataValidation>
  </dataValidations>
  <pageMargins left="0.511811024" right="0.511811024" top="0.787401575" bottom="0.787401575" header="0.31496062" footer="0.31496062"/>
</worksheet>
</file>

<file path=xl/worksheets/sheet4.xml><?xml version="1.0" encoding="utf-8"?>
<worksheet xmlns="http://schemas.openxmlformats.org/spreadsheetml/2006/main">
  <sheetPr>
    <outlinePr summaryBelow="1" summaryRight="1"/>
    <pageSetUpPr/>
  </sheetPr>
  <dimension ref="A1:CT216"/>
  <sheetViews>
    <sheetView workbookViewId="0">
      <pane ySplit="1" topLeftCell="A120" activePane="bottomLeft" state="frozen"/>
      <selection pane="bottomLeft" activeCell="AE16" sqref="AD16:AE16"/>
    </sheetView>
  </sheetViews>
  <sheetFormatPr baseColWidth="8" defaultRowHeight="15" outlineLevelRow="1"/>
  <cols>
    <col width="12.5703125" bestFit="1" customWidth="1" style="138" min="1" max="1"/>
    <col width="4.28515625" bestFit="1" customWidth="1" style="133" min="2" max="2"/>
    <col width="13.42578125" customWidth="1" style="138" min="3" max="3"/>
    <col width="27.7109375" customWidth="1" style="133" min="4" max="4"/>
    <col width="18.28515625" customWidth="1" style="133" min="5" max="5"/>
    <col width="27.28515625" customWidth="1" style="138" min="6" max="6"/>
    <col width="14.28515625" customWidth="1" style="133" min="7" max="7"/>
    <col outlineLevel="1" width="25" customWidth="1" style="133" min="8" max="8"/>
    <col outlineLevel="1" width="25.85546875" customWidth="1" style="133" min="9" max="9"/>
    <col width="16.42578125" customWidth="1" style="133" min="10" max="10"/>
    <col width="9.140625" customWidth="1" style="133" min="11" max="11"/>
    <col width="10.7109375" customWidth="1" style="133" min="12" max="12"/>
    <col width="9.140625" customWidth="1" style="133" min="13" max="15"/>
    <col outlineLevel="1" width="20.5703125" customWidth="1" style="133" min="16" max="16"/>
    <col outlineLevel="1" width="24.140625" customWidth="1" style="133" min="17" max="17"/>
    <col outlineLevel="1" width="37.7109375" customWidth="1" style="138" min="18" max="18"/>
    <col outlineLevel="1" width="13.7109375" customWidth="1" style="133" min="19" max="19"/>
    <col outlineLevel="1" width="37.28515625" customWidth="1" style="133" min="20" max="20"/>
    <col outlineLevel="1" width="9.5703125" customWidth="1" style="133" min="21" max="21"/>
    <col outlineLevel="1" width="9.140625" customWidth="1" style="133" min="22" max="23"/>
    <col outlineLevel="1" width="15.5703125" customWidth="1" style="133" min="24" max="24"/>
    <col outlineLevel="1" width="23.140625" customWidth="1" style="138" min="25" max="25"/>
    <col outlineLevel="1" width="9.140625" customWidth="1" style="133" min="26" max="26"/>
    <col outlineLevel="1" width="13.85546875" customWidth="1" style="172" min="27" max="28"/>
    <col outlineLevel="1" width="14" customWidth="1" style="172" min="29" max="29"/>
    <col outlineLevel="1" width="9.140625" customWidth="1" style="133" min="30" max="31"/>
    <col outlineLevel="1" width="10.5703125" customWidth="1" style="133" min="32" max="32"/>
    <col width="18.140625" customWidth="1" style="133" min="33" max="34"/>
    <col width="10.85546875" customWidth="1" style="133" min="35" max="35"/>
    <col width="9.140625" customWidth="1" style="133" min="36" max="36"/>
    <col outlineLevel="1" width="9.140625" customWidth="1" style="133" min="37" max="50"/>
    <col width="9.140625" customWidth="1" style="133" min="51" max="54"/>
    <col width="13.140625" customWidth="1" style="133" min="55" max="55"/>
    <col outlineLevel="1" width="9.140625" customWidth="1" style="133" min="56" max="57"/>
    <col outlineLevel="1" width="9.140625" customWidth="1" style="138" min="58" max="58"/>
    <col outlineLevel="1" width="9.140625" customWidth="1" style="133" min="59" max="64"/>
    <col outlineLevel="2" width="18.42578125" customWidth="1" style="133" min="65" max="65"/>
    <col outlineLevel="2" width="9.140625" customWidth="1" style="133" min="66" max="71"/>
    <col width="14.85546875" customWidth="1" style="133" min="72" max="72"/>
    <col width="16.28515625" customWidth="1" style="133" min="73" max="73"/>
    <col width="9.140625" customWidth="1" style="133" min="74" max="16384"/>
  </cols>
  <sheetData>
    <row r="1" ht="80.25" customHeight="1">
      <c r="A1" s="108" t="inlineStr">
        <is>
          <t>REGIÃO</t>
        </is>
      </c>
      <c r="B1" s="109" t="inlineStr">
        <is>
          <t>UF</t>
        </is>
      </c>
      <c r="C1" s="109" t="inlineStr">
        <is>
          <t>MUNICIPIO</t>
        </is>
      </c>
      <c r="D1" s="109" t="inlineStr">
        <is>
          <t>PROPONENTE / ENTIDADE</t>
        </is>
      </c>
      <c r="E1" s="110" t="inlineStr">
        <is>
          <t>CNPJ</t>
        </is>
      </c>
      <c r="F1" s="109" t="inlineStr">
        <is>
          <t>UNIDADE ASSISTIDA</t>
        </is>
      </c>
      <c r="G1" s="110" t="inlineStr">
        <is>
          <t>CNES</t>
        </is>
      </c>
      <c r="H1" s="109" t="inlineStr">
        <is>
          <t>LATITUDE</t>
        </is>
      </c>
      <c r="I1" s="109" t="inlineStr">
        <is>
          <t>LONGITUDE</t>
        </is>
      </c>
      <c r="J1" s="109" t="inlineStr">
        <is>
          <t>MODALIDADE - SITE</t>
        </is>
      </c>
      <c r="K1" s="109" t="inlineStr">
        <is>
          <t>TIPO EXECUTOR</t>
        </is>
      </c>
      <c r="L1" s="109" t="inlineStr">
        <is>
          <t>NOME DE SISTEMA FONTE</t>
        </is>
      </c>
      <c r="M1" s="109" t="inlineStr">
        <is>
          <t>TIPO DE CONTRATAÇÃO (Convênio, FAF, TED)</t>
        </is>
      </c>
      <c r="N1" s="109" t="inlineStr">
        <is>
          <t>ANO DO INSTRUMENTO</t>
        </is>
      </c>
      <c r="O1" s="110" t="inlineStr">
        <is>
          <t>REGISTRO/CÓDIGO NO SISTEMA</t>
        </is>
      </c>
      <c r="P1" s="110" t="inlineStr">
        <is>
          <t>N° PROPOSTA SISPRO</t>
        </is>
      </c>
      <c r="Q1" s="110" t="inlineStr">
        <is>
          <t>NUP SEI</t>
        </is>
      </c>
      <c r="R1" s="109" t="inlineStr">
        <is>
          <t xml:space="preserve">COMPONENTE </t>
        </is>
      </c>
      <c r="S1" s="109" t="inlineStr">
        <is>
          <t>FINALIDADE</t>
        </is>
      </c>
      <c r="T1" s="109" t="inlineStr">
        <is>
          <t>TIPO DE EQUIPAMENTO</t>
        </is>
      </c>
      <c r="U1" s="109" t="inlineStr">
        <is>
          <t>META FÍSICA INSTRUMENTO</t>
        </is>
      </c>
      <c r="V1" s="109" t="inlineStr">
        <is>
          <t>META FÍSICA EQUIPAMENTO</t>
        </is>
      </c>
      <c r="W1" s="109" t="inlineStr">
        <is>
          <t>UNIDADE DE MEDIDA</t>
        </is>
      </c>
      <c r="X1" s="109" t="inlineStr">
        <is>
          <t>NATUREZA DO EMPREENDIMENTO</t>
        </is>
      </c>
      <c r="Y1" s="109" t="inlineStr">
        <is>
          <t>ID MODELO NO TRANSFEREGOV</t>
        </is>
      </c>
      <c r="Z1" s="111" t="inlineStr">
        <is>
          <t>ID CASA CIVIL</t>
        </is>
      </c>
      <c r="AA1" s="169" t="inlineStr">
        <is>
          <t>DATA DE ASSINATURA DO INSTRUMENTO (SISPRO /TRANSFEREGOV)</t>
        </is>
      </c>
      <c r="AB1" s="169" t="inlineStr">
        <is>
          <t>TÉRMINO DA VIGÊNCIA DO INSTRUMENTO (SISPRO /TRANSFEREGOV)</t>
        </is>
      </c>
      <c r="AC1" s="169" t="inlineStr">
        <is>
          <t>DATA LIMITE PARA PRESTAÇÃO DE CONTAS DO INSTRUMENTO (SISPRO /TRANSFEREGOV)</t>
        </is>
      </c>
      <c r="AD1" s="111" t="inlineStr">
        <is>
          <t>SITUAÇÃO DA LICITAÇÃO</t>
        </is>
      </c>
      <c r="AE1" s="111" t="inlineStr">
        <is>
          <t>VENCEDORA DA LICITAÇÃO</t>
        </is>
      </c>
      <c r="AF1" s="111" t="inlineStr">
        <is>
          <t>MARCA/MODELO</t>
        </is>
      </c>
      <c r="AG1" s="111" t="inlineStr">
        <is>
          <t>VALOR TOTAL DE INVESTIMENTO (VALOR GLOBAL)</t>
        </is>
      </c>
      <c r="AH1" s="111" t="inlineStr">
        <is>
          <t>VALOR CONTRAPARTIDA</t>
        </is>
      </c>
      <c r="AI1" s="112" t="inlineStr">
        <is>
          <t>DATA BASE ORÇAMENTO</t>
        </is>
      </c>
      <c r="AJ1" s="111" t="inlineStr">
        <is>
          <t>CÓDIGO DA AÇÃO ORÇAMENTÁRIA</t>
        </is>
      </c>
      <c r="AK1" s="111" t="inlineStr">
        <is>
          <t>PLANO ORÇAMENTÁRIO - PO</t>
        </is>
      </c>
      <c r="AL1" s="111" t="inlineStr">
        <is>
          <t>OGU - VALOR INVESTIMENTO PLANEJADO - 2023</t>
        </is>
      </c>
      <c r="AM1" s="111" t="inlineStr">
        <is>
          <t>OGU - VALOR INVESTIMENTO PLANEJADO - 2024</t>
        </is>
      </c>
      <c r="AN1" s="111" t="inlineStr">
        <is>
          <t>OGU - VALOR INVESTIMENTO PLANEJADO - 2025</t>
        </is>
      </c>
      <c r="AO1" s="111" t="inlineStr">
        <is>
          <t>OGU - VALOR INVESTIMENTO PLANEJADO - 2026</t>
        </is>
      </c>
      <c r="AP1" s="111" t="inlineStr">
        <is>
          <t>OGU - VALOR INVESTIMENTO PLANEJADO - APÓS 2026</t>
        </is>
      </c>
      <c r="AQ1" s="111" t="inlineStr">
        <is>
          <t xml:space="preserve"> OGU - VALOR EMPENHADO (LOA) - 2023 </t>
        </is>
      </c>
      <c r="AR1" s="111" t="inlineStr">
        <is>
          <t xml:space="preserve"> OGU - VALOR PAGO/REPASSADO (LOA) - 2023 </t>
        </is>
      </c>
      <c r="AS1" s="111" t="inlineStr">
        <is>
          <t xml:space="preserve"> OGU - VALOR PAGO (RAP) - 2023 </t>
        </is>
      </c>
      <c r="AT1" s="111" t="inlineStr">
        <is>
          <t xml:space="preserve"> ESTATAL - VALOR PAGO - 2023 </t>
        </is>
      </c>
      <c r="AU1" s="111" t="inlineStr">
        <is>
          <t xml:space="preserve"> OGU - VALOR EMPENHADO (LOA) - 2024 </t>
        </is>
      </c>
      <c r="AV1" s="111" t="inlineStr">
        <is>
          <t xml:space="preserve"> OGU - VALOR PAGO/REPASSADO (LOA) - 2024 </t>
        </is>
      </c>
      <c r="AW1" s="111" t="inlineStr">
        <is>
          <t xml:space="preserve"> OGU - VALOR PAGO (RAP) - 2024 </t>
        </is>
      </c>
      <c r="AX1" s="111" t="inlineStr">
        <is>
          <t xml:space="preserve">ESTATAL - VALOR PAGO - 2024 </t>
        </is>
      </c>
      <c r="AY1" s="111" t="inlineStr">
        <is>
          <t>SITUAÇÃO</t>
        </is>
      </c>
      <c r="AZ1" s="111" t="inlineStr">
        <is>
          <t>FASE</t>
        </is>
      </c>
      <c r="BA1" s="111" t="inlineStr">
        <is>
          <t>SITUAÇÃO - SITE</t>
        </is>
      </c>
      <c r="BB1" s="111" t="inlineStr">
        <is>
          <t>EXECUÇÃO FÍSICA (%)</t>
        </is>
      </c>
      <c r="BC1" s="112" t="inlineStr">
        <is>
          <t>PREVISÃO CONCLUSÃO DO EMPREENDIMENTO</t>
        </is>
      </c>
      <c r="BD1" s="111" t="inlineStr">
        <is>
          <t>TÉCNICO RESPONSÁVEL - TITULAR</t>
        </is>
      </c>
      <c r="BE1" s="111" t="inlineStr">
        <is>
          <t>TÉCNICO RESPONSÁVEL - SUPLENTE</t>
        </is>
      </c>
      <c r="BF1" s="111" t="inlineStr">
        <is>
          <t>STATUS DO MONITORAMENTO</t>
        </is>
      </c>
      <c r="BG1" s="112" t="inlineStr">
        <is>
          <t>PREVISÃO DE INAUGURAÇÃO DO EMPREENDIMENTO</t>
        </is>
      </c>
      <c r="BH1" s="109" t="inlineStr">
        <is>
          <t>OBSERVAÇÃO</t>
        </is>
      </c>
      <c r="BI1" s="109" t="inlineStr">
        <is>
          <t>PRÓXIMA ENTREGA PLANEJADA</t>
        </is>
      </c>
      <c r="BJ1" s="109" t="inlineStr">
        <is>
          <t>DATA DA PRÓXIMA ENTREGA PLANEJADA (dd/mm/aaaa)</t>
        </is>
      </c>
      <c r="BK1" s="109" t="inlineStr">
        <is>
          <t>PARALISADO</t>
        </is>
      </c>
      <c r="BL1" s="109" t="inlineStr">
        <is>
          <t>MOTIVO PARALIZAÇÃO</t>
        </is>
      </c>
      <c r="BM1" s="145" t="inlineStr">
        <is>
          <t>ODS</t>
        </is>
      </c>
      <c r="BN1" s="145" t="inlineStr">
        <is>
          <t>ESTADOS PRIORIZADOS PELO AGORA TEM</t>
        </is>
      </c>
      <c r="BO1" s="145" t="inlineStr">
        <is>
          <t>SAÚDE INDÍGENA</t>
        </is>
      </c>
      <c r="BP1" s="145" t="inlineStr">
        <is>
          <t>AMAZÔNIA LEGAL</t>
        </is>
      </c>
      <c r="BQ1" s="145" t="inlineStr">
        <is>
          <t>SECRETARIA RESPONSÁVEL</t>
        </is>
      </c>
      <c r="BR1" s="145" t="inlineStr">
        <is>
          <t>IBGE</t>
        </is>
      </c>
      <c r="BS1" s="145" t="inlineStr">
        <is>
          <t>ABRANGÊNCIA</t>
        </is>
      </c>
      <c r="BT1" s="157" t="inlineStr">
        <is>
          <t>DATA REPASSE FNS/INSTITUIÇÃO</t>
        </is>
      </c>
      <c r="BU1" s="158" t="inlineStr">
        <is>
          <t>VALOR REPASSE FNS</t>
        </is>
      </c>
    </row>
    <row r="2" ht="60" customFormat="1" customHeight="1" s="107">
      <c r="A2" s="113" t="inlineStr">
        <is>
          <t>SUL</t>
        </is>
      </c>
      <c r="B2" s="113" t="inlineStr">
        <is>
          <t>PR</t>
        </is>
      </c>
      <c r="C2" s="113" t="inlineStr">
        <is>
          <t>CURITIBA</t>
        </is>
      </c>
      <c r="D2" s="113" t="inlineStr">
        <is>
          <t>LIGA PARANAENSE DE COMBATE AO CANCER</t>
        </is>
      </c>
      <c r="E2" s="114" t="inlineStr">
        <is>
          <t>76591049000128</t>
        </is>
      </c>
      <c r="F2" s="149" t="inlineStr">
        <is>
          <t>HOSPITAL ERASTO GAERTNER</t>
        </is>
      </c>
      <c r="G2" s="150" t="n">
        <v>15644</v>
      </c>
      <c r="H2" s="136" t="n">
        <v>-254534641</v>
      </c>
      <c r="I2" s="137" t="n">
        <v>-492399001</v>
      </c>
      <c r="J2" s="113" t="inlineStr">
        <is>
          <t>Diagnóstico e apoio</t>
        </is>
      </c>
      <c r="K2" s="113" t="inlineStr">
        <is>
          <t>Indireta</t>
        </is>
      </c>
      <c r="L2" s="113" t="inlineStr">
        <is>
          <t>Transferegov/SEI</t>
        </is>
      </c>
      <c r="M2" s="113" t="inlineStr">
        <is>
          <t>Convênio</t>
        </is>
      </c>
      <c r="N2" s="116" t="n">
        <v>2024</v>
      </c>
      <c r="O2" s="115" t="inlineStr">
        <is>
          <t>973058</t>
        </is>
      </c>
      <c r="P2" s="114" t="inlineStr">
        <is>
          <t>97659124008</t>
        </is>
      </c>
      <c r="Q2" s="114" t="inlineStr">
        <is>
          <t>25000.196562/2024-56</t>
        </is>
      </c>
      <c r="R2" s="113" t="inlineStr">
        <is>
          <t>REDE DE ATENÇÃO À PESSOA COM DOENÇAS CRÔNICAS - HOSPITAL HABILITADO NA ALTA COMPLEXIDADE EM ONCOLOGIA</t>
        </is>
      </c>
      <c r="S2" s="119" t="inlineStr">
        <is>
          <t>Substituição</t>
        </is>
      </c>
      <c r="T2" s="113" t="inlineStr">
        <is>
          <t>Vários</t>
        </is>
      </c>
      <c r="U2" s="113" t="n">
        <v>7</v>
      </c>
      <c r="V2" s="113" t="inlineStr">
        <is>
          <t>NA</t>
        </is>
      </c>
      <c r="W2" s="113" t="inlineStr">
        <is>
          <t>UND</t>
        </is>
      </c>
      <c r="X2" s="113" t="inlineStr">
        <is>
          <t>EQUIPAMENTO</t>
        </is>
      </c>
      <c r="Y2" s="113" t="inlineStr">
        <is>
          <t>NA</t>
        </is>
      </c>
      <c r="Z2" s="113" t="inlineStr">
        <is>
          <t>NA</t>
        </is>
      </c>
      <c r="AA2" s="163" t="n">
        <v>45656</v>
      </c>
      <c r="AB2" s="163" t="n">
        <v>46196</v>
      </c>
      <c r="AC2" s="163" t="n">
        <v>46256</v>
      </c>
      <c r="AD2" s="113" t="inlineStr">
        <is>
          <t>NI</t>
        </is>
      </c>
      <c r="AE2" s="113" t="inlineStr">
        <is>
          <t>NI</t>
        </is>
      </c>
      <c r="AF2" s="113" t="inlineStr">
        <is>
          <t>NI</t>
        </is>
      </c>
      <c r="AG2" s="118" t="n">
        <v>1102935</v>
      </c>
      <c r="AH2" s="118" t="n">
        <v>0</v>
      </c>
      <c r="AI2" s="163" t="n">
        <v>45646</v>
      </c>
      <c r="AJ2" s="113" t="n">
        <v>8535</v>
      </c>
      <c r="AK2" s="118" t="inlineStr">
        <is>
          <t> </t>
        </is>
      </c>
      <c r="AL2" s="118" t="inlineStr">
        <is>
          <t> </t>
        </is>
      </c>
      <c r="AM2" s="118" t="inlineStr">
        <is>
          <t> </t>
        </is>
      </c>
      <c r="AN2" s="118" t="inlineStr">
        <is>
          <t> </t>
        </is>
      </c>
      <c r="AO2" s="118" t="inlineStr">
        <is>
          <t> </t>
        </is>
      </c>
      <c r="AP2" s="118" t="inlineStr">
        <is>
          <t> </t>
        </is>
      </c>
      <c r="AQ2" s="118" t="inlineStr">
        <is>
          <t> </t>
        </is>
      </c>
      <c r="AR2" s="118" t="inlineStr">
        <is>
          <t> </t>
        </is>
      </c>
      <c r="AS2" s="118" t="inlineStr">
        <is>
          <t> </t>
        </is>
      </c>
      <c r="AT2" s="118" t="inlineStr">
        <is>
          <t> </t>
        </is>
      </c>
      <c r="AU2" s="118" t="inlineStr">
        <is>
          <t> </t>
        </is>
      </c>
      <c r="AV2" s="118" t="inlineStr">
        <is>
          <t> </t>
        </is>
      </c>
      <c r="AW2" s="118" t="inlineStr">
        <is>
          <t> </t>
        </is>
      </c>
      <c r="AX2" s="118" t="inlineStr">
        <is>
          <t> </t>
        </is>
      </c>
      <c r="AY2" s="213" t="inlineStr">
        <is>
          <t>EM EXECUÇÃO</t>
        </is>
      </c>
      <c r="AZ2" s="213" t="inlineStr">
        <is>
          <t>NI</t>
        </is>
      </c>
      <c r="BA2" s="213" t="inlineStr">
        <is>
          <t>NI</t>
        </is>
      </c>
      <c r="BB2" s="213" t="inlineStr">
        <is>
          <t>NI</t>
        </is>
      </c>
      <c r="BC2" s="163" t="n">
        <v>46196</v>
      </c>
      <c r="BD2" s="113" t="inlineStr">
        <is>
          <t>NI</t>
        </is>
      </c>
      <c r="BE2" s="113" t="inlineStr">
        <is>
          <t>NI</t>
        </is>
      </c>
      <c r="BF2" s="113" t="inlineStr">
        <is>
          <t>Não iniciado</t>
        </is>
      </c>
      <c r="BG2" s="119" t="inlineStr">
        <is>
          <t>NI</t>
        </is>
      </c>
      <c r="BH2" s="113" t="inlineStr">
        <is>
          <t>NI</t>
        </is>
      </c>
      <c r="BI2" s="113" t="inlineStr">
        <is>
          <t>NI</t>
        </is>
      </c>
      <c r="BJ2" s="113" t="inlineStr">
        <is>
          <t>NI</t>
        </is>
      </c>
      <c r="BK2" s="113" t="inlineStr">
        <is>
          <t>NI</t>
        </is>
      </c>
      <c r="BL2" s="142" t="inlineStr">
        <is>
          <t>NI</t>
        </is>
      </c>
      <c r="BM2" s="807" t="n"/>
      <c r="BN2" s="807" t="n"/>
      <c r="BO2" s="807" t="n"/>
      <c r="BP2" s="807" t="n"/>
      <c r="BQ2" s="807" t="n"/>
      <c r="BR2" s="807" t="n"/>
      <c r="BS2" s="807" t="n"/>
      <c r="BT2" s="159" t="inlineStr">
        <is>
          <t xml:space="preserve"> 22/08/2025</t>
        </is>
      </c>
      <c r="BU2" s="118" t="n">
        <v>1044887.74</v>
      </c>
      <c r="BV2" s="808" t="n"/>
      <c r="BW2" s="808" t="n"/>
      <c r="BX2" s="808" t="n"/>
      <c r="BY2" s="808" t="n"/>
      <c r="BZ2" s="808" t="n"/>
      <c r="CA2" s="808" t="n"/>
      <c r="CB2" s="808" t="n"/>
      <c r="CC2" s="808" t="n"/>
      <c r="CD2" s="808" t="n"/>
      <c r="CE2" s="808" t="n"/>
      <c r="CF2" s="808" t="n"/>
      <c r="CG2" s="808" t="n"/>
      <c r="CH2" s="808" t="n"/>
      <c r="CI2" s="808" t="n"/>
      <c r="CJ2" s="808" t="n"/>
      <c r="CK2" s="808" t="n"/>
      <c r="CL2" s="808" t="n"/>
      <c r="CM2" s="808" t="n"/>
      <c r="CN2" s="808" t="n"/>
      <c r="CO2" s="808" t="n"/>
      <c r="CP2" s="808" t="n"/>
      <c r="CQ2" s="808" t="n"/>
      <c r="CR2" s="808" t="n"/>
      <c r="CS2" s="808" t="n"/>
      <c r="CT2" s="808" t="n"/>
    </row>
    <row r="3" outlineLevel="1" ht="60" customFormat="1" customHeight="1" s="107">
      <c r="A3" s="4" t="inlineStr">
        <is>
          <t>SUL</t>
        </is>
      </c>
      <c r="B3" s="4" t="inlineStr">
        <is>
          <t>PR</t>
        </is>
      </c>
      <c r="C3" s="4" t="inlineStr">
        <is>
          <t>CURITIBA</t>
        </is>
      </c>
      <c r="D3" s="4" t="inlineStr">
        <is>
          <t>LIGA PARANAENSE DE COMBATE AO CANCER</t>
        </is>
      </c>
      <c r="E3" s="5" t="inlineStr">
        <is>
          <t>76591049000128</t>
        </is>
      </c>
      <c r="F3" s="146" t="inlineStr">
        <is>
          <t>HOSPITAL ERASTO GAERTNER</t>
        </is>
      </c>
      <c r="G3" s="148" t="n">
        <v>15644</v>
      </c>
      <c r="H3" s="134" t="n">
        <v>-254534641</v>
      </c>
      <c r="I3" s="135" t="n">
        <v>-492399001</v>
      </c>
      <c r="J3" s="4" t="inlineStr">
        <is>
          <t>Diagnóstico</t>
        </is>
      </c>
      <c r="K3" s="4" t="inlineStr">
        <is>
          <t>Indireta</t>
        </is>
      </c>
      <c r="L3" s="4" t="inlineStr">
        <is>
          <t>Transferegov/SEI</t>
        </is>
      </c>
      <c r="M3" s="4" t="inlineStr">
        <is>
          <t>Convênio</t>
        </is>
      </c>
      <c r="N3" s="4" t="n">
        <v>2024</v>
      </c>
      <c r="O3" s="6" t="n">
        <v>973058</v>
      </c>
      <c r="P3" s="5" t="inlineStr">
        <is>
          <t>97659124008</t>
        </is>
      </c>
      <c r="Q3" s="7" t="inlineStr">
        <is>
          <t>25000.196562/2024-56</t>
        </is>
      </c>
      <c r="R3" s="4" t="inlineStr">
        <is>
          <t>REDE DE ATENÇÃO À PESSOA COM DOENÇAS CRÔNICAS - HOSPITAL HABILITADO NA ALTA COMPLEXIDADE EM ONCOLOGIA</t>
        </is>
      </c>
      <c r="S3" s="4" t="inlineStr">
        <is>
          <t>Substituição</t>
        </is>
      </c>
      <c r="T3" s="4" t="inlineStr">
        <is>
          <t>Ultrassom Diagnóstico sem Aplicação Transesofágica</t>
        </is>
      </c>
      <c r="U3" s="4" t="inlineStr">
        <is>
          <t>NA</t>
        </is>
      </c>
      <c r="V3" s="4" t="n">
        <v>2</v>
      </c>
      <c r="W3" s="4" t="inlineStr">
        <is>
          <t>UND</t>
        </is>
      </c>
      <c r="X3" s="4" t="inlineStr">
        <is>
          <t>EQUIPAMENTO</t>
        </is>
      </c>
      <c r="Y3" s="4" t="inlineStr">
        <is>
          <t>11422 - Ultrassom Diagnóstico sem Aplicação Transesofágica</t>
        </is>
      </c>
      <c r="Z3" s="4" t="inlineStr">
        <is>
          <t>NA</t>
        </is>
      </c>
      <c r="AA3" s="164" t="n">
        <v>45656</v>
      </c>
      <c r="AB3" s="164" t="n">
        <v>46196</v>
      </c>
      <c r="AC3" s="164" t="n">
        <v>46256</v>
      </c>
      <c r="AD3" s="4" t="inlineStr">
        <is>
          <t>NI</t>
        </is>
      </c>
      <c r="AE3" s="4" t="inlineStr">
        <is>
          <t>NI</t>
        </is>
      </c>
      <c r="AF3" s="4" t="inlineStr">
        <is>
          <t>NI</t>
        </is>
      </c>
      <c r="AG3" s="9" t="n">
        <v>1102935</v>
      </c>
      <c r="AH3" s="9" t="inlineStr">
        <is>
          <t>NA</t>
        </is>
      </c>
      <c r="AI3" s="9" t="inlineStr">
        <is>
          <t>NA</t>
        </is>
      </c>
      <c r="AJ3" s="4" t="n">
        <v>8535</v>
      </c>
      <c r="AK3" s="9" t="inlineStr">
        <is>
          <t> </t>
        </is>
      </c>
      <c r="AL3" s="9" t="inlineStr">
        <is>
          <t> </t>
        </is>
      </c>
      <c r="AM3" s="9" t="inlineStr">
        <is>
          <t> </t>
        </is>
      </c>
      <c r="AN3" s="9" t="inlineStr">
        <is>
          <t> </t>
        </is>
      </c>
      <c r="AO3" s="9" t="inlineStr">
        <is>
          <t> </t>
        </is>
      </c>
      <c r="AP3" s="9" t="inlineStr">
        <is>
          <t> </t>
        </is>
      </c>
      <c r="AQ3" s="9" t="inlineStr">
        <is>
          <t> </t>
        </is>
      </c>
      <c r="AR3" s="9" t="inlineStr">
        <is>
          <t> </t>
        </is>
      </c>
      <c r="AS3" s="9" t="inlineStr">
        <is>
          <t> </t>
        </is>
      </c>
      <c r="AT3" s="9" t="inlineStr">
        <is>
          <t> </t>
        </is>
      </c>
      <c r="AU3" s="9" t="inlineStr">
        <is>
          <t> </t>
        </is>
      </c>
      <c r="AV3" s="9" t="inlineStr">
        <is>
          <t> </t>
        </is>
      </c>
      <c r="AW3" s="9" t="inlineStr">
        <is>
          <t> </t>
        </is>
      </c>
      <c r="AX3" s="9" t="inlineStr">
        <is>
          <t> </t>
        </is>
      </c>
      <c r="AY3" s="190" t="inlineStr">
        <is>
          <t>EM EXECUÇÃO</t>
        </is>
      </c>
      <c r="AZ3" s="190" t="inlineStr">
        <is>
          <t>NI</t>
        </is>
      </c>
      <c r="BA3" s="190" t="inlineStr">
        <is>
          <t>NI</t>
        </is>
      </c>
      <c r="BB3" s="190" t="inlineStr">
        <is>
          <t>NI</t>
        </is>
      </c>
      <c r="BC3" s="164" t="inlineStr">
        <is>
          <t>NA</t>
        </is>
      </c>
      <c r="BD3" s="4" t="inlineStr">
        <is>
          <t>NI</t>
        </is>
      </c>
      <c r="BE3" s="4" t="inlineStr">
        <is>
          <t>NI</t>
        </is>
      </c>
      <c r="BF3" s="4" t="inlineStr">
        <is>
          <t>Não iniciado</t>
        </is>
      </c>
      <c r="BG3" s="10" t="inlineStr">
        <is>
          <t>NI</t>
        </is>
      </c>
      <c r="BH3" s="4" t="inlineStr">
        <is>
          <t>NI</t>
        </is>
      </c>
      <c r="BI3" s="4" t="inlineStr">
        <is>
          <t>NI</t>
        </is>
      </c>
      <c r="BJ3" s="4" t="inlineStr">
        <is>
          <t>NI</t>
        </is>
      </c>
      <c r="BK3" s="4" t="inlineStr">
        <is>
          <t>NI</t>
        </is>
      </c>
      <c r="BL3" s="143" t="inlineStr">
        <is>
          <t>NI</t>
        </is>
      </c>
      <c r="BM3" s="809" t="n"/>
      <c r="BN3" s="809" t="n"/>
      <c r="BO3" s="809" t="n"/>
      <c r="BP3" s="809" t="n"/>
      <c r="BQ3" s="809" t="n"/>
      <c r="BR3" s="809" t="n"/>
      <c r="BS3" s="809" t="n"/>
      <c r="BT3" s="160" t="inlineStr">
        <is>
          <t xml:space="preserve"> NA</t>
        </is>
      </c>
      <c r="BU3" s="160" t="inlineStr">
        <is>
          <t xml:space="preserve"> NA</t>
        </is>
      </c>
      <c r="BV3" s="808" t="n"/>
      <c r="BW3" s="808" t="n"/>
      <c r="BX3" s="808" t="n"/>
      <c r="BY3" s="808" t="n"/>
      <c r="BZ3" s="808" t="n"/>
      <c r="CA3" s="808" t="n"/>
      <c r="CB3" s="808" t="n"/>
      <c r="CC3" s="808" t="n"/>
      <c r="CD3" s="808" t="n"/>
      <c r="CE3" s="808" t="n"/>
      <c r="CF3" s="808" t="n"/>
      <c r="CG3" s="808" t="n"/>
      <c r="CH3" s="808" t="n"/>
      <c r="CI3" s="808" t="n"/>
      <c r="CJ3" s="808" t="n"/>
      <c r="CK3" s="808" t="n"/>
      <c r="CL3" s="808" t="n"/>
      <c r="CM3" s="808" t="n"/>
      <c r="CN3" s="808" t="n"/>
      <c r="CO3" s="808" t="n"/>
      <c r="CP3" s="808" t="n"/>
      <c r="CQ3" s="808" t="n"/>
      <c r="CR3" s="808" t="n"/>
      <c r="CS3" s="808" t="n"/>
      <c r="CT3" s="808" t="n"/>
    </row>
    <row r="4" ht="60" customFormat="1" customHeight="1" s="107">
      <c r="A4" s="113" t="inlineStr">
        <is>
          <t>NORDESTE</t>
        </is>
      </c>
      <c r="B4" s="113" t="inlineStr">
        <is>
          <t>RN</t>
        </is>
      </c>
      <c r="C4" s="113" t="inlineStr">
        <is>
          <t>MOSSORO</t>
        </is>
      </c>
      <c r="D4" s="113" t="inlineStr">
        <is>
          <t>LIGA MOSSOROENSE DE ESTUDOS E COMBATE AO CANCER</t>
        </is>
      </c>
      <c r="E4" s="114" t="inlineStr">
        <is>
          <t>04026039000139</t>
        </is>
      </c>
      <c r="F4" s="149" t="inlineStr">
        <is>
          <t>HOSPITAL DA LMECC</t>
        </is>
      </c>
      <c r="G4" s="151" t="n">
        <v>3675580</v>
      </c>
      <c r="H4" s="136" t="n">
        <v>-51627427</v>
      </c>
      <c r="I4" s="137" t="n">
        <v>-373692509</v>
      </c>
      <c r="J4" s="113" t="inlineStr">
        <is>
          <t>Diagnóstico e apoio</t>
        </is>
      </c>
      <c r="K4" s="113" t="inlineStr">
        <is>
          <t>Indireta</t>
        </is>
      </c>
      <c r="L4" s="113" t="inlineStr">
        <is>
          <t>Transferegov/SEI</t>
        </is>
      </c>
      <c r="M4" s="113" t="inlineStr">
        <is>
          <t>Convênio</t>
        </is>
      </c>
      <c r="N4" s="116" t="n">
        <v>2024</v>
      </c>
      <c r="O4" s="115" t="inlineStr">
        <is>
          <t>970517</t>
        </is>
      </c>
      <c r="P4" s="114" t="inlineStr">
        <is>
          <t>90402624005</t>
        </is>
      </c>
      <c r="Q4" s="114" t="inlineStr">
        <is>
          <t>25000.164402/2024-48</t>
        </is>
      </c>
      <c r="R4" s="113" t="inlineStr">
        <is>
          <t>REDE DE ATENÇÃO À PESSOA COM DOENÇAS CRÔNICAS - HOSPITAL HABILITADO NA ALTA COMPLEXIDADE EM ONCOLOGIA</t>
        </is>
      </c>
      <c r="S4" s="113" t="inlineStr">
        <is>
          <t>Substituição</t>
        </is>
      </c>
      <c r="T4" s="113" t="inlineStr">
        <is>
          <t>Vários</t>
        </is>
      </c>
      <c r="U4" s="113" t="n">
        <v>13</v>
      </c>
      <c r="V4" s="113" t="inlineStr">
        <is>
          <t>NA</t>
        </is>
      </c>
      <c r="W4" s="113" t="inlineStr">
        <is>
          <t>UND</t>
        </is>
      </c>
      <c r="X4" s="113" t="inlineStr">
        <is>
          <t>EQUIPAMENTO</t>
        </is>
      </c>
      <c r="Y4" s="113" t="inlineStr">
        <is>
          <t>NA</t>
        </is>
      </c>
      <c r="Z4" s="113" t="inlineStr">
        <is>
          <t>NA</t>
        </is>
      </c>
      <c r="AA4" s="163" t="n">
        <v>45653</v>
      </c>
      <c r="AB4" s="163" t="n">
        <v>46193</v>
      </c>
      <c r="AC4" s="163" t="n">
        <v>46253</v>
      </c>
      <c r="AD4" s="113" t="inlineStr">
        <is>
          <t>NI</t>
        </is>
      </c>
      <c r="AE4" s="113" t="inlineStr">
        <is>
          <t>NI</t>
        </is>
      </c>
      <c r="AF4" s="113" t="inlineStr">
        <is>
          <t>NI</t>
        </is>
      </c>
      <c r="AG4" s="118" t="n">
        <v>429000</v>
      </c>
      <c r="AH4" s="118" t="n">
        <v>0</v>
      </c>
      <c r="AI4" s="163" t="n">
        <v>45563</v>
      </c>
      <c r="AJ4" s="113" t="n">
        <v>8535</v>
      </c>
      <c r="AK4" s="118" t="inlineStr">
        <is>
          <t> </t>
        </is>
      </c>
      <c r="AL4" s="118" t="inlineStr">
        <is>
          <t> </t>
        </is>
      </c>
      <c r="AM4" s="118" t="inlineStr">
        <is>
          <t> </t>
        </is>
      </c>
      <c r="AN4" s="118" t="inlineStr">
        <is>
          <t> </t>
        </is>
      </c>
      <c r="AO4" s="118" t="inlineStr">
        <is>
          <t> </t>
        </is>
      </c>
      <c r="AP4" s="118" t="inlineStr">
        <is>
          <t> </t>
        </is>
      </c>
      <c r="AQ4" s="118" t="inlineStr">
        <is>
          <t> </t>
        </is>
      </c>
      <c r="AR4" s="118" t="inlineStr">
        <is>
          <t> </t>
        </is>
      </c>
      <c r="AS4" s="118" t="inlineStr">
        <is>
          <t> </t>
        </is>
      </c>
      <c r="AT4" s="118" t="inlineStr">
        <is>
          <t> </t>
        </is>
      </c>
      <c r="AU4" s="118" t="inlineStr">
        <is>
          <t> </t>
        </is>
      </c>
      <c r="AV4" s="118" t="inlineStr">
        <is>
          <t> </t>
        </is>
      </c>
      <c r="AW4" s="118" t="inlineStr">
        <is>
          <t> </t>
        </is>
      </c>
      <c r="AX4" s="118" t="inlineStr">
        <is>
          <t> </t>
        </is>
      </c>
      <c r="AY4" s="213" t="inlineStr">
        <is>
          <t>EM EXECUÇÃO</t>
        </is>
      </c>
      <c r="AZ4" s="213" t="inlineStr">
        <is>
          <t>NI</t>
        </is>
      </c>
      <c r="BA4" s="213" t="inlineStr">
        <is>
          <t>NI</t>
        </is>
      </c>
      <c r="BB4" s="213" t="inlineStr">
        <is>
          <t>NI</t>
        </is>
      </c>
      <c r="BC4" s="163" t="n">
        <v>46193</v>
      </c>
      <c r="BD4" s="113" t="inlineStr">
        <is>
          <t>NI</t>
        </is>
      </c>
      <c r="BE4" s="113" t="inlineStr">
        <is>
          <t>NI</t>
        </is>
      </c>
      <c r="BF4" s="113" t="inlineStr">
        <is>
          <t>Não iniciado</t>
        </is>
      </c>
      <c r="BG4" s="119" t="inlineStr">
        <is>
          <t>NI</t>
        </is>
      </c>
      <c r="BH4" s="113" t="inlineStr">
        <is>
          <t>NI</t>
        </is>
      </c>
      <c r="BI4" s="113" t="inlineStr">
        <is>
          <t>NI</t>
        </is>
      </c>
      <c r="BJ4" s="113" t="inlineStr">
        <is>
          <t>NI</t>
        </is>
      </c>
      <c r="BK4" s="113" t="inlineStr">
        <is>
          <t>NI</t>
        </is>
      </c>
      <c r="BL4" s="142" t="inlineStr">
        <is>
          <t>NI</t>
        </is>
      </c>
      <c r="BM4" s="807" t="n"/>
      <c r="BN4" s="807" t="n"/>
      <c r="BO4" s="807" t="n"/>
      <c r="BP4" s="807" t="n"/>
      <c r="BQ4" s="807" t="n"/>
      <c r="BR4" s="807" t="n"/>
      <c r="BS4" s="807" t="n"/>
      <c r="BT4" s="159" t="inlineStr">
        <is>
          <t>NA</t>
        </is>
      </c>
      <c r="BU4" s="118" t="n">
        <v>0</v>
      </c>
      <c r="BV4" s="808" t="n"/>
      <c r="BW4" s="808" t="n"/>
      <c r="BX4" s="808" t="n"/>
      <c r="BY4" s="808" t="n"/>
      <c r="BZ4" s="808" t="n"/>
      <c r="CA4" s="808" t="n"/>
      <c r="CB4" s="808" t="n"/>
      <c r="CC4" s="808" t="n"/>
      <c r="CD4" s="808" t="n"/>
      <c r="CE4" s="808" t="n"/>
      <c r="CF4" s="808" t="n"/>
      <c r="CG4" s="808" t="n"/>
      <c r="CH4" s="808" t="n"/>
      <c r="CI4" s="808" t="n"/>
      <c r="CJ4" s="808" t="n"/>
      <c r="CK4" s="808" t="n"/>
      <c r="CL4" s="808" t="n"/>
      <c r="CM4" s="808" t="n"/>
      <c r="CN4" s="808" t="n"/>
      <c r="CO4" s="808" t="n"/>
      <c r="CP4" s="808" t="n"/>
      <c r="CQ4" s="808" t="n"/>
      <c r="CR4" s="808" t="n"/>
      <c r="CS4" s="808" t="n"/>
      <c r="CT4" s="808" t="n"/>
    </row>
    <row r="5" outlineLevel="1" ht="60" customFormat="1" customHeight="1" s="107">
      <c r="A5" s="4" t="inlineStr">
        <is>
          <t>NORDESTE</t>
        </is>
      </c>
      <c r="B5" s="4" t="inlineStr">
        <is>
          <t>RN</t>
        </is>
      </c>
      <c r="C5" s="4" t="inlineStr">
        <is>
          <t>MOSSORO</t>
        </is>
      </c>
      <c r="D5" s="4" t="inlineStr">
        <is>
          <t>LIGA MOSSOROENSE DE ESTUDOS E COMBATE AO CANCER</t>
        </is>
      </c>
      <c r="E5" s="5" t="inlineStr">
        <is>
          <t>04026039000139</t>
        </is>
      </c>
      <c r="F5" s="146" t="inlineStr">
        <is>
          <t>HOSPITAL DA LMECC</t>
        </is>
      </c>
      <c r="G5" s="147" t="n">
        <v>3675580</v>
      </c>
      <c r="H5" s="134" t="n">
        <v>-51627427</v>
      </c>
      <c r="I5" s="135" t="n">
        <v>-373692509</v>
      </c>
      <c r="J5" s="4" t="inlineStr">
        <is>
          <t>Diagnóstico</t>
        </is>
      </c>
      <c r="K5" s="4" t="inlineStr">
        <is>
          <t>Indireta</t>
        </is>
      </c>
      <c r="L5" s="4" t="inlineStr">
        <is>
          <t>Transferegov/SEI</t>
        </is>
      </c>
      <c r="M5" s="4" t="inlineStr">
        <is>
          <t>Convênio</t>
        </is>
      </c>
      <c r="N5" s="4" t="n">
        <v>2024</v>
      </c>
      <c r="O5" s="6" t="n">
        <v>970517</v>
      </c>
      <c r="P5" s="5" t="inlineStr">
        <is>
          <t>90402624005</t>
        </is>
      </c>
      <c r="Q5" s="5" t="inlineStr">
        <is>
          <t>25000.164402/2024-48</t>
        </is>
      </c>
      <c r="R5" s="4" t="inlineStr">
        <is>
          <t>REDE DE ATENÇÃO À PESSOA COM DOENÇAS CRÔNICAS - HOSPITAL HABILITADO NA ALTA COMPLEXIDADE EM ONCOLOGIA</t>
        </is>
      </c>
      <c r="S5" s="4" t="inlineStr">
        <is>
          <t>Substituição</t>
        </is>
      </c>
      <c r="T5" s="4" t="inlineStr">
        <is>
          <t>Ultrassom Diagnóstico sem Aplicação Transesofágica</t>
        </is>
      </c>
      <c r="U5" s="4" t="inlineStr">
        <is>
          <t>NA</t>
        </is>
      </c>
      <c r="V5" s="4" t="n">
        <v>1</v>
      </c>
      <c r="W5" s="4" t="inlineStr">
        <is>
          <t>UND</t>
        </is>
      </c>
      <c r="X5" s="4" t="inlineStr">
        <is>
          <t>EQUIPAMENTO</t>
        </is>
      </c>
      <c r="Y5" s="4" t="inlineStr">
        <is>
          <t>11422 - Ultrassom Diagnóstico sem Aplicação Transesofágica</t>
        </is>
      </c>
      <c r="Z5" s="4" t="inlineStr">
        <is>
          <t>NA</t>
        </is>
      </c>
      <c r="AA5" s="164" t="n">
        <v>45653</v>
      </c>
      <c r="AB5" s="164" t="n">
        <v>46193</v>
      </c>
      <c r="AC5" s="164" t="n">
        <v>46253</v>
      </c>
      <c r="AD5" s="4" t="inlineStr">
        <is>
          <t>NI</t>
        </is>
      </c>
      <c r="AE5" s="4" t="inlineStr">
        <is>
          <t>NI</t>
        </is>
      </c>
      <c r="AF5" s="4" t="inlineStr">
        <is>
          <t>NI</t>
        </is>
      </c>
      <c r="AG5" s="9" t="n">
        <v>429000</v>
      </c>
      <c r="AH5" s="9" t="inlineStr">
        <is>
          <t>NA</t>
        </is>
      </c>
      <c r="AI5" s="9" t="inlineStr">
        <is>
          <t>NA</t>
        </is>
      </c>
      <c r="AJ5" s="4" t="n">
        <v>8535</v>
      </c>
      <c r="AK5" s="9" t="inlineStr">
        <is>
          <t> </t>
        </is>
      </c>
      <c r="AL5" s="9" t="inlineStr">
        <is>
          <t> </t>
        </is>
      </c>
      <c r="AM5" s="9" t="inlineStr">
        <is>
          <t> </t>
        </is>
      </c>
      <c r="AN5" s="9" t="inlineStr">
        <is>
          <t> </t>
        </is>
      </c>
      <c r="AO5" s="9" t="inlineStr">
        <is>
          <t> </t>
        </is>
      </c>
      <c r="AP5" s="9" t="inlineStr">
        <is>
          <t> </t>
        </is>
      </c>
      <c r="AQ5" s="9" t="inlineStr">
        <is>
          <t> </t>
        </is>
      </c>
      <c r="AR5" s="9" t="inlineStr">
        <is>
          <t> </t>
        </is>
      </c>
      <c r="AS5" s="9" t="inlineStr">
        <is>
          <t> </t>
        </is>
      </c>
      <c r="AT5" s="9" t="inlineStr">
        <is>
          <t> </t>
        </is>
      </c>
      <c r="AU5" s="9" t="inlineStr">
        <is>
          <t> </t>
        </is>
      </c>
      <c r="AV5" s="9" t="inlineStr">
        <is>
          <t> </t>
        </is>
      </c>
      <c r="AW5" s="9" t="inlineStr">
        <is>
          <t> </t>
        </is>
      </c>
      <c r="AX5" s="9" t="inlineStr">
        <is>
          <t> </t>
        </is>
      </c>
      <c r="AY5" s="190" t="inlineStr">
        <is>
          <t>EM EXECUÇÃO</t>
        </is>
      </c>
      <c r="AZ5" s="190" t="inlineStr">
        <is>
          <t>NI</t>
        </is>
      </c>
      <c r="BA5" s="190" t="inlineStr">
        <is>
          <t>NI</t>
        </is>
      </c>
      <c r="BB5" s="190" t="inlineStr">
        <is>
          <t>NI</t>
        </is>
      </c>
      <c r="BC5" s="164" t="inlineStr">
        <is>
          <t>NA</t>
        </is>
      </c>
      <c r="BD5" s="4" t="inlineStr">
        <is>
          <t>NI</t>
        </is>
      </c>
      <c r="BE5" s="4" t="inlineStr">
        <is>
          <t>NI</t>
        </is>
      </c>
      <c r="BF5" s="4" t="inlineStr">
        <is>
          <t>Não iniciado</t>
        </is>
      </c>
      <c r="BG5" s="10" t="inlineStr">
        <is>
          <t>NI</t>
        </is>
      </c>
      <c r="BH5" s="4" t="inlineStr">
        <is>
          <t>NI</t>
        </is>
      </c>
      <c r="BI5" s="4" t="inlineStr">
        <is>
          <t>NI</t>
        </is>
      </c>
      <c r="BJ5" s="4" t="inlineStr">
        <is>
          <t>NI</t>
        </is>
      </c>
      <c r="BK5" s="4" t="inlineStr">
        <is>
          <t>NI</t>
        </is>
      </c>
      <c r="BL5" s="143" t="inlineStr">
        <is>
          <t>NI</t>
        </is>
      </c>
      <c r="BM5" s="809" t="n"/>
      <c r="BN5" s="809" t="n"/>
      <c r="BO5" s="809" t="n"/>
      <c r="BP5" s="809" t="n"/>
      <c r="BQ5" s="809" t="n"/>
      <c r="BR5" s="809" t="n"/>
      <c r="BS5" s="809" t="n"/>
      <c r="BT5" s="160" t="inlineStr">
        <is>
          <t xml:space="preserve"> NA</t>
        </is>
      </c>
      <c r="BU5" s="160" t="inlineStr">
        <is>
          <t xml:space="preserve"> NA</t>
        </is>
      </c>
      <c r="BV5" s="808" t="n"/>
      <c r="BW5" s="808" t="n"/>
      <c r="BX5" s="808" t="n"/>
      <c r="BY5" s="808" t="n"/>
      <c r="BZ5" s="808" t="n"/>
      <c r="CA5" s="808" t="n"/>
      <c r="CB5" s="808" t="n"/>
      <c r="CC5" s="808" t="n"/>
      <c r="CD5" s="808" t="n"/>
      <c r="CE5" s="808" t="n"/>
      <c r="CF5" s="808" t="n"/>
      <c r="CG5" s="808" t="n"/>
      <c r="CH5" s="808" t="n"/>
      <c r="CI5" s="808" t="n"/>
      <c r="CJ5" s="808" t="n"/>
      <c r="CK5" s="808" t="n"/>
      <c r="CL5" s="808" t="n"/>
      <c r="CM5" s="808" t="n"/>
      <c r="CN5" s="808" t="n"/>
      <c r="CO5" s="808" t="n"/>
      <c r="CP5" s="808" t="n"/>
      <c r="CQ5" s="808" t="n"/>
      <c r="CR5" s="808" t="n"/>
      <c r="CS5" s="808" t="n"/>
      <c r="CT5" s="808" t="n"/>
    </row>
    <row r="6" ht="60" customFormat="1" customHeight="1" s="107">
      <c r="A6" s="113" t="inlineStr">
        <is>
          <t>NORDESTE</t>
        </is>
      </c>
      <c r="B6" s="113" t="inlineStr">
        <is>
          <t>RN</t>
        </is>
      </c>
      <c r="C6" s="113" t="inlineStr">
        <is>
          <t>NATAL</t>
        </is>
      </c>
      <c r="D6" s="113" t="inlineStr">
        <is>
          <t>LIGA NORTE RIOGRANDENSE CONTRA O CANCER</t>
        </is>
      </c>
      <c r="E6" s="114" t="inlineStr">
        <is>
          <t>08428765000139</t>
        </is>
      </c>
      <c r="F6" s="149" t="inlineStr">
        <is>
          <t>HOSPITAL DR LUIZ ANTONIO</t>
        </is>
      </c>
      <c r="G6" s="151" t="n">
        <v>2409194</v>
      </c>
      <c r="H6" s="136" t="n">
        <v>-57981973</v>
      </c>
      <c r="I6" s="137" t="n">
        <v>-3523492401939600</v>
      </c>
      <c r="J6" s="113" t="inlineStr">
        <is>
          <t>Diagnóstico</t>
        </is>
      </c>
      <c r="K6" s="113" t="inlineStr">
        <is>
          <t>Indireta</t>
        </is>
      </c>
      <c r="L6" s="113" t="inlineStr">
        <is>
          <t>Transferegov/SEI</t>
        </is>
      </c>
      <c r="M6" s="113" t="inlineStr">
        <is>
          <t>Convênio</t>
        </is>
      </c>
      <c r="N6" s="116" t="n">
        <v>2024</v>
      </c>
      <c r="O6" s="115" t="inlineStr">
        <is>
          <t>961380</t>
        </is>
      </c>
      <c r="P6" s="114" t="inlineStr">
        <is>
          <t>90842824011</t>
        </is>
      </c>
      <c r="Q6" s="114" t="inlineStr">
        <is>
          <t>25000.074402/2024-57</t>
        </is>
      </c>
      <c r="R6" s="113" t="inlineStr">
        <is>
          <t>REDE DE ATENÇÃO À PESSOA COM DOENÇAS CRÔNICAS - HOSPITAL HABILITADO NA ALTA COMPLEXIDADE EM ONCOLOGIA</t>
        </is>
      </c>
      <c r="S6" s="113" t="inlineStr">
        <is>
          <t>Substituição</t>
        </is>
      </c>
      <c r="T6" s="113" t="inlineStr">
        <is>
          <t>Vários</t>
        </is>
      </c>
      <c r="U6" s="113" t="inlineStr">
        <is>
          <t xml:space="preserve"> 5</t>
        </is>
      </c>
      <c r="V6" s="113" t="inlineStr">
        <is>
          <t>NA</t>
        </is>
      </c>
      <c r="W6" s="113" t="inlineStr">
        <is>
          <t>UND</t>
        </is>
      </c>
      <c r="X6" s="113" t="inlineStr">
        <is>
          <t>EQUIPAMENTO</t>
        </is>
      </c>
      <c r="Y6" s="113" t="inlineStr">
        <is>
          <t xml:space="preserve"> NA</t>
        </is>
      </c>
      <c r="Z6" s="113" t="inlineStr">
        <is>
          <t>NA</t>
        </is>
      </c>
      <c r="AA6" s="163" t="n">
        <v>45638</v>
      </c>
      <c r="AB6" s="163" t="n">
        <v>46178</v>
      </c>
      <c r="AC6" s="163" t="n">
        <v>46238</v>
      </c>
      <c r="AD6" s="113" t="inlineStr">
        <is>
          <t>NI</t>
        </is>
      </c>
      <c r="AE6" s="113" t="inlineStr">
        <is>
          <t>NI</t>
        </is>
      </c>
      <c r="AF6" s="113" t="inlineStr">
        <is>
          <t>NI</t>
        </is>
      </c>
      <c r="AG6" s="118" t="n">
        <v>300000</v>
      </c>
      <c r="AH6" s="118" t="n">
        <v>1400</v>
      </c>
      <c r="AI6" s="163" t="n">
        <v>45408</v>
      </c>
      <c r="AJ6" s="113" t="n">
        <v>8535</v>
      </c>
      <c r="AK6" s="118" t="inlineStr">
        <is>
          <t> </t>
        </is>
      </c>
      <c r="AL6" s="118" t="inlineStr">
        <is>
          <t> </t>
        </is>
      </c>
      <c r="AM6" s="118" t="inlineStr">
        <is>
          <t> </t>
        </is>
      </c>
      <c r="AN6" s="118" t="inlineStr">
        <is>
          <t> </t>
        </is>
      </c>
      <c r="AO6" s="118" t="inlineStr">
        <is>
          <t> </t>
        </is>
      </c>
      <c r="AP6" s="118" t="inlineStr">
        <is>
          <t> </t>
        </is>
      </c>
      <c r="AQ6" s="118" t="inlineStr">
        <is>
          <t> </t>
        </is>
      </c>
      <c r="AR6" s="118" t="inlineStr">
        <is>
          <t> </t>
        </is>
      </c>
      <c r="AS6" s="118" t="inlineStr">
        <is>
          <t> </t>
        </is>
      </c>
      <c r="AT6" s="118" t="inlineStr">
        <is>
          <t> </t>
        </is>
      </c>
      <c r="AU6" s="118" t="inlineStr">
        <is>
          <t> </t>
        </is>
      </c>
      <c r="AV6" s="118" t="inlineStr">
        <is>
          <t> </t>
        </is>
      </c>
      <c r="AW6" s="118" t="inlineStr">
        <is>
          <t> </t>
        </is>
      </c>
      <c r="AX6" s="118" t="inlineStr">
        <is>
          <t> </t>
        </is>
      </c>
      <c r="AY6" s="213" t="inlineStr">
        <is>
          <t>EM EXECUÇÃO</t>
        </is>
      </c>
      <c r="AZ6" s="213" t="inlineStr">
        <is>
          <t>NI</t>
        </is>
      </c>
      <c r="BA6" s="213" t="inlineStr">
        <is>
          <t>NI</t>
        </is>
      </c>
      <c r="BB6" s="213" t="inlineStr">
        <is>
          <t>NI</t>
        </is>
      </c>
      <c r="BC6" s="163" t="n">
        <v>46178</v>
      </c>
      <c r="BD6" s="113" t="inlineStr">
        <is>
          <t>NI</t>
        </is>
      </c>
      <c r="BE6" s="113" t="inlineStr">
        <is>
          <t>NI</t>
        </is>
      </c>
      <c r="BF6" s="113" t="inlineStr">
        <is>
          <t>Não iniciado</t>
        </is>
      </c>
      <c r="BG6" s="119" t="inlineStr">
        <is>
          <t>NI</t>
        </is>
      </c>
      <c r="BH6" s="113" t="inlineStr">
        <is>
          <t>NI</t>
        </is>
      </c>
      <c r="BI6" s="113" t="inlineStr">
        <is>
          <t>NI</t>
        </is>
      </c>
      <c r="BJ6" s="113" t="inlineStr">
        <is>
          <t>NI</t>
        </is>
      </c>
      <c r="BK6" s="113" t="inlineStr">
        <is>
          <t>NI</t>
        </is>
      </c>
      <c r="BL6" s="142" t="inlineStr">
        <is>
          <t>NI</t>
        </is>
      </c>
      <c r="BM6" s="807" t="n"/>
      <c r="BN6" s="807" t="n"/>
      <c r="BO6" s="807" t="n"/>
      <c r="BP6" s="807" t="n"/>
      <c r="BQ6" s="807" t="n"/>
      <c r="BR6" s="807" t="n"/>
      <c r="BS6" s="807" t="n"/>
      <c r="BT6" s="159" t="inlineStr">
        <is>
          <t>NA</t>
        </is>
      </c>
      <c r="BU6" s="118" t="n">
        <v>0</v>
      </c>
      <c r="BV6" s="808" t="n"/>
      <c r="BW6" s="808" t="n"/>
      <c r="BX6" s="808" t="n"/>
      <c r="BY6" s="808" t="n"/>
      <c r="BZ6" s="808" t="n"/>
      <c r="CA6" s="808" t="n"/>
      <c r="CB6" s="808" t="n"/>
      <c r="CC6" s="808" t="n"/>
      <c r="CD6" s="808" t="n"/>
      <c r="CE6" s="808" t="n"/>
      <c r="CF6" s="808" t="n"/>
      <c r="CG6" s="808" t="n"/>
      <c r="CH6" s="808" t="n"/>
      <c r="CI6" s="808" t="n"/>
      <c r="CJ6" s="808" t="n"/>
      <c r="CK6" s="808" t="n"/>
      <c r="CL6" s="808" t="n"/>
      <c r="CM6" s="808" t="n"/>
      <c r="CN6" s="808" t="n"/>
      <c r="CO6" s="808" t="n"/>
      <c r="CP6" s="808" t="n"/>
      <c r="CQ6" s="808" t="n"/>
      <c r="CR6" s="808" t="n"/>
      <c r="CS6" s="808" t="n"/>
      <c r="CT6" s="808" t="n"/>
    </row>
    <row r="7" outlineLevel="1" ht="60" customFormat="1" customHeight="1" s="107">
      <c r="A7" s="4" t="inlineStr">
        <is>
          <t>NORDESTE</t>
        </is>
      </c>
      <c r="B7" s="4" t="inlineStr">
        <is>
          <t>RN</t>
        </is>
      </c>
      <c r="C7" s="4" t="inlineStr">
        <is>
          <t>NATAL</t>
        </is>
      </c>
      <c r="D7" s="4" t="inlineStr">
        <is>
          <t>LIGA NORTE RIOGRANDENSE CONTRA O CANCER</t>
        </is>
      </c>
      <c r="E7" s="5" t="inlineStr">
        <is>
          <t>08428765000139</t>
        </is>
      </c>
      <c r="F7" s="146" t="inlineStr">
        <is>
          <t>HOSPITAL DR LUIZ ANTONIO</t>
        </is>
      </c>
      <c r="G7" s="147" t="n">
        <v>2409194</v>
      </c>
      <c r="H7" s="134" t="n">
        <v>-57981973</v>
      </c>
      <c r="I7" s="135" t="n">
        <v>-3523492401939600</v>
      </c>
      <c r="J7" s="4" t="inlineStr">
        <is>
          <t>Diagnóstico</t>
        </is>
      </c>
      <c r="K7" s="4" t="inlineStr">
        <is>
          <t>Indireta</t>
        </is>
      </c>
      <c r="L7" s="4" t="inlineStr">
        <is>
          <t>Transferegov/SEI</t>
        </is>
      </c>
      <c r="M7" s="4" t="inlineStr">
        <is>
          <t>Convênio</t>
        </is>
      </c>
      <c r="N7" s="8" t="n">
        <v>2024</v>
      </c>
      <c r="O7" s="6" t="inlineStr">
        <is>
          <t>961380</t>
        </is>
      </c>
      <c r="P7" s="5" t="inlineStr">
        <is>
          <t>90842824011</t>
        </is>
      </c>
      <c r="Q7" s="5" t="inlineStr">
        <is>
          <t>25000.074402/2024-57</t>
        </is>
      </c>
      <c r="R7" s="4" t="inlineStr">
        <is>
          <t>Ultrassom Diagnóstico sem Aplicação Transesofágica</t>
        </is>
      </c>
      <c r="S7" s="4" t="inlineStr">
        <is>
          <t>Substituição</t>
        </is>
      </c>
      <c r="T7" s="8" t="inlineStr">
        <is>
          <t>Ultrassom Diagnóstico sem Aplicação Transesofágica</t>
        </is>
      </c>
      <c r="U7" s="8" t="inlineStr">
        <is>
          <t>NA</t>
        </is>
      </c>
      <c r="V7" s="8" t="n">
        <v>1</v>
      </c>
      <c r="W7" s="8" t="inlineStr">
        <is>
          <t>UND</t>
        </is>
      </c>
      <c r="X7" s="8" t="inlineStr">
        <is>
          <t>EQUIPAMENTO</t>
        </is>
      </c>
      <c r="Y7" s="8" t="inlineStr">
        <is>
          <t>11422-Ultrassom Diagnóstico sem Aplicação Transesofágica</t>
        </is>
      </c>
      <c r="Z7" s="8" t="inlineStr">
        <is>
          <t>NA</t>
        </is>
      </c>
      <c r="AA7" s="164" t="n">
        <v>45638</v>
      </c>
      <c r="AB7" s="164" t="n">
        <v>46178</v>
      </c>
      <c r="AC7" s="164" t="n">
        <v>46238</v>
      </c>
      <c r="AD7" s="4" t="inlineStr">
        <is>
          <t>NI</t>
        </is>
      </c>
      <c r="AE7" s="4" t="inlineStr">
        <is>
          <t>NI</t>
        </is>
      </c>
      <c r="AF7" s="4" t="inlineStr">
        <is>
          <t>NI</t>
        </is>
      </c>
      <c r="AG7" s="12" t="n">
        <v>300000</v>
      </c>
      <c r="AH7" s="12" t="inlineStr">
        <is>
          <t>NA</t>
        </is>
      </c>
      <c r="AI7" s="12" t="inlineStr">
        <is>
          <t>NA</t>
        </is>
      </c>
      <c r="AJ7" s="8" t="n">
        <v>8535</v>
      </c>
      <c r="AK7" s="8" t="inlineStr">
        <is>
          <t> </t>
        </is>
      </c>
      <c r="AL7" s="8" t="inlineStr">
        <is>
          <t> </t>
        </is>
      </c>
      <c r="AM7" s="11" t="inlineStr">
        <is>
          <t> </t>
        </is>
      </c>
      <c r="AN7" s="8" t="inlineStr">
        <is>
          <t> </t>
        </is>
      </c>
      <c r="AO7" s="8" t="inlineStr">
        <is>
          <t> </t>
        </is>
      </c>
      <c r="AP7" s="8" t="inlineStr">
        <is>
          <t> </t>
        </is>
      </c>
      <c r="AQ7" s="11" t="inlineStr">
        <is>
          <t> </t>
        </is>
      </c>
      <c r="AR7" s="8" t="inlineStr">
        <is>
          <t> </t>
        </is>
      </c>
      <c r="AS7" s="8" t="inlineStr">
        <is>
          <t> </t>
        </is>
      </c>
      <c r="AT7" s="8" t="inlineStr">
        <is>
          <t> </t>
        </is>
      </c>
      <c r="AU7" s="8" t="inlineStr">
        <is>
          <t> </t>
        </is>
      </c>
      <c r="AV7" s="8" t="inlineStr">
        <is>
          <t> </t>
        </is>
      </c>
      <c r="AW7" s="11" t="inlineStr">
        <is>
          <t> </t>
        </is>
      </c>
      <c r="AX7" s="9" t="inlineStr">
        <is>
          <t> </t>
        </is>
      </c>
      <c r="AY7" s="190" t="inlineStr">
        <is>
          <t>EM EXECUÇÃO</t>
        </is>
      </c>
      <c r="AZ7" s="190" t="inlineStr">
        <is>
          <t>NI</t>
        </is>
      </c>
      <c r="BA7" s="190" t="inlineStr">
        <is>
          <t>NI</t>
        </is>
      </c>
      <c r="BB7" s="190" t="inlineStr">
        <is>
          <t>NI</t>
        </is>
      </c>
      <c r="BC7" s="164" t="inlineStr">
        <is>
          <t>NA</t>
        </is>
      </c>
      <c r="BD7" s="8" t="inlineStr">
        <is>
          <t>NI</t>
        </is>
      </c>
      <c r="BE7" s="8" t="inlineStr">
        <is>
          <t>NI</t>
        </is>
      </c>
      <c r="BF7" s="8" t="inlineStr">
        <is>
          <t>Não iniciado</t>
        </is>
      </c>
      <c r="BG7" s="11" t="inlineStr">
        <is>
          <t>NI</t>
        </is>
      </c>
      <c r="BH7" s="8" t="inlineStr">
        <is>
          <t>NI</t>
        </is>
      </c>
      <c r="BI7" s="8" t="inlineStr">
        <is>
          <t>NI</t>
        </is>
      </c>
      <c r="BJ7" s="8" t="inlineStr">
        <is>
          <t>NI</t>
        </is>
      </c>
      <c r="BK7" s="8" t="inlineStr">
        <is>
          <t>NI</t>
        </is>
      </c>
      <c r="BL7" s="144" t="inlineStr">
        <is>
          <t>NI</t>
        </is>
      </c>
      <c r="BM7" s="809" t="n"/>
      <c r="BN7" s="809" t="n"/>
      <c r="BO7" s="809" t="n"/>
      <c r="BP7" s="809" t="n"/>
      <c r="BQ7" s="809" t="n"/>
      <c r="BR7" s="809" t="n"/>
      <c r="BS7" s="809" t="n"/>
      <c r="BT7" s="161" t="inlineStr">
        <is>
          <t>NA</t>
        </is>
      </c>
      <c r="BU7" s="161" t="inlineStr">
        <is>
          <t>NA</t>
        </is>
      </c>
      <c r="BV7" s="808" t="n"/>
      <c r="BW7" s="808" t="n"/>
      <c r="BX7" s="808" t="n"/>
      <c r="BY7" s="808" t="n"/>
      <c r="BZ7" s="808" t="n"/>
      <c r="CA7" s="808" t="n"/>
      <c r="CB7" s="808" t="n"/>
      <c r="CC7" s="808" t="n"/>
      <c r="CD7" s="808" t="n"/>
      <c r="CE7" s="808" t="n"/>
      <c r="CF7" s="808" t="n"/>
      <c r="CG7" s="808" t="n"/>
      <c r="CH7" s="808" t="n"/>
      <c r="CI7" s="808" t="n"/>
      <c r="CJ7" s="808" t="n"/>
      <c r="CK7" s="808" t="n"/>
      <c r="CL7" s="808" t="n"/>
      <c r="CM7" s="808" t="n"/>
      <c r="CN7" s="808" t="n"/>
      <c r="CO7" s="808" t="n"/>
      <c r="CP7" s="808" t="n"/>
      <c r="CQ7" s="808" t="n"/>
      <c r="CR7" s="808" t="n"/>
      <c r="CS7" s="808" t="n"/>
      <c r="CT7" s="808" t="n"/>
    </row>
    <row r="8" ht="60" customFormat="1" customHeight="1" s="107">
      <c r="A8" s="113" t="inlineStr">
        <is>
          <t>SUDESTE</t>
        </is>
      </c>
      <c r="B8" s="113" t="inlineStr">
        <is>
          <t>SP</t>
        </is>
      </c>
      <c r="C8" s="113" t="inlineStr">
        <is>
          <t>SAO PAULO</t>
        </is>
      </c>
      <c r="D8" s="113" t="inlineStr">
        <is>
          <t>INSTITUTO DO CANCER ARNALDO VIEIRA DE CARVALHO</t>
        </is>
      </c>
      <c r="E8" s="114" t="inlineStr">
        <is>
          <t>60945854000172</t>
        </is>
      </c>
      <c r="F8" s="149" t="inlineStr">
        <is>
          <t>INSTITUTO DO CANCER ARNALDO VIEIRA DE CARVALHO</t>
        </is>
      </c>
      <c r="G8" s="151" t="n">
        <v>2080125</v>
      </c>
      <c r="H8" s="136" t="n">
        <v>-235431724</v>
      </c>
      <c r="I8" s="137" t="n">
        <v>-4664990518769830</v>
      </c>
      <c r="J8" s="113" t="inlineStr">
        <is>
          <t>Diagnóstico</t>
        </is>
      </c>
      <c r="K8" s="113" t="inlineStr">
        <is>
          <t>Indireta</t>
        </is>
      </c>
      <c r="L8" s="113" t="inlineStr">
        <is>
          <t>Transferegov/SEI</t>
        </is>
      </c>
      <c r="M8" s="113" t="inlineStr">
        <is>
          <t>Convênio</t>
        </is>
      </c>
      <c r="N8" s="116" t="n">
        <v>2024</v>
      </c>
      <c r="O8" s="115" t="inlineStr">
        <is>
          <t>961625</t>
        </is>
      </c>
      <c r="P8" s="114" t="inlineStr">
        <is>
          <t>96094524008</t>
        </is>
      </c>
      <c r="Q8" s="114" t="inlineStr">
        <is>
          <t>25000.077437/2024-48</t>
        </is>
      </c>
      <c r="R8" s="113" t="inlineStr">
        <is>
          <t>REDE DE ATENÇÃO À PESSOA COM DOENÇAS CRÔNICAS - HOSPITAL HABILITADO NA ALTA COMPLEXIDADE EM ONCOLOGIA</t>
        </is>
      </c>
      <c r="S8" s="113" t="inlineStr">
        <is>
          <t>Ampliação e Substituição</t>
        </is>
      </c>
      <c r="T8" s="113" t="inlineStr">
        <is>
          <t>Vários</t>
        </is>
      </c>
      <c r="U8" s="113" t="inlineStr">
        <is>
          <t xml:space="preserve"> 6</t>
        </is>
      </c>
      <c r="V8" s="113" t="inlineStr">
        <is>
          <t xml:space="preserve"> NA</t>
        </is>
      </c>
      <c r="W8" s="113" t="inlineStr">
        <is>
          <t>UND</t>
        </is>
      </c>
      <c r="X8" s="113" t="inlineStr">
        <is>
          <t>EQUIPAMENTO</t>
        </is>
      </c>
      <c r="Y8" s="113" t="inlineStr">
        <is>
          <t xml:space="preserve"> NA</t>
        </is>
      </c>
      <c r="Z8" s="113" t="inlineStr">
        <is>
          <t>NA</t>
        </is>
      </c>
      <c r="AA8" s="163" t="n">
        <v>45638</v>
      </c>
      <c r="AB8" s="163" t="n">
        <v>46178</v>
      </c>
      <c r="AC8" s="163" t="n">
        <v>46238</v>
      </c>
      <c r="AD8" s="113" t="inlineStr">
        <is>
          <t>NI</t>
        </is>
      </c>
      <c r="AE8" s="113" t="inlineStr">
        <is>
          <t>NI</t>
        </is>
      </c>
      <c r="AF8" s="113" t="inlineStr">
        <is>
          <t>NI</t>
        </is>
      </c>
      <c r="AG8" s="118" t="n">
        <v>375447</v>
      </c>
      <c r="AH8" s="118" t="n">
        <v>4721</v>
      </c>
      <c r="AI8" s="163" t="n">
        <v>45419</v>
      </c>
      <c r="AJ8" s="113" t="n">
        <v>8535</v>
      </c>
      <c r="AK8" s="118" t="inlineStr">
        <is>
          <t> </t>
        </is>
      </c>
      <c r="AL8" s="118" t="inlineStr">
        <is>
          <t> </t>
        </is>
      </c>
      <c r="AM8" s="118" t="inlineStr">
        <is>
          <t> </t>
        </is>
      </c>
      <c r="AN8" s="118" t="inlineStr">
        <is>
          <t> </t>
        </is>
      </c>
      <c r="AO8" s="118" t="inlineStr">
        <is>
          <t> </t>
        </is>
      </c>
      <c r="AP8" s="118" t="inlineStr">
        <is>
          <t> </t>
        </is>
      </c>
      <c r="AQ8" s="118" t="inlineStr">
        <is>
          <t> </t>
        </is>
      </c>
      <c r="AR8" s="118" t="inlineStr">
        <is>
          <t> </t>
        </is>
      </c>
      <c r="AS8" s="118" t="inlineStr">
        <is>
          <t> </t>
        </is>
      </c>
      <c r="AT8" s="118" t="inlineStr">
        <is>
          <t> </t>
        </is>
      </c>
      <c r="AU8" s="118" t="inlineStr">
        <is>
          <t> </t>
        </is>
      </c>
      <c r="AV8" s="118" t="inlineStr">
        <is>
          <t> </t>
        </is>
      </c>
      <c r="AW8" s="118" t="inlineStr">
        <is>
          <t> </t>
        </is>
      </c>
      <c r="AX8" s="118" t="inlineStr">
        <is>
          <t> </t>
        </is>
      </c>
      <c r="AY8" s="213" t="inlineStr">
        <is>
          <t>EM EXECUÇÃO</t>
        </is>
      </c>
      <c r="AZ8" s="213" t="inlineStr">
        <is>
          <t>NI</t>
        </is>
      </c>
      <c r="BA8" s="213" t="inlineStr">
        <is>
          <t>NI</t>
        </is>
      </c>
      <c r="BB8" s="213" t="inlineStr">
        <is>
          <t>NI</t>
        </is>
      </c>
      <c r="BC8" s="163" t="n">
        <v>46178</v>
      </c>
      <c r="BD8" s="113" t="inlineStr">
        <is>
          <t>NI</t>
        </is>
      </c>
      <c r="BE8" s="113" t="inlineStr">
        <is>
          <t>NI</t>
        </is>
      </c>
      <c r="BF8" s="113" t="inlineStr">
        <is>
          <t>Não iniciado</t>
        </is>
      </c>
      <c r="BG8" s="119" t="inlineStr">
        <is>
          <t>NI</t>
        </is>
      </c>
      <c r="BH8" s="113" t="inlineStr">
        <is>
          <t>NI</t>
        </is>
      </c>
      <c r="BI8" s="113" t="inlineStr">
        <is>
          <t>NI</t>
        </is>
      </c>
      <c r="BJ8" s="113" t="inlineStr">
        <is>
          <t>NI</t>
        </is>
      </c>
      <c r="BK8" s="113" t="inlineStr">
        <is>
          <t>NI</t>
        </is>
      </c>
      <c r="BL8" s="142" t="inlineStr">
        <is>
          <t>NI</t>
        </is>
      </c>
      <c r="BM8" s="807" t="n"/>
      <c r="BN8" s="807" t="n"/>
      <c r="BO8" s="807" t="n"/>
      <c r="BP8" s="807" t="n"/>
      <c r="BQ8" s="807" t="n"/>
      <c r="BR8" s="807" t="n"/>
      <c r="BS8" s="807" t="n"/>
      <c r="BT8" s="159" t="inlineStr">
        <is>
          <t>NA</t>
        </is>
      </c>
      <c r="BU8" s="118" t="n">
        <v>0</v>
      </c>
      <c r="BV8" s="808" t="n"/>
      <c r="BW8" s="808" t="n"/>
      <c r="BX8" s="808" t="n"/>
      <c r="BY8" s="808" t="n"/>
      <c r="BZ8" s="808" t="n"/>
      <c r="CA8" s="808" t="n"/>
      <c r="CB8" s="808" t="n"/>
      <c r="CC8" s="808" t="n"/>
      <c r="CD8" s="808" t="n"/>
      <c r="CE8" s="808" t="n"/>
      <c r="CF8" s="808" t="n"/>
      <c r="CG8" s="808" t="n"/>
      <c r="CH8" s="808" t="n"/>
      <c r="CI8" s="808" t="n"/>
      <c r="CJ8" s="808" t="n"/>
      <c r="CK8" s="808" t="n"/>
      <c r="CL8" s="808" t="n"/>
      <c r="CM8" s="808" t="n"/>
      <c r="CN8" s="808" t="n"/>
      <c r="CO8" s="808" t="n"/>
      <c r="CP8" s="808" t="n"/>
      <c r="CQ8" s="808" t="n"/>
      <c r="CR8" s="808" t="n"/>
      <c r="CS8" s="808" t="n"/>
      <c r="CT8" s="808" t="n"/>
    </row>
    <row r="9" outlineLevel="1" ht="60" customFormat="1" customHeight="1" s="107">
      <c r="A9" s="4" t="inlineStr">
        <is>
          <t>SUDESTE</t>
        </is>
      </c>
      <c r="B9" s="4" t="inlineStr">
        <is>
          <t>SP</t>
        </is>
      </c>
      <c r="C9" s="4" t="inlineStr">
        <is>
          <t>SAO PAULO</t>
        </is>
      </c>
      <c r="D9" s="4" t="inlineStr">
        <is>
          <t>INSTITUTO DO CANCER ARNALDO VIEIRA DE CARVALHO</t>
        </is>
      </c>
      <c r="E9" s="5" t="inlineStr">
        <is>
          <t>60945854000172</t>
        </is>
      </c>
      <c r="F9" s="146" t="inlineStr">
        <is>
          <t>INSTITUTO DO CANCER ARNALDO VIEIRA DE CARVALHO</t>
        </is>
      </c>
      <c r="G9" s="147" t="n">
        <v>2080125</v>
      </c>
      <c r="H9" s="134" t="n">
        <v>-235431724</v>
      </c>
      <c r="I9" s="135" t="n">
        <v>-4664990518769830</v>
      </c>
      <c r="J9" s="4" t="inlineStr">
        <is>
          <t>Diagnóstico</t>
        </is>
      </c>
      <c r="K9" s="4" t="inlineStr">
        <is>
          <t>Indireta</t>
        </is>
      </c>
      <c r="L9" s="4" t="inlineStr">
        <is>
          <t>Transferegov/SEI</t>
        </is>
      </c>
      <c r="M9" s="4" t="inlineStr">
        <is>
          <t>Convênio</t>
        </is>
      </c>
      <c r="N9" s="8" t="n">
        <v>2024</v>
      </c>
      <c r="O9" s="6" t="inlineStr">
        <is>
          <t>961625</t>
        </is>
      </c>
      <c r="P9" s="5" t="inlineStr">
        <is>
          <t>96094524008</t>
        </is>
      </c>
      <c r="Q9" s="5" t="inlineStr">
        <is>
          <t>25000.077437/2024-48</t>
        </is>
      </c>
      <c r="R9" s="4" t="inlineStr">
        <is>
          <t>REDE DE ATENÇÃO À PESSOA COM DOENÇAS CRÔNICAS - HOSPITAL HABILITADO NA ALTA COMPLEXIDADE EM ONCOLOGIA</t>
        </is>
      </c>
      <c r="S9" s="4" t="inlineStr">
        <is>
          <t>Ampliação</t>
        </is>
      </c>
      <c r="T9" s="8" t="inlineStr">
        <is>
          <t>Ultrassom Diagnóstico sem Aplicação Transesofágica</t>
        </is>
      </c>
      <c r="U9" s="8" t="inlineStr">
        <is>
          <t>NA</t>
        </is>
      </c>
      <c r="V9" s="8" t="n">
        <v>1</v>
      </c>
      <c r="W9" s="8" t="inlineStr">
        <is>
          <t>UND</t>
        </is>
      </c>
      <c r="X9" s="8" t="inlineStr">
        <is>
          <t>EQUIPAMENTO</t>
        </is>
      </c>
      <c r="Y9" s="8" t="inlineStr">
        <is>
          <t>11422-Ultrassom Diagnóstico sem Aplicação Transesofágica</t>
        </is>
      </c>
      <c r="Z9" s="8" t="inlineStr">
        <is>
          <t>NA</t>
        </is>
      </c>
      <c r="AA9" s="164" t="n">
        <v>45638</v>
      </c>
      <c r="AB9" s="164" t="n">
        <v>46178</v>
      </c>
      <c r="AC9" s="164" t="n">
        <v>46238</v>
      </c>
      <c r="AD9" s="4" t="inlineStr">
        <is>
          <t>NI</t>
        </is>
      </c>
      <c r="AE9" s="4" t="inlineStr">
        <is>
          <t>NI</t>
        </is>
      </c>
      <c r="AF9" s="4" t="inlineStr">
        <is>
          <t>NI</t>
        </is>
      </c>
      <c r="AG9" s="12" t="n">
        <v>375447</v>
      </c>
      <c r="AH9" s="12" t="inlineStr">
        <is>
          <t>NA</t>
        </is>
      </c>
      <c r="AI9" s="12" t="inlineStr">
        <is>
          <t>NA</t>
        </is>
      </c>
      <c r="AJ9" s="8" t="n">
        <v>8535</v>
      </c>
      <c r="AK9" s="8" t="inlineStr">
        <is>
          <t> </t>
        </is>
      </c>
      <c r="AL9" s="8" t="inlineStr">
        <is>
          <t> </t>
        </is>
      </c>
      <c r="AM9" s="11" t="inlineStr">
        <is>
          <t> </t>
        </is>
      </c>
      <c r="AN9" s="8" t="inlineStr">
        <is>
          <t> </t>
        </is>
      </c>
      <c r="AO9" s="8" t="inlineStr">
        <is>
          <t> </t>
        </is>
      </c>
      <c r="AP9" s="8" t="inlineStr">
        <is>
          <t> </t>
        </is>
      </c>
      <c r="AQ9" s="11" t="inlineStr">
        <is>
          <t> </t>
        </is>
      </c>
      <c r="AR9" s="8" t="inlineStr">
        <is>
          <t> </t>
        </is>
      </c>
      <c r="AS9" s="8" t="inlineStr">
        <is>
          <t> </t>
        </is>
      </c>
      <c r="AT9" s="8" t="inlineStr">
        <is>
          <t> </t>
        </is>
      </c>
      <c r="AU9" s="8" t="inlineStr">
        <is>
          <t> </t>
        </is>
      </c>
      <c r="AV9" s="8" t="inlineStr">
        <is>
          <t> </t>
        </is>
      </c>
      <c r="AW9" s="11" t="inlineStr">
        <is>
          <t> </t>
        </is>
      </c>
      <c r="AX9" s="9" t="inlineStr">
        <is>
          <t> </t>
        </is>
      </c>
      <c r="AY9" s="190" t="inlineStr">
        <is>
          <t>EM EXECUÇÃO</t>
        </is>
      </c>
      <c r="AZ9" s="190" t="inlineStr">
        <is>
          <t>NI</t>
        </is>
      </c>
      <c r="BA9" s="190" t="inlineStr">
        <is>
          <t>NI</t>
        </is>
      </c>
      <c r="BB9" s="190" t="inlineStr">
        <is>
          <t>NI</t>
        </is>
      </c>
      <c r="BC9" s="164" t="inlineStr">
        <is>
          <t>NA</t>
        </is>
      </c>
      <c r="BD9" s="8" t="inlineStr">
        <is>
          <t>NI</t>
        </is>
      </c>
      <c r="BE9" s="8" t="inlineStr">
        <is>
          <t>NI</t>
        </is>
      </c>
      <c r="BF9" s="8" t="inlineStr">
        <is>
          <t>Não iniciado</t>
        </is>
      </c>
      <c r="BG9" s="11" t="inlineStr">
        <is>
          <t>NI</t>
        </is>
      </c>
      <c r="BH9" s="8" t="inlineStr">
        <is>
          <t>NI</t>
        </is>
      </c>
      <c r="BI9" s="8" t="inlineStr">
        <is>
          <t>NI</t>
        </is>
      </c>
      <c r="BJ9" s="8" t="inlineStr">
        <is>
          <t>NI</t>
        </is>
      </c>
      <c r="BK9" s="8" t="inlineStr">
        <is>
          <t>NI</t>
        </is>
      </c>
      <c r="BL9" s="144" t="inlineStr">
        <is>
          <t>NI</t>
        </is>
      </c>
      <c r="BM9" s="809" t="n"/>
      <c r="BN9" s="809" t="n"/>
      <c r="BO9" s="809" t="n"/>
      <c r="BP9" s="809" t="n"/>
      <c r="BQ9" s="809" t="n"/>
      <c r="BR9" s="809" t="n"/>
      <c r="BS9" s="809" t="n"/>
      <c r="BT9" s="161" t="inlineStr">
        <is>
          <t>NA</t>
        </is>
      </c>
      <c r="BU9" s="161" t="inlineStr">
        <is>
          <t>NA</t>
        </is>
      </c>
      <c r="BV9" s="808" t="n"/>
      <c r="BW9" s="808" t="n"/>
      <c r="BX9" s="808" t="n"/>
      <c r="BY9" s="808" t="n"/>
      <c r="BZ9" s="808" t="n"/>
      <c r="CA9" s="808" t="n"/>
      <c r="CB9" s="808" t="n"/>
      <c r="CC9" s="808" t="n"/>
      <c r="CD9" s="808" t="n"/>
      <c r="CE9" s="808" t="n"/>
      <c r="CF9" s="808" t="n"/>
      <c r="CG9" s="808" t="n"/>
      <c r="CH9" s="808" t="n"/>
      <c r="CI9" s="808" t="n"/>
      <c r="CJ9" s="808" t="n"/>
      <c r="CK9" s="808" t="n"/>
      <c r="CL9" s="808" t="n"/>
      <c r="CM9" s="808" t="n"/>
      <c r="CN9" s="808" t="n"/>
      <c r="CO9" s="808" t="n"/>
      <c r="CP9" s="808" t="n"/>
      <c r="CQ9" s="808" t="n"/>
      <c r="CR9" s="808" t="n"/>
      <c r="CS9" s="808" t="n"/>
      <c r="CT9" s="808" t="n"/>
    </row>
    <row r="10" ht="60" customFormat="1" customHeight="1" s="107">
      <c r="A10" s="113" t="inlineStr">
        <is>
          <t>NORDESTE</t>
        </is>
      </c>
      <c r="B10" s="113" t="inlineStr">
        <is>
          <t>CE</t>
        </is>
      </c>
      <c r="C10" s="113" t="inlineStr">
        <is>
          <t>FORTALEZA</t>
        </is>
      </c>
      <c r="D10" s="113" t="inlineStr">
        <is>
          <t>INSTITUTO DO CANCER DO CEARA</t>
        </is>
      </c>
      <c r="E10" s="114" t="inlineStr">
        <is>
          <t>07265515000162</t>
        </is>
      </c>
      <c r="F10" s="149" t="inlineStr">
        <is>
          <t>INSTITUTO DO CANCER DO CEARA</t>
        </is>
      </c>
      <c r="G10" s="151" t="n">
        <v>2723220</v>
      </c>
      <c r="H10" s="136" t="n">
        <v>-374717</v>
      </c>
      <c r="I10" s="137" t="n">
        <v>-38553492</v>
      </c>
      <c r="J10" s="113" t="inlineStr">
        <is>
          <t>Rastreamento e apoio</t>
        </is>
      </c>
      <c r="K10" s="113" t="inlineStr">
        <is>
          <t>Indireta</t>
        </is>
      </c>
      <c r="L10" s="113" t="inlineStr">
        <is>
          <t>Transferegov/SEI</t>
        </is>
      </c>
      <c r="M10" s="113" t="inlineStr">
        <is>
          <t>Convênio</t>
        </is>
      </c>
      <c r="N10" s="116" t="n">
        <v>2024</v>
      </c>
      <c r="O10" s="115" t="inlineStr">
        <is>
          <t>971368</t>
        </is>
      </c>
      <c r="P10" s="114" t="inlineStr">
        <is>
          <t>90726524005</t>
        </is>
      </c>
      <c r="Q10" s="114" t="inlineStr">
        <is>
          <t>25000.185686/2024-14</t>
        </is>
      </c>
      <c r="R10" s="113" t="inlineStr">
        <is>
          <t>REDE DE ATENÇÃO À PESSOA COM DOENÇAS CRÔNICAS - HOSPITAL HABILITADO NA ALTA COMPLEXIDADE EM ONCOLOGIA</t>
        </is>
      </c>
      <c r="S10" s="113" t="inlineStr">
        <is>
          <t>Substituição</t>
        </is>
      </c>
      <c r="T10" s="113" t="inlineStr">
        <is>
          <t>Vários</t>
        </is>
      </c>
      <c r="U10" s="113" t="inlineStr">
        <is>
          <t xml:space="preserve"> 30</t>
        </is>
      </c>
      <c r="V10" s="113" t="inlineStr">
        <is>
          <t xml:space="preserve"> NA</t>
        </is>
      </c>
      <c r="W10" s="113" t="inlineStr">
        <is>
          <t>UND</t>
        </is>
      </c>
      <c r="X10" s="113" t="inlineStr">
        <is>
          <t>EQUIPAMENTO</t>
        </is>
      </c>
      <c r="Y10" s="113" t="inlineStr">
        <is>
          <t xml:space="preserve"> NA</t>
        </is>
      </c>
      <c r="Z10" s="113" t="inlineStr">
        <is>
          <t>NA</t>
        </is>
      </c>
      <c r="AA10" s="163" t="n">
        <v>45656</v>
      </c>
      <c r="AB10" s="163" t="n">
        <v>46196</v>
      </c>
      <c r="AC10" s="163" t="n">
        <v>46256</v>
      </c>
      <c r="AD10" s="113" t="inlineStr">
        <is>
          <t>NI</t>
        </is>
      </c>
      <c r="AE10" s="113" t="inlineStr">
        <is>
          <t>NI</t>
        </is>
      </c>
      <c r="AF10" s="113" t="inlineStr">
        <is>
          <t>NI</t>
        </is>
      </c>
      <c r="AG10" s="118" t="n">
        <v>1125793</v>
      </c>
      <c r="AH10" s="118" t="n">
        <v>0</v>
      </c>
      <c r="AI10" s="163" t="n">
        <v>45592</v>
      </c>
      <c r="AJ10" s="113" t="n">
        <v>8535</v>
      </c>
      <c r="AK10" s="118" t="inlineStr">
        <is>
          <t> </t>
        </is>
      </c>
      <c r="AL10" s="118" t="inlineStr">
        <is>
          <t> </t>
        </is>
      </c>
      <c r="AM10" s="118" t="inlineStr">
        <is>
          <t> </t>
        </is>
      </c>
      <c r="AN10" s="118" t="inlineStr">
        <is>
          <t> </t>
        </is>
      </c>
      <c r="AO10" s="118" t="inlineStr">
        <is>
          <t> </t>
        </is>
      </c>
      <c r="AP10" s="118" t="inlineStr">
        <is>
          <t> </t>
        </is>
      </c>
      <c r="AQ10" s="118" t="inlineStr">
        <is>
          <t> </t>
        </is>
      </c>
      <c r="AR10" s="118" t="inlineStr">
        <is>
          <t> </t>
        </is>
      </c>
      <c r="AS10" s="118" t="inlineStr">
        <is>
          <t> </t>
        </is>
      </c>
      <c r="AT10" s="118" t="inlineStr">
        <is>
          <t> </t>
        </is>
      </c>
      <c r="AU10" s="118" t="inlineStr">
        <is>
          <t> </t>
        </is>
      </c>
      <c r="AV10" s="118" t="inlineStr">
        <is>
          <t> </t>
        </is>
      </c>
      <c r="AW10" s="118" t="inlineStr">
        <is>
          <t> </t>
        </is>
      </c>
      <c r="AX10" s="118" t="inlineStr">
        <is>
          <t> </t>
        </is>
      </c>
      <c r="AY10" s="213" t="inlineStr">
        <is>
          <t>EM EXECUÇÃO</t>
        </is>
      </c>
      <c r="AZ10" s="213" t="inlineStr">
        <is>
          <t>NI</t>
        </is>
      </c>
      <c r="BA10" s="213" t="inlineStr">
        <is>
          <t>NI</t>
        </is>
      </c>
      <c r="BB10" s="213" t="inlineStr">
        <is>
          <t>NI</t>
        </is>
      </c>
      <c r="BC10" s="163" t="n">
        <v>46196</v>
      </c>
      <c r="BD10" s="113" t="inlineStr">
        <is>
          <t>NI</t>
        </is>
      </c>
      <c r="BE10" s="113" t="inlineStr">
        <is>
          <t>NI</t>
        </is>
      </c>
      <c r="BF10" s="113" t="inlineStr">
        <is>
          <t>Não iniciado</t>
        </is>
      </c>
      <c r="BG10" s="119" t="inlineStr">
        <is>
          <t>NI</t>
        </is>
      </c>
      <c r="BH10" s="113" t="inlineStr">
        <is>
          <t>NI</t>
        </is>
      </c>
      <c r="BI10" s="113" t="inlineStr">
        <is>
          <t>NI</t>
        </is>
      </c>
      <c r="BJ10" s="113" t="inlineStr">
        <is>
          <t>NI</t>
        </is>
      </c>
      <c r="BK10" s="113" t="inlineStr">
        <is>
          <t>NI</t>
        </is>
      </c>
      <c r="BL10" s="142" t="inlineStr">
        <is>
          <t>NI</t>
        </is>
      </c>
      <c r="BM10" s="807" t="n"/>
      <c r="BN10" s="807" t="n"/>
      <c r="BO10" s="807" t="n"/>
      <c r="BP10" s="807" t="n"/>
      <c r="BQ10" s="807" t="n"/>
      <c r="BR10" s="807" t="n"/>
      <c r="BS10" s="807" t="n"/>
      <c r="BT10" s="159" t="inlineStr">
        <is>
          <t xml:space="preserve"> NA</t>
        </is>
      </c>
      <c r="BU10" s="118" t="n">
        <v>0</v>
      </c>
      <c r="BV10" s="808" t="n"/>
      <c r="BW10" s="808" t="n"/>
      <c r="BX10" s="808" t="n"/>
      <c r="BY10" s="808" t="n"/>
      <c r="BZ10" s="808" t="n"/>
      <c r="CA10" s="808" t="n"/>
      <c r="CB10" s="808" t="n"/>
      <c r="CC10" s="808" t="n"/>
      <c r="CD10" s="808" t="n"/>
      <c r="CE10" s="808" t="n"/>
      <c r="CF10" s="808" t="n"/>
      <c r="CG10" s="808" t="n"/>
      <c r="CH10" s="808" t="n"/>
      <c r="CI10" s="808" t="n"/>
      <c r="CJ10" s="808" t="n"/>
      <c r="CK10" s="808" t="n"/>
      <c r="CL10" s="808" t="n"/>
      <c r="CM10" s="808" t="n"/>
      <c r="CN10" s="808" t="n"/>
      <c r="CO10" s="808" t="n"/>
      <c r="CP10" s="808" t="n"/>
      <c r="CQ10" s="808" t="n"/>
      <c r="CR10" s="808" t="n"/>
      <c r="CS10" s="808" t="n"/>
      <c r="CT10" s="808" t="n"/>
    </row>
    <row r="11" outlineLevel="1" ht="60" customFormat="1" customHeight="1" s="107">
      <c r="A11" s="4" t="inlineStr">
        <is>
          <t>NORDESTE</t>
        </is>
      </c>
      <c r="B11" s="4" t="inlineStr">
        <is>
          <t>CE</t>
        </is>
      </c>
      <c r="C11" s="4" t="inlineStr">
        <is>
          <t>FORTALEZA</t>
        </is>
      </c>
      <c r="D11" s="4" t="inlineStr">
        <is>
          <t>INSTITUTO DO CANCER DO CEARA</t>
        </is>
      </c>
      <c r="E11" s="5" t="inlineStr">
        <is>
          <t>07265515000162</t>
        </is>
      </c>
      <c r="F11" s="146" t="inlineStr">
        <is>
          <t xml:space="preserve"> INSTITUTO DO CANCER DO CEARA</t>
        </is>
      </c>
      <c r="G11" s="147" t="n">
        <v>2723220</v>
      </c>
      <c r="H11" s="134" t="n">
        <v>-374717</v>
      </c>
      <c r="I11" s="135" t="n">
        <v>-38553492</v>
      </c>
      <c r="J11" s="4" t="inlineStr">
        <is>
          <t>Rastreamento</t>
        </is>
      </c>
      <c r="K11" s="4" t="inlineStr">
        <is>
          <t>Indireta</t>
        </is>
      </c>
      <c r="L11" s="4" t="inlineStr">
        <is>
          <t>Transferegov/SEI</t>
        </is>
      </c>
      <c r="M11" s="4" t="inlineStr">
        <is>
          <t>Convênio</t>
        </is>
      </c>
      <c r="N11" s="4" t="n">
        <v>2024</v>
      </c>
      <c r="O11" s="6" t="inlineStr">
        <is>
          <t xml:space="preserve"> 971368</t>
        </is>
      </c>
      <c r="P11" s="6" t="inlineStr">
        <is>
          <t>90726524005</t>
        </is>
      </c>
      <c r="Q11" s="5" t="inlineStr">
        <is>
          <t>25000.185686/2024-14</t>
        </is>
      </c>
      <c r="R11" s="4" t="inlineStr">
        <is>
          <t>REDE DE ATENÇÃO À PESSOA COM DOENÇAS CRÔNICAS - HOSPITAL HABILITADO NA ALTA COMPLEXIDADE EM ONCOLOGIA</t>
        </is>
      </c>
      <c r="S11" s="4" t="inlineStr">
        <is>
          <t>Substituição</t>
        </is>
      </c>
      <c r="T11" s="4" t="inlineStr">
        <is>
          <t>Sistema de Vídeo Endoscopia Rígida</t>
        </is>
      </c>
      <c r="U11" s="4" t="inlineStr">
        <is>
          <t xml:space="preserve"> NA</t>
        </is>
      </c>
      <c r="V11" s="4" t="n">
        <v>1</v>
      </c>
      <c r="W11" s="4" t="inlineStr">
        <is>
          <t xml:space="preserve"> UND</t>
        </is>
      </c>
      <c r="X11" s="4" t="inlineStr">
        <is>
          <t>EQUIPAMENTO</t>
        </is>
      </c>
      <c r="Y11" s="4" t="inlineStr">
        <is>
          <t>10254-Sistema de Vídeo Endoscopia Rígida</t>
        </is>
      </c>
      <c r="Z11" s="4" t="inlineStr">
        <is>
          <t>NA</t>
        </is>
      </c>
      <c r="AA11" s="164" t="n">
        <v>45656</v>
      </c>
      <c r="AB11" s="164" t="n">
        <v>46196</v>
      </c>
      <c r="AC11" s="164" t="n">
        <v>46256</v>
      </c>
      <c r="AD11" s="4" t="inlineStr">
        <is>
          <t>NI</t>
        </is>
      </c>
      <c r="AE11" s="4" t="inlineStr">
        <is>
          <t>NI</t>
        </is>
      </c>
      <c r="AF11" s="4" t="inlineStr">
        <is>
          <t>NI</t>
        </is>
      </c>
      <c r="AG11" s="9" t="n">
        <v>1125793</v>
      </c>
      <c r="AH11" s="9" t="inlineStr">
        <is>
          <t xml:space="preserve"> NA</t>
        </is>
      </c>
      <c r="AI11" s="9" t="inlineStr">
        <is>
          <t xml:space="preserve"> NA</t>
        </is>
      </c>
      <c r="AJ11" s="4" t="n">
        <v>8535</v>
      </c>
      <c r="AK11" s="9" t="inlineStr">
        <is>
          <t> </t>
        </is>
      </c>
      <c r="AL11" s="9" t="inlineStr">
        <is>
          <t> </t>
        </is>
      </c>
      <c r="AM11" s="9" t="inlineStr">
        <is>
          <t> </t>
        </is>
      </c>
      <c r="AN11" s="9" t="inlineStr">
        <is>
          <t> </t>
        </is>
      </c>
      <c r="AO11" s="9" t="inlineStr">
        <is>
          <t> </t>
        </is>
      </c>
      <c r="AP11" s="9" t="inlineStr">
        <is>
          <t> </t>
        </is>
      </c>
      <c r="AQ11" s="9" t="inlineStr">
        <is>
          <t> </t>
        </is>
      </c>
      <c r="AR11" s="9" t="inlineStr">
        <is>
          <t> </t>
        </is>
      </c>
      <c r="AS11" s="9" t="inlineStr">
        <is>
          <t> </t>
        </is>
      </c>
      <c r="AT11" s="9" t="inlineStr">
        <is>
          <t> </t>
        </is>
      </c>
      <c r="AU11" s="9" t="inlineStr">
        <is>
          <t> </t>
        </is>
      </c>
      <c r="AV11" s="9" t="inlineStr">
        <is>
          <t> </t>
        </is>
      </c>
      <c r="AW11" s="9" t="inlineStr">
        <is>
          <t> </t>
        </is>
      </c>
      <c r="AX11" s="9" t="inlineStr">
        <is>
          <t> </t>
        </is>
      </c>
      <c r="AY11" s="190" t="inlineStr">
        <is>
          <t>EM EXECUÇÃO</t>
        </is>
      </c>
      <c r="AZ11" s="190" t="inlineStr">
        <is>
          <t>NI</t>
        </is>
      </c>
      <c r="BA11" s="190" t="inlineStr">
        <is>
          <t>NI</t>
        </is>
      </c>
      <c r="BB11" s="190" t="inlineStr">
        <is>
          <t>NI</t>
        </is>
      </c>
      <c r="BC11" s="164" t="inlineStr">
        <is>
          <t>NA</t>
        </is>
      </c>
      <c r="BD11" s="4" t="inlineStr">
        <is>
          <t>NI</t>
        </is>
      </c>
      <c r="BE11" s="4" t="inlineStr">
        <is>
          <t>NI</t>
        </is>
      </c>
      <c r="BF11" s="4" t="inlineStr">
        <is>
          <t>Não iniciado</t>
        </is>
      </c>
      <c r="BG11" s="10" t="inlineStr">
        <is>
          <t>NI</t>
        </is>
      </c>
      <c r="BH11" s="4" t="inlineStr">
        <is>
          <t>NI</t>
        </is>
      </c>
      <c r="BI11" s="4" t="inlineStr">
        <is>
          <t>NI</t>
        </is>
      </c>
      <c r="BJ11" s="4" t="inlineStr">
        <is>
          <t>NI</t>
        </is>
      </c>
      <c r="BK11" s="4" t="inlineStr">
        <is>
          <t>NI</t>
        </is>
      </c>
      <c r="BL11" s="143" t="inlineStr">
        <is>
          <t>NI</t>
        </is>
      </c>
      <c r="BM11" s="809" t="n"/>
      <c r="BN11" s="809" t="n"/>
      <c r="BO11" s="809" t="n"/>
      <c r="BP11" s="809" t="n"/>
      <c r="BQ11" s="809" t="n"/>
      <c r="BR11" s="809" t="n"/>
      <c r="BS11" s="809" t="n"/>
      <c r="BT11" s="160" t="inlineStr">
        <is>
          <t xml:space="preserve"> NA</t>
        </is>
      </c>
      <c r="BU11" s="160" t="inlineStr">
        <is>
          <t xml:space="preserve"> NA</t>
        </is>
      </c>
      <c r="BV11" s="808" t="n"/>
      <c r="BW11" s="808" t="n"/>
      <c r="BX11" s="808" t="n"/>
      <c r="BY11" s="808" t="n"/>
      <c r="BZ11" s="808" t="n"/>
      <c r="CA11" s="808" t="n"/>
      <c r="CB11" s="808" t="n"/>
      <c r="CC11" s="808" t="n"/>
      <c r="CD11" s="808" t="n"/>
      <c r="CE11" s="808" t="n"/>
      <c r="CF11" s="808" t="n"/>
      <c r="CG11" s="808" t="n"/>
      <c r="CH11" s="808" t="n"/>
      <c r="CI11" s="808" t="n"/>
      <c r="CJ11" s="808" t="n"/>
      <c r="CK11" s="808" t="n"/>
      <c r="CL11" s="808" t="n"/>
      <c r="CM11" s="808" t="n"/>
      <c r="CN11" s="808" t="n"/>
      <c r="CO11" s="808" t="n"/>
      <c r="CP11" s="808" t="n"/>
      <c r="CQ11" s="808" t="n"/>
      <c r="CR11" s="808" t="n"/>
      <c r="CS11" s="808" t="n"/>
      <c r="CT11" s="808" t="n"/>
    </row>
    <row r="12" ht="60" customFormat="1" customHeight="1" s="107">
      <c r="A12" s="113" t="inlineStr">
        <is>
          <t>SUDESTE</t>
        </is>
      </c>
      <c r="B12" s="113" t="inlineStr">
        <is>
          <t>ES</t>
        </is>
      </c>
      <c r="C12" s="113" t="inlineStr">
        <is>
          <t>VITORIA</t>
        </is>
      </c>
      <c r="D12" s="113" t="inlineStr">
        <is>
          <t>ASSOCIACAO FEMININA DE EDUCACAO E COMBATE AO CANCER</t>
        </is>
      </c>
      <c r="E12" s="114" t="inlineStr">
        <is>
          <t>28137925000106</t>
        </is>
      </c>
      <c r="F12" s="152" t="inlineStr">
        <is>
          <t>ASSOCIACAO FEMININA DE EDUCACAO E COMBATE AO CANCER</t>
        </is>
      </c>
      <c r="G12" s="150" t="n">
        <v>11738</v>
      </c>
      <c r="H12" s="136" t="n">
        <v>-20297499</v>
      </c>
      <c r="I12" s="137" t="n">
        <v>-403171414</v>
      </c>
      <c r="J12" s="113" t="inlineStr">
        <is>
          <t>Rastreamento e apoio</t>
        </is>
      </c>
      <c r="K12" s="113" t="inlineStr">
        <is>
          <t>Indireta</t>
        </is>
      </c>
      <c r="L12" s="113" t="inlineStr">
        <is>
          <t>Transferegov/SEI</t>
        </is>
      </c>
      <c r="M12" s="113" t="inlineStr">
        <is>
          <t>Convênio</t>
        </is>
      </c>
      <c r="N12" s="116" t="n">
        <v>2024</v>
      </c>
      <c r="O12" s="115" t="inlineStr">
        <is>
          <t>962379</t>
        </is>
      </c>
      <c r="P12" s="114" t="inlineStr">
        <is>
          <t>92813724001</t>
        </is>
      </c>
      <c r="Q12" s="114" t="inlineStr">
        <is>
          <t>25000.080407/2024-19</t>
        </is>
      </c>
      <c r="R12" s="113" t="inlineStr">
        <is>
          <t>REDE DE ATENÇÃO À PESSOA COM DOENÇAS CRÔNICAS - HOSPITAL HABILITADO NA ALTA COMPLEXIDADE EM ONCOLOGIA</t>
        </is>
      </c>
      <c r="S12" s="113" t="inlineStr">
        <is>
          <t>Substituição</t>
        </is>
      </c>
      <c r="T12" s="113" t="inlineStr">
        <is>
          <t>Vários</t>
        </is>
      </c>
      <c r="U12" s="113" t="inlineStr">
        <is>
          <t xml:space="preserve"> 3</t>
        </is>
      </c>
      <c r="V12" s="113" t="inlineStr">
        <is>
          <t xml:space="preserve"> NA</t>
        </is>
      </c>
      <c r="W12" s="113" t="inlineStr">
        <is>
          <t xml:space="preserve"> UND</t>
        </is>
      </c>
      <c r="X12" s="113" t="inlineStr">
        <is>
          <t>EQUIPAMENTO</t>
        </is>
      </c>
      <c r="Y12" s="113" t="inlineStr">
        <is>
          <t xml:space="preserve"> NA</t>
        </is>
      </c>
      <c r="Z12" s="113" t="inlineStr">
        <is>
          <t>NA</t>
        </is>
      </c>
      <c r="AA12" s="163" t="n">
        <v>45636</v>
      </c>
      <c r="AB12" s="163" t="n">
        <v>46401</v>
      </c>
      <c r="AC12" s="163" t="n">
        <v>46461</v>
      </c>
      <c r="AD12" s="113" t="inlineStr">
        <is>
          <t>NI</t>
        </is>
      </c>
      <c r="AE12" s="113" t="inlineStr">
        <is>
          <t>NI</t>
        </is>
      </c>
      <c r="AF12" s="113" t="inlineStr">
        <is>
          <t>NI</t>
        </is>
      </c>
      <c r="AG12" s="118" t="n">
        <v>500000</v>
      </c>
      <c r="AH12" s="118" t="n">
        <v>0</v>
      </c>
      <c r="AI12" s="163" t="n">
        <v>45436</v>
      </c>
      <c r="AJ12" s="113" t="n">
        <v>8535</v>
      </c>
      <c r="AK12" s="118" t="inlineStr">
        <is>
          <t> </t>
        </is>
      </c>
      <c r="AL12" s="118" t="inlineStr">
        <is>
          <t> </t>
        </is>
      </c>
      <c r="AM12" s="118" t="inlineStr">
        <is>
          <t> </t>
        </is>
      </c>
      <c r="AN12" s="118" t="inlineStr">
        <is>
          <t> </t>
        </is>
      </c>
      <c r="AO12" s="118" t="inlineStr">
        <is>
          <t> </t>
        </is>
      </c>
      <c r="AP12" s="118" t="inlineStr">
        <is>
          <t> </t>
        </is>
      </c>
      <c r="AQ12" s="118" t="inlineStr">
        <is>
          <t> </t>
        </is>
      </c>
      <c r="AR12" s="118" t="inlineStr">
        <is>
          <t> </t>
        </is>
      </c>
      <c r="AS12" s="118" t="inlineStr">
        <is>
          <t> </t>
        </is>
      </c>
      <c r="AT12" s="118" t="inlineStr">
        <is>
          <t> </t>
        </is>
      </c>
      <c r="AU12" s="118" t="inlineStr">
        <is>
          <t> </t>
        </is>
      </c>
      <c r="AV12" s="118" t="inlineStr">
        <is>
          <t> </t>
        </is>
      </c>
      <c r="AW12" s="118" t="inlineStr">
        <is>
          <t> </t>
        </is>
      </c>
      <c r="AX12" s="118" t="inlineStr">
        <is>
          <t> </t>
        </is>
      </c>
      <c r="AY12" s="213" t="inlineStr">
        <is>
          <t>PRESTAÇÃO DE CONTAS EM ANÁLISE</t>
        </is>
      </c>
      <c r="AZ12" s="213" t="inlineStr">
        <is>
          <t>NI</t>
        </is>
      </c>
      <c r="BA12" s="213" t="inlineStr">
        <is>
          <t>NI</t>
        </is>
      </c>
      <c r="BB12" s="213" t="inlineStr">
        <is>
          <t>NI</t>
        </is>
      </c>
      <c r="BC12" s="163" t="n">
        <v>46401</v>
      </c>
      <c r="BD12" s="113" t="inlineStr">
        <is>
          <t>NI</t>
        </is>
      </c>
      <c r="BE12" s="113" t="inlineStr">
        <is>
          <t>NI</t>
        </is>
      </c>
      <c r="BF12" s="113" t="inlineStr">
        <is>
          <t>Não iniciado</t>
        </is>
      </c>
      <c r="BG12" s="119" t="inlineStr">
        <is>
          <t>NI</t>
        </is>
      </c>
      <c r="BH12" s="113" t="inlineStr">
        <is>
          <t>NI</t>
        </is>
      </c>
      <c r="BI12" s="113" t="inlineStr">
        <is>
          <t>NI</t>
        </is>
      </c>
      <c r="BJ12" s="113" t="inlineStr">
        <is>
          <t>NI</t>
        </is>
      </c>
      <c r="BK12" s="113" t="inlineStr">
        <is>
          <t>NI</t>
        </is>
      </c>
      <c r="BL12" s="142" t="inlineStr">
        <is>
          <t>NI</t>
        </is>
      </c>
      <c r="BM12" s="807" t="n"/>
      <c r="BN12" s="807" t="n"/>
      <c r="BO12" s="807" t="n"/>
      <c r="BP12" s="807" t="n"/>
      <c r="BQ12" s="807" t="n"/>
      <c r="BR12" s="807" t="n"/>
      <c r="BS12" s="807" t="n"/>
      <c r="BT12" s="159" t="n">
        <v>45861</v>
      </c>
      <c r="BU12" s="118" t="n">
        <v>437300</v>
      </c>
      <c r="BV12" s="808" t="n"/>
      <c r="BW12" s="808" t="n"/>
      <c r="BX12" s="808" t="n"/>
      <c r="BY12" s="808" t="n"/>
      <c r="BZ12" s="808" t="n"/>
      <c r="CA12" s="808" t="n"/>
      <c r="CB12" s="808" t="n"/>
      <c r="CC12" s="808" t="n"/>
      <c r="CD12" s="808" t="n"/>
      <c r="CE12" s="808" t="n"/>
      <c r="CF12" s="808" t="n"/>
      <c r="CG12" s="808" t="n"/>
      <c r="CH12" s="808" t="n"/>
      <c r="CI12" s="808" t="n"/>
      <c r="CJ12" s="808" t="n"/>
      <c r="CK12" s="808" t="n"/>
      <c r="CL12" s="808" t="n"/>
      <c r="CM12" s="808" t="n"/>
      <c r="CN12" s="808" t="n"/>
      <c r="CO12" s="808" t="n"/>
      <c r="CP12" s="808" t="n"/>
      <c r="CQ12" s="808" t="n"/>
      <c r="CR12" s="808" t="n"/>
      <c r="CS12" s="808" t="n"/>
      <c r="CT12" s="808" t="n"/>
    </row>
    <row r="13" outlineLevel="1" ht="60" customFormat="1" customHeight="1" s="107">
      <c r="A13" s="4" t="inlineStr">
        <is>
          <t>SUDESTE</t>
        </is>
      </c>
      <c r="B13" s="4" t="inlineStr">
        <is>
          <t>ES</t>
        </is>
      </c>
      <c r="C13" s="4" t="inlineStr">
        <is>
          <t>VITORIA</t>
        </is>
      </c>
      <c r="D13" s="4" t="inlineStr">
        <is>
          <t>ASSOCIACAO FEMININA DE EDUCACAO E COMBATE AO CANCER</t>
        </is>
      </c>
      <c r="E13" s="5" t="inlineStr">
        <is>
          <t>28137925000106</t>
        </is>
      </c>
      <c r="F13" s="146" t="inlineStr">
        <is>
          <t xml:space="preserve"> ASSOCIACAO FEMININA DE EDUCACAO E COMBATE AO CANCER</t>
        </is>
      </c>
      <c r="G13" s="147" t="n">
        <v>11738</v>
      </c>
      <c r="H13" s="134" t="n">
        <v>-20297499</v>
      </c>
      <c r="I13" s="135" t="n">
        <v>-403171414</v>
      </c>
      <c r="J13" s="4" t="inlineStr">
        <is>
          <t>Rastreamento</t>
        </is>
      </c>
      <c r="K13" s="4" t="inlineStr">
        <is>
          <t>Indireta</t>
        </is>
      </c>
      <c r="L13" s="4" t="inlineStr">
        <is>
          <t>Transferegov/SEI</t>
        </is>
      </c>
      <c r="M13" s="4" t="inlineStr">
        <is>
          <t>Convênio</t>
        </is>
      </c>
      <c r="N13" s="4" t="n">
        <v>2024</v>
      </c>
      <c r="O13" s="6" t="inlineStr">
        <is>
          <t xml:space="preserve"> 962379</t>
        </is>
      </c>
      <c r="P13" s="5" t="inlineStr">
        <is>
          <t>92813724001</t>
        </is>
      </c>
      <c r="Q13" s="5" t="inlineStr">
        <is>
          <t>25000.080407/2024-19</t>
        </is>
      </c>
      <c r="R13" s="4" t="inlineStr">
        <is>
          <t>REDE DE ATENÇÃO À PESSOA COM DOENÇAS CRÔNICAS - HOSPITAL HABILITADO NA ALTA COMPLEXIDADE EM ONCOLOGIA</t>
        </is>
      </c>
      <c r="S13" s="4" t="inlineStr">
        <is>
          <t>Substituição</t>
        </is>
      </c>
      <c r="T13" s="4" t="inlineStr">
        <is>
          <t>Sistema de Vídeo Endoscopia Rígida</t>
        </is>
      </c>
      <c r="U13" s="4" t="inlineStr">
        <is>
          <t xml:space="preserve"> NA</t>
        </is>
      </c>
      <c r="V13" s="4" t="n">
        <v>1</v>
      </c>
      <c r="W13" s="4" t="inlineStr">
        <is>
          <t xml:space="preserve"> UND</t>
        </is>
      </c>
      <c r="X13" s="4" t="inlineStr">
        <is>
          <t>EQUIPAMENTO</t>
        </is>
      </c>
      <c r="Y13" s="4" t="inlineStr">
        <is>
          <t>10254-Sistema de Vídeo Endoscopia Rígida</t>
        </is>
      </c>
      <c r="Z13" s="4" t="inlineStr">
        <is>
          <t>NA</t>
        </is>
      </c>
      <c r="AA13" s="164" t="n">
        <v>45636</v>
      </c>
      <c r="AB13" s="164" t="n">
        <v>46401</v>
      </c>
      <c r="AC13" s="164" t="n">
        <v>46461</v>
      </c>
      <c r="AD13" s="4" t="inlineStr">
        <is>
          <t>NI</t>
        </is>
      </c>
      <c r="AE13" s="4" t="inlineStr">
        <is>
          <t>NI</t>
        </is>
      </c>
      <c r="AF13" s="4" t="inlineStr">
        <is>
          <t>NI</t>
        </is>
      </c>
      <c r="AG13" s="9" t="n">
        <v>500000</v>
      </c>
      <c r="AH13" s="9" t="inlineStr">
        <is>
          <t xml:space="preserve"> NA</t>
        </is>
      </c>
      <c r="AI13" s="9" t="inlineStr">
        <is>
          <t xml:space="preserve"> NA</t>
        </is>
      </c>
      <c r="AJ13" s="4" t="n">
        <v>8535</v>
      </c>
      <c r="AK13" s="9" t="inlineStr">
        <is>
          <t> </t>
        </is>
      </c>
      <c r="AL13" s="9" t="inlineStr">
        <is>
          <t> </t>
        </is>
      </c>
      <c r="AM13" s="9" t="inlineStr">
        <is>
          <t> </t>
        </is>
      </c>
      <c r="AN13" s="9" t="inlineStr">
        <is>
          <t> </t>
        </is>
      </c>
      <c r="AO13" s="9" t="inlineStr">
        <is>
          <t> </t>
        </is>
      </c>
      <c r="AP13" s="9" t="inlineStr">
        <is>
          <t> </t>
        </is>
      </c>
      <c r="AQ13" s="9" t="inlineStr">
        <is>
          <t> </t>
        </is>
      </c>
      <c r="AR13" s="9" t="inlineStr">
        <is>
          <t> </t>
        </is>
      </c>
      <c r="AS13" s="9" t="inlineStr">
        <is>
          <t> </t>
        </is>
      </c>
      <c r="AT13" s="9" t="inlineStr">
        <is>
          <t> </t>
        </is>
      </c>
      <c r="AU13" s="9" t="inlineStr">
        <is>
          <t> </t>
        </is>
      </c>
      <c r="AV13" s="9" t="inlineStr">
        <is>
          <t> </t>
        </is>
      </c>
      <c r="AW13" s="9" t="inlineStr">
        <is>
          <t> </t>
        </is>
      </c>
      <c r="AX13" s="9" t="inlineStr">
        <is>
          <t> </t>
        </is>
      </c>
      <c r="AY13" s="190" t="inlineStr">
        <is>
          <t>PRESTAÇÃO DE CONTAS EM ANÁLISE</t>
        </is>
      </c>
      <c r="AZ13" s="190" t="inlineStr">
        <is>
          <t>NI</t>
        </is>
      </c>
      <c r="BA13" s="190" t="inlineStr">
        <is>
          <t>NI</t>
        </is>
      </c>
      <c r="BB13" s="190" t="inlineStr">
        <is>
          <t>NI</t>
        </is>
      </c>
      <c r="BC13" s="164" t="inlineStr">
        <is>
          <t>NA</t>
        </is>
      </c>
      <c r="BD13" s="4" t="inlineStr">
        <is>
          <t>NI</t>
        </is>
      </c>
      <c r="BE13" s="4" t="inlineStr">
        <is>
          <t>NI</t>
        </is>
      </c>
      <c r="BF13" s="4" t="inlineStr">
        <is>
          <t>Não iniciado</t>
        </is>
      </c>
      <c r="BG13" s="10" t="inlineStr">
        <is>
          <t>NI</t>
        </is>
      </c>
      <c r="BH13" s="4" t="inlineStr">
        <is>
          <t>NI</t>
        </is>
      </c>
      <c r="BI13" s="4" t="inlineStr">
        <is>
          <t>NI</t>
        </is>
      </c>
      <c r="BJ13" s="4" t="inlineStr">
        <is>
          <t>NI</t>
        </is>
      </c>
      <c r="BK13" s="4" t="inlineStr">
        <is>
          <t>NI</t>
        </is>
      </c>
      <c r="BL13" s="143" t="inlineStr">
        <is>
          <t>NI</t>
        </is>
      </c>
      <c r="BM13" s="809" t="n"/>
      <c r="BN13" s="809" t="n"/>
      <c r="BO13" s="809" t="n"/>
      <c r="BP13" s="809" t="n"/>
      <c r="BQ13" s="809" t="n"/>
      <c r="BR13" s="809" t="n"/>
      <c r="BS13" s="809" t="n"/>
      <c r="BT13" s="160" t="inlineStr">
        <is>
          <t xml:space="preserve"> NA</t>
        </is>
      </c>
      <c r="BU13" s="160" t="inlineStr">
        <is>
          <t xml:space="preserve"> NA</t>
        </is>
      </c>
      <c r="BV13" s="808" t="n"/>
      <c r="BW13" s="808" t="n"/>
      <c r="BX13" s="808" t="n"/>
      <c r="BY13" s="808" t="n"/>
      <c r="BZ13" s="808" t="n"/>
      <c r="CA13" s="808" t="n"/>
      <c r="CB13" s="808" t="n"/>
      <c r="CC13" s="808" t="n"/>
      <c r="CD13" s="808" t="n"/>
      <c r="CE13" s="808" t="n"/>
      <c r="CF13" s="808" t="n"/>
      <c r="CG13" s="808" t="n"/>
      <c r="CH13" s="808" t="n"/>
      <c r="CI13" s="808" t="n"/>
      <c r="CJ13" s="808" t="n"/>
      <c r="CK13" s="808" t="n"/>
      <c r="CL13" s="808" t="n"/>
      <c r="CM13" s="808" t="n"/>
      <c r="CN13" s="808" t="n"/>
      <c r="CO13" s="808" t="n"/>
      <c r="CP13" s="808" t="n"/>
      <c r="CQ13" s="808" t="n"/>
      <c r="CR13" s="808" t="n"/>
      <c r="CS13" s="808" t="n"/>
      <c r="CT13" s="808" t="n"/>
    </row>
    <row r="14" ht="60" customFormat="1" customHeight="1" s="107">
      <c r="A14" s="113" t="inlineStr">
        <is>
          <t>SUDESTE</t>
        </is>
      </c>
      <c r="B14" s="113" t="inlineStr">
        <is>
          <t>ES</t>
        </is>
      </c>
      <c r="C14" s="113" t="inlineStr">
        <is>
          <t>VITORIA</t>
        </is>
      </c>
      <c r="D14" s="113" t="inlineStr">
        <is>
          <t>ASSOCIACAO FEMININA DE EDUCACAO E COMBATE AO CANCER</t>
        </is>
      </c>
      <c r="E14" s="114" t="inlineStr">
        <is>
          <t>28137925000106</t>
        </is>
      </c>
      <c r="F14" s="149" t="inlineStr">
        <is>
          <t>ASSOCIACAO FEMININA DE EDUCACAO E COMBATE AO CANCER</t>
        </is>
      </c>
      <c r="G14" s="151" t="n">
        <v>11738</v>
      </c>
      <c r="H14" s="136" t="n">
        <v>-20297499</v>
      </c>
      <c r="I14" s="137" t="n">
        <v>-403171414</v>
      </c>
      <c r="J14" s="113" t="inlineStr">
        <is>
          <t>Rastreamento e apoio</t>
        </is>
      </c>
      <c r="K14" s="113" t="inlineStr">
        <is>
          <t>Indireta</t>
        </is>
      </c>
      <c r="L14" s="113" t="inlineStr">
        <is>
          <t>Transferegov/SEI</t>
        </is>
      </c>
      <c r="M14" s="113" t="inlineStr">
        <is>
          <t>Convênio</t>
        </is>
      </c>
      <c r="N14" s="116" t="n">
        <v>2024</v>
      </c>
      <c r="O14" s="115" t="inlineStr">
        <is>
          <t>959424</t>
        </is>
      </c>
      <c r="P14" s="115" t="inlineStr">
        <is>
          <t>92813724002</t>
        </is>
      </c>
      <c r="Q14" s="114" t="inlineStr">
        <is>
          <t>25000.065802/2024-71</t>
        </is>
      </c>
      <c r="R14" s="113" t="inlineStr">
        <is>
          <t>REDE DE ATENÇÃO À PESSOA COM DOENÇAS CRÔNICAS - HOSPITAL HABILITADO NA ALTA COMPLEXIDADE EM ONCOLOGIA</t>
        </is>
      </c>
      <c r="S14" s="113" t="inlineStr">
        <is>
          <t>Substituição</t>
        </is>
      </c>
      <c r="T14" s="113" t="inlineStr">
        <is>
          <t>Vários</t>
        </is>
      </c>
      <c r="U14" s="113" t="n">
        <v>2</v>
      </c>
      <c r="V14" s="113" t="inlineStr">
        <is>
          <t xml:space="preserve"> NA</t>
        </is>
      </c>
      <c r="W14" s="113" t="inlineStr">
        <is>
          <t xml:space="preserve"> UND</t>
        </is>
      </c>
      <c r="X14" s="113" t="inlineStr">
        <is>
          <t>EQUIPAMENTO</t>
        </is>
      </c>
      <c r="Y14" s="113" t="inlineStr">
        <is>
          <t xml:space="preserve"> NA</t>
        </is>
      </c>
      <c r="Z14" s="113" t="inlineStr">
        <is>
          <t>NA</t>
        </is>
      </c>
      <c r="AA14" s="163" t="n">
        <v>45636</v>
      </c>
      <c r="AB14" s="163" t="n">
        <v>46394</v>
      </c>
      <c r="AC14" s="163" t="n">
        <v>46454</v>
      </c>
      <c r="AD14" s="113" t="inlineStr">
        <is>
          <t>NI</t>
        </is>
      </c>
      <c r="AE14" s="113" t="inlineStr">
        <is>
          <t>NI</t>
        </is>
      </c>
      <c r="AF14" s="113" t="inlineStr">
        <is>
          <t>NI</t>
        </is>
      </c>
      <c r="AG14" s="118" t="n">
        <v>500000</v>
      </c>
      <c r="AH14" s="118" t="n">
        <v>0</v>
      </c>
      <c r="AI14" s="163" t="n">
        <v>45398</v>
      </c>
      <c r="AJ14" s="113" t="n">
        <v>8535</v>
      </c>
      <c r="AK14" s="118" t="inlineStr">
        <is>
          <t> </t>
        </is>
      </c>
      <c r="AL14" s="118" t="inlineStr">
        <is>
          <t> </t>
        </is>
      </c>
      <c r="AM14" s="118" t="inlineStr">
        <is>
          <t> </t>
        </is>
      </c>
      <c r="AN14" s="118" t="inlineStr">
        <is>
          <t> </t>
        </is>
      </c>
      <c r="AO14" s="118" t="inlineStr">
        <is>
          <t> </t>
        </is>
      </c>
      <c r="AP14" s="118" t="inlineStr">
        <is>
          <t> </t>
        </is>
      </c>
      <c r="AQ14" s="118" t="inlineStr">
        <is>
          <t> </t>
        </is>
      </c>
      <c r="AR14" s="118" t="inlineStr">
        <is>
          <t> </t>
        </is>
      </c>
      <c r="AS14" s="118" t="inlineStr">
        <is>
          <t> </t>
        </is>
      </c>
      <c r="AT14" s="118" t="inlineStr">
        <is>
          <t> </t>
        </is>
      </c>
      <c r="AU14" s="118" t="inlineStr">
        <is>
          <t> </t>
        </is>
      </c>
      <c r="AV14" s="118" t="inlineStr">
        <is>
          <t> </t>
        </is>
      </c>
      <c r="AW14" s="118" t="inlineStr">
        <is>
          <t> </t>
        </is>
      </c>
      <c r="AX14" s="118" t="inlineStr">
        <is>
          <t> </t>
        </is>
      </c>
      <c r="AY14" s="213" t="inlineStr">
        <is>
          <t>PRESTAÇÃO DE CONTAS EM ANÁLISE</t>
        </is>
      </c>
      <c r="AZ14" s="213" t="inlineStr">
        <is>
          <t>NI</t>
        </is>
      </c>
      <c r="BA14" s="213" t="inlineStr">
        <is>
          <t>NI</t>
        </is>
      </c>
      <c r="BB14" s="213" t="inlineStr">
        <is>
          <t>NI</t>
        </is>
      </c>
      <c r="BC14" s="163" t="n">
        <v>46394</v>
      </c>
      <c r="BD14" s="113" t="inlineStr">
        <is>
          <t>NI</t>
        </is>
      </c>
      <c r="BE14" s="113" t="inlineStr">
        <is>
          <t>NI</t>
        </is>
      </c>
      <c r="BF14" s="113" t="inlineStr">
        <is>
          <t>Não iniciado</t>
        </is>
      </c>
      <c r="BG14" s="119" t="inlineStr">
        <is>
          <t>NI</t>
        </is>
      </c>
      <c r="BH14" s="113" t="inlineStr">
        <is>
          <t>NI</t>
        </is>
      </c>
      <c r="BI14" s="113" t="inlineStr">
        <is>
          <t>NI</t>
        </is>
      </c>
      <c r="BJ14" s="113" t="inlineStr">
        <is>
          <t>NI</t>
        </is>
      </c>
      <c r="BK14" s="113" t="inlineStr">
        <is>
          <t>NI</t>
        </is>
      </c>
      <c r="BL14" s="142" t="inlineStr">
        <is>
          <t>NI</t>
        </is>
      </c>
      <c r="BM14" s="807" t="n"/>
      <c r="BN14" s="807" t="n"/>
      <c r="BO14" s="807" t="n"/>
      <c r="BP14" s="807" t="n"/>
      <c r="BQ14" s="807" t="n"/>
      <c r="BR14" s="807" t="n"/>
      <c r="BS14" s="807" t="n"/>
      <c r="BT14" s="159" t="n">
        <v>45854</v>
      </c>
      <c r="BU14" s="118" t="n">
        <v>412500</v>
      </c>
      <c r="BV14" s="808" t="n"/>
      <c r="BW14" s="808" t="n"/>
      <c r="BX14" s="808" t="n"/>
      <c r="BY14" s="808" t="n"/>
      <c r="BZ14" s="808" t="n"/>
      <c r="CA14" s="808" t="n"/>
      <c r="CB14" s="808" t="n"/>
      <c r="CC14" s="808" t="n"/>
      <c r="CD14" s="808" t="n"/>
      <c r="CE14" s="808" t="n"/>
      <c r="CF14" s="808" t="n"/>
      <c r="CG14" s="808" t="n"/>
      <c r="CH14" s="808" t="n"/>
      <c r="CI14" s="808" t="n"/>
      <c r="CJ14" s="808" t="n"/>
      <c r="CK14" s="808" t="n"/>
      <c r="CL14" s="808" t="n"/>
      <c r="CM14" s="808" t="n"/>
      <c r="CN14" s="808" t="n"/>
      <c r="CO14" s="808" t="n"/>
      <c r="CP14" s="808" t="n"/>
      <c r="CQ14" s="808" t="n"/>
      <c r="CR14" s="808" t="n"/>
      <c r="CS14" s="808" t="n"/>
      <c r="CT14" s="808" t="n"/>
    </row>
    <row r="15" outlineLevel="1" ht="60" customFormat="1" customHeight="1" s="107">
      <c r="A15" s="4" t="inlineStr">
        <is>
          <t>SUDESTE</t>
        </is>
      </c>
      <c r="B15" s="4" t="inlineStr">
        <is>
          <t>ES</t>
        </is>
      </c>
      <c r="C15" s="4" t="inlineStr">
        <is>
          <t>VITORIA</t>
        </is>
      </c>
      <c r="D15" s="4" t="inlineStr">
        <is>
          <t>ASSOCIACAO FEMININA DE EDUCACAO E COMBATE AO CANCER</t>
        </is>
      </c>
      <c r="E15" s="5" t="inlineStr">
        <is>
          <t>28137925000106</t>
        </is>
      </c>
      <c r="F15" s="146" t="inlineStr">
        <is>
          <t xml:space="preserve"> ASSOCIACAO FEMININA DE EDUCACAO E COMBATE AO CANCER</t>
        </is>
      </c>
      <c r="G15" s="147" t="n">
        <v>11738</v>
      </c>
      <c r="H15" s="134" t="n">
        <v>-20297499</v>
      </c>
      <c r="I15" s="135" t="n">
        <v>-403171414</v>
      </c>
      <c r="J15" s="4" t="inlineStr">
        <is>
          <t>Rastreamento</t>
        </is>
      </c>
      <c r="K15" s="4" t="inlineStr">
        <is>
          <t>Indireta</t>
        </is>
      </c>
      <c r="L15" s="4" t="inlineStr">
        <is>
          <t>Transferegov/SEI</t>
        </is>
      </c>
      <c r="M15" s="4" t="inlineStr">
        <is>
          <t>Convênio</t>
        </is>
      </c>
      <c r="N15" s="4" t="n">
        <v>2024</v>
      </c>
      <c r="O15" s="6" t="inlineStr">
        <is>
          <t xml:space="preserve"> 959424</t>
        </is>
      </c>
      <c r="P15" s="5" t="inlineStr">
        <is>
          <t>92813724002</t>
        </is>
      </c>
      <c r="Q15" s="5" t="inlineStr">
        <is>
          <t>25000.065802/2024-71</t>
        </is>
      </c>
      <c r="R15" s="4" t="inlineStr">
        <is>
          <t>REDE DE ATENÇÃO À PESSOA COM DOENÇAS CRÔNICAS - HOSPITAL HABILITADO NA ALTA COMPLEXIDADE EM ONCOLOGIA</t>
        </is>
      </c>
      <c r="S15" s="4" t="inlineStr">
        <is>
          <t>Substituição</t>
        </is>
      </c>
      <c r="T15" s="4" t="inlineStr">
        <is>
          <t>Sistema de Vídeo Endoscopia Rígida</t>
        </is>
      </c>
      <c r="U15" s="4" t="inlineStr">
        <is>
          <t xml:space="preserve"> NA</t>
        </is>
      </c>
      <c r="V15" s="4" t="n">
        <v>1</v>
      </c>
      <c r="W15" s="8" t="inlineStr">
        <is>
          <t xml:space="preserve"> UND</t>
        </is>
      </c>
      <c r="X15" s="4" t="inlineStr">
        <is>
          <t>EQUIPAMENTO</t>
        </is>
      </c>
      <c r="Y15" s="4" t="inlineStr">
        <is>
          <t>10254-Sistema de Vídeo Endoscopia Rígida</t>
        </is>
      </c>
      <c r="Z15" s="4" t="inlineStr">
        <is>
          <t>NA</t>
        </is>
      </c>
      <c r="AA15" s="164" t="n">
        <v>45636</v>
      </c>
      <c r="AB15" s="164" t="n">
        <v>46394</v>
      </c>
      <c r="AC15" s="164" t="n">
        <v>46454</v>
      </c>
      <c r="AD15" s="4" t="inlineStr">
        <is>
          <t>NI</t>
        </is>
      </c>
      <c r="AE15" s="4" t="inlineStr">
        <is>
          <t>NI</t>
        </is>
      </c>
      <c r="AF15" s="4" t="inlineStr">
        <is>
          <t>NI</t>
        </is>
      </c>
      <c r="AG15" s="9" t="n">
        <v>500000</v>
      </c>
      <c r="AH15" s="9" t="inlineStr">
        <is>
          <t xml:space="preserve"> NA</t>
        </is>
      </c>
      <c r="AI15" s="9" t="inlineStr">
        <is>
          <t xml:space="preserve"> NA</t>
        </is>
      </c>
      <c r="AJ15" s="4" t="n">
        <v>8535</v>
      </c>
      <c r="AK15" s="9" t="inlineStr">
        <is>
          <t> </t>
        </is>
      </c>
      <c r="AL15" s="9" t="inlineStr">
        <is>
          <t> </t>
        </is>
      </c>
      <c r="AM15" s="9" t="inlineStr">
        <is>
          <t> </t>
        </is>
      </c>
      <c r="AN15" s="9" t="inlineStr">
        <is>
          <t> </t>
        </is>
      </c>
      <c r="AO15" s="9" t="inlineStr">
        <is>
          <t> </t>
        </is>
      </c>
      <c r="AP15" s="9" t="inlineStr">
        <is>
          <t> </t>
        </is>
      </c>
      <c r="AQ15" s="9" t="inlineStr">
        <is>
          <t> </t>
        </is>
      </c>
      <c r="AR15" s="9" t="inlineStr">
        <is>
          <t> </t>
        </is>
      </c>
      <c r="AS15" s="9" t="inlineStr">
        <is>
          <t> </t>
        </is>
      </c>
      <c r="AT15" s="9" t="inlineStr">
        <is>
          <t> </t>
        </is>
      </c>
      <c r="AU15" s="9" t="inlineStr">
        <is>
          <t> </t>
        </is>
      </c>
      <c r="AV15" s="9" t="inlineStr">
        <is>
          <t> </t>
        </is>
      </c>
      <c r="AW15" s="9" t="inlineStr">
        <is>
          <t> </t>
        </is>
      </c>
      <c r="AX15" s="9" t="inlineStr">
        <is>
          <t> </t>
        </is>
      </c>
      <c r="AY15" s="190" t="inlineStr">
        <is>
          <t>PRESTAÇÃO DE CONTAS EM ANÁLISE</t>
        </is>
      </c>
      <c r="AZ15" s="190" t="inlineStr">
        <is>
          <t>NI</t>
        </is>
      </c>
      <c r="BA15" s="190" t="inlineStr">
        <is>
          <t>NI</t>
        </is>
      </c>
      <c r="BB15" s="190" t="inlineStr">
        <is>
          <t>NI</t>
        </is>
      </c>
      <c r="BC15" s="164" t="inlineStr">
        <is>
          <t>NA</t>
        </is>
      </c>
      <c r="BD15" s="4" t="inlineStr">
        <is>
          <t>NI</t>
        </is>
      </c>
      <c r="BE15" s="4" t="inlineStr">
        <is>
          <t>NI</t>
        </is>
      </c>
      <c r="BF15" s="4" t="inlineStr">
        <is>
          <t>Não iniciado</t>
        </is>
      </c>
      <c r="BG15" s="10" t="inlineStr">
        <is>
          <t>NI</t>
        </is>
      </c>
      <c r="BH15" s="4" t="inlineStr">
        <is>
          <t>NI</t>
        </is>
      </c>
      <c r="BI15" s="4" t="inlineStr">
        <is>
          <t>NI</t>
        </is>
      </c>
      <c r="BJ15" s="4" t="inlineStr">
        <is>
          <t>NI</t>
        </is>
      </c>
      <c r="BK15" s="4" t="inlineStr">
        <is>
          <t>NI</t>
        </is>
      </c>
      <c r="BL15" s="143" t="inlineStr">
        <is>
          <t>NI</t>
        </is>
      </c>
      <c r="BM15" s="809" t="n"/>
      <c r="BN15" s="809" t="n"/>
      <c r="BO15" s="809" t="n"/>
      <c r="BP15" s="809" t="n"/>
      <c r="BQ15" s="809" t="n"/>
      <c r="BR15" s="809" t="n"/>
      <c r="BS15" s="809" t="n"/>
      <c r="BT15" s="160" t="inlineStr">
        <is>
          <t xml:space="preserve"> NA</t>
        </is>
      </c>
      <c r="BU15" s="160" t="inlineStr">
        <is>
          <t xml:space="preserve"> NA</t>
        </is>
      </c>
      <c r="BV15" s="808" t="n"/>
      <c r="BW15" s="808" t="n"/>
      <c r="BX15" s="808" t="n"/>
      <c r="BY15" s="808" t="n"/>
      <c r="BZ15" s="808" t="n"/>
      <c r="CA15" s="808" t="n"/>
      <c r="CB15" s="808" t="n"/>
      <c r="CC15" s="808" t="n"/>
      <c r="CD15" s="808" t="n"/>
      <c r="CE15" s="808" t="n"/>
      <c r="CF15" s="808" t="n"/>
      <c r="CG15" s="808" t="n"/>
      <c r="CH15" s="808" t="n"/>
      <c r="CI15" s="808" t="n"/>
      <c r="CJ15" s="808" t="n"/>
      <c r="CK15" s="808" t="n"/>
      <c r="CL15" s="808" t="n"/>
      <c r="CM15" s="808" t="n"/>
      <c r="CN15" s="808" t="n"/>
      <c r="CO15" s="808" t="n"/>
      <c r="CP15" s="808" t="n"/>
      <c r="CQ15" s="808" t="n"/>
      <c r="CR15" s="808" t="n"/>
      <c r="CS15" s="808" t="n"/>
      <c r="CT15" s="808" t="n"/>
    </row>
    <row r="16" ht="60" customFormat="1" customHeight="1" s="107">
      <c r="A16" s="113" t="inlineStr">
        <is>
          <t>SUDESTE</t>
        </is>
      </c>
      <c r="B16" s="113" t="inlineStr">
        <is>
          <t>ES</t>
        </is>
      </c>
      <c r="C16" s="113" t="inlineStr">
        <is>
          <t>VITORIA</t>
        </is>
      </c>
      <c r="D16" s="113" t="inlineStr">
        <is>
          <t>ASSOCIACAO FEMININA DE EDUCACAO E COMBATE AO CANCER</t>
        </is>
      </c>
      <c r="E16" s="114" t="inlineStr">
        <is>
          <t>28137925000106</t>
        </is>
      </c>
      <c r="F16" s="149" t="inlineStr">
        <is>
          <t>ASSOCIACAO FEMININA DE EDUCACAO E COMBATE AO CANCER</t>
        </is>
      </c>
      <c r="G16" s="151" t="n">
        <v>11738</v>
      </c>
      <c r="H16" s="136" t="n">
        <v>-20297499</v>
      </c>
      <c r="I16" s="137" t="n">
        <v>-403171414</v>
      </c>
      <c r="J16" s="113" t="inlineStr">
        <is>
          <t>Rastreamento e apoio</t>
        </is>
      </c>
      <c r="K16" s="113" t="inlineStr">
        <is>
          <t>Indireta</t>
        </is>
      </c>
      <c r="L16" s="113" t="inlineStr">
        <is>
          <t>Transferegov/SEI</t>
        </is>
      </c>
      <c r="M16" s="113" t="inlineStr">
        <is>
          <t>Convênio</t>
        </is>
      </c>
      <c r="N16" s="116" t="n">
        <v>2024</v>
      </c>
      <c r="O16" s="115" t="inlineStr">
        <is>
          <t>962381</t>
        </is>
      </c>
      <c r="P16" s="114" t="inlineStr">
        <is>
          <t>92813724003</t>
        </is>
      </c>
      <c r="Q16" s="114" t="inlineStr">
        <is>
          <t>25000.080390/2024-08</t>
        </is>
      </c>
      <c r="R16" s="113" t="inlineStr">
        <is>
          <t>REDE DE ATENÇÃO À PESSOA COM DOENÇAS CRÔNICAS - HOSPITAL HABILITADO NA ALTA COMPLEXIDADE EM ONCOLOGIA</t>
        </is>
      </c>
      <c r="S16" s="113" t="inlineStr">
        <is>
          <t>Substituição</t>
        </is>
      </c>
      <c r="T16" s="113" t="inlineStr">
        <is>
          <t>Vários</t>
        </is>
      </c>
      <c r="U16" s="113" t="n">
        <v>3</v>
      </c>
      <c r="V16" s="113" t="inlineStr">
        <is>
          <t>NA</t>
        </is>
      </c>
      <c r="W16" s="113" t="inlineStr">
        <is>
          <t xml:space="preserve"> UND</t>
        </is>
      </c>
      <c r="X16" s="113" t="inlineStr">
        <is>
          <t>EQUIPAMENTO</t>
        </is>
      </c>
      <c r="Y16" s="113" t="inlineStr">
        <is>
          <t xml:space="preserve"> NA</t>
        </is>
      </c>
      <c r="Z16" s="113" t="inlineStr">
        <is>
          <t>NA</t>
        </is>
      </c>
      <c r="AA16" s="163" t="n">
        <v>45636</v>
      </c>
      <c r="AB16" s="163" t="n">
        <v>46395</v>
      </c>
      <c r="AC16" s="163" t="n">
        <v>46455</v>
      </c>
      <c r="AD16" s="113" t="inlineStr">
        <is>
          <t>NI</t>
        </is>
      </c>
      <c r="AE16" s="113" t="inlineStr">
        <is>
          <t>NI</t>
        </is>
      </c>
      <c r="AF16" s="113" t="inlineStr">
        <is>
          <t>NI</t>
        </is>
      </c>
      <c r="AG16" s="118" t="n">
        <v>500000</v>
      </c>
      <c r="AH16" s="118" t="n">
        <v>0</v>
      </c>
      <c r="AI16" s="163" t="n">
        <v>45436</v>
      </c>
      <c r="AJ16" s="113" t="n">
        <v>8535</v>
      </c>
      <c r="AK16" s="118" t="inlineStr">
        <is>
          <t> </t>
        </is>
      </c>
      <c r="AL16" s="118" t="inlineStr">
        <is>
          <t> </t>
        </is>
      </c>
      <c r="AM16" s="118" t="inlineStr">
        <is>
          <t> </t>
        </is>
      </c>
      <c r="AN16" s="118" t="inlineStr">
        <is>
          <t> </t>
        </is>
      </c>
      <c r="AO16" s="118" t="inlineStr">
        <is>
          <t> </t>
        </is>
      </c>
      <c r="AP16" s="118" t="inlineStr">
        <is>
          <t> </t>
        </is>
      </c>
      <c r="AQ16" s="118" t="inlineStr">
        <is>
          <t> </t>
        </is>
      </c>
      <c r="AR16" s="118" t="inlineStr">
        <is>
          <t> </t>
        </is>
      </c>
      <c r="AS16" s="118" t="inlineStr">
        <is>
          <t> </t>
        </is>
      </c>
      <c r="AT16" s="118" t="inlineStr">
        <is>
          <t> </t>
        </is>
      </c>
      <c r="AU16" s="118" t="inlineStr">
        <is>
          <t> </t>
        </is>
      </c>
      <c r="AV16" s="118" t="inlineStr">
        <is>
          <t> </t>
        </is>
      </c>
      <c r="AW16" s="118" t="inlineStr">
        <is>
          <t> </t>
        </is>
      </c>
      <c r="AX16" s="118" t="inlineStr">
        <is>
          <t> </t>
        </is>
      </c>
      <c r="AY16" s="213" t="inlineStr">
        <is>
          <t>PRESTAÇÃO DE CONTAS EM ANÁLISE</t>
        </is>
      </c>
      <c r="AZ16" s="213" t="inlineStr">
        <is>
          <t>NI</t>
        </is>
      </c>
      <c r="BA16" s="213" t="inlineStr">
        <is>
          <t>NI</t>
        </is>
      </c>
      <c r="BB16" s="213" t="inlineStr">
        <is>
          <t>NI</t>
        </is>
      </c>
      <c r="BC16" s="163" t="n">
        <v>46395</v>
      </c>
      <c r="BD16" s="113" t="inlineStr">
        <is>
          <t>NI</t>
        </is>
      </c>
      <c r="BE16" s="113" t="inlineStr">
        <is>
          <t>NI</t>
        </is>
      </c>
      <c r="BF16" s="113" t="inlineStr">
        <is>
          <t>Não iniciado</t>
        </is>
      </c>
      <c r="BG16" s="119" t="inlineStr">
        <is>
          <t>NI</t>
        </is>
      </c>
      <c r="BH16" s="113" t="inlineStr">
        <is>
          <t>NI</t>
        </is>
      </c>
      <c r="BI16" s="113" t="inlineStr">
        <is>
          <t>NI</t>
        </is>
      </c>
      <c r="BJ16" s="113" t="inlineStr">
        <is>
          <t>NI</t>
        </is>
      </c>
      <c r="BK16" s="113" t="inlineStr">
        <is>
          <t>NI</t>
        </is>
      </c>
      <c r="BL16" s="142" t="inlineStr">
        <is>
          <t>NI</t>
        </is>
      </c>
      <c r="BM16" s="807" t="n"/>
      <c r="BN16" s="807" t="n"/>
      <c r="BO16" s="807" t="n"/>
      <c r="BP16" s="807" t="n"/>
      <c r="BQ16" s="807" t="n"/>
      <c r="BR16" s="807" t="n"/>
      <c r="BS16" s="807" t="n"/>
      <c r="BT16" s="159" t="n">
        <v>45855</v>
      </c>
      <c r="BU16" s="118" t="n">
        <v>315900</v>
      </c>
      <c r="BV16" s="808" t="n"/>
      <c r="BW16" s="808" t="n"/>
      <c r="BX16" s="808" t="n"/>
      <c r="BY16" s="808" t="n"/>
      <c r="BZ16" s="808" t="n"/>
      <c r="CA16" s="808" t="n"/>
      <c r="CB16" s="808" t="n"/>
      <c r="CC16" s="808" t="n"/>
      <c r="CD16" s="808" t="n"/>
      <c r="CE16" s="808" t="n"/>
      <c r="CF16" s="808" t="n"/>
      <c r="CG16" s="808" t="n"/>
      <c r="CH16" s="808" t="n"/>
      <c r="CI16" s="808" t="n"/>
      <c r="CJ16" s="808" t="n"/>
      <c r="CK16" s="808" t="n"/>
      <c r="CL16" s="808" t="n"/>
      <c r="CM16" s="808" t="n"/>
      <c r="CN16" s="808" t="n"/>
      <c r="CO16" s="808" t="n"/>
      <c r="CP16" s="808" t="n"/>
      <c r="CQ16" s="808" t="n"/>
      <c r="CR16" s="808" t="n"/>
      <c r="CS16" s="808" t="n"/>
      <c r="CT16" s="808" t="n"/>
    </row>
    <row r="17" outlineLevel="1" ht="60" customFormat="1" customHeight="1" s="107">
      <c r="A17" s="4" t="inlineStr">
        <is>
          <t>SUDESTE</t>
        </is>
      </c>
      <c r="B17" s="4" t="inlineStr">
        <is>
          <t>ES</t>
        </is>
      </c>
      <c r="C17" s="4" t="inlineStr">
        <is>
          <t>VITORIA</t>
        </is>
      </c>
      <c r="D17" s="4" t="inlineStr">
        <is>
          <t>ASSOCIACAO FEMININA DE EDUCACAO E COMBATE AO CANCER</t>
        </is>
      </c>
      <c r="E17" s="5" t="inlineStr">
        <is>
          <t>28137925000106</t>
        </is>
      </c>
      <c r="F17" s="146" t="inlineStr">
        <is>
          <t xml:space="preserve"> ASSOCIACAO FEMININA DE EDUCACAO E COMBATE AO CANCER</t>
        </is>
      </c>
      <c r="G17" s="147" t="n">
        <v>11738</v>
      </c>
      <c r="H17" s="134" t="n">
        <v>-20297499</v>
      </c>
      <c r="I17" s="135" t="n">
        <v>-403171414</v>
      </c>
      <c r="J17" s="4" t="inlineStr">
        <is>
          <t>Rastreamento</t>
        </is>
      </c>
      <c r="K17" s="4" t="inlineStr">
        <is>
          <t>Indireta</t>
        </is>
      </c>
      <c r="L17" s="4" t="inlineStr">
        <is>
          <t>Transferegov/SEI</t>
        </is>
      </c>
      <c r="M17" s="4" t="inlineStr">
        <is>
          <t>Convênio</t>
        </is>
      </c>
      <c r="N17" s="4" t="n">
        <v>2024</v>
      </c>
      <c r="O17" s="6" t="inlineStr">
        <is>
          <t>962381</t>
        </is>
      </c>
      <c r="P17" s="5" t="inlineStr">
        <is>
          <t>92813724003</t>
        </is>
      </c>
      <c r="Q17" s="5" t="inlineStr">
        <is>
          <t>25000.080390/2024-08</t>
        </is>
      </c>
      <c r="R17" s="4" t="inlineStr">
        <is>
          <t>REDE DE ATENÇÃO À PESSOA COM DOENÇAS CRÔNICAS - HOSPITAL HABILITADO NA ALTA COMPLEXIDADE EM ONCOLOGIA</t>
        </is>
      </c>
      <c r="S17" s="4" t="inlineStr">
        <is>
          <t>Substituição</t>
        </is>
      </c>
      <c r="T17" s="4" t="inlineStr">
        <is>
          <t>Sistema de Vídeo Endoscopia Rígida</t>
        </is>
      </c>
      <c r="U17" s="4" t="inlineStr">
        <is>
          <t>NA</t>
        </is>
      </c>
      <c r="V17" s="4" t="n">
        <v>1</v>
      </c>
      <c r="W17" s="4" t="inlineStr">
        <is>
          <t xml:space="preserve"> UND</t>
        </is>
      </c>
      <c r="X17" s="4" t="inlineStr">
        <is>
          <t>EQUIPAMENTO</t>
        </is>
      </c>
      <c r="Y17" s="4" t="inlineStr">
        <is>
          <t>10254-Sistema de Vídeo Endoscopia Rígida</t>
        </is>
      </c>
      <c r="Z17" s="4" t="inlineStr">
        <is>
          <t>NA</t>
        </is>
      </c>
      <c r="AA17" s="164" t="n">
        <v>45636</v>
      </c>
      <c r="AB17" s="164" t="n">
        <v>46395</v>
      </c>
      <c r="AC17" s="164" t="n">
        <v>46455</v>
      </c>
      <c r="AD17" s="4" t="inlineStr">
        <is>
          <t>NI</t>
        </is>
      </c>
      <c r="AE17" s="4" t="inlineStr">
        <is>
          <t>NI</t>
        </is>
      </c>
      <c r="AF17" s="4" t="inlineStr">
        <is>
          <t>NI</t>
        </is>
      </c>
      <c r="AG17" s="9" t="n">
        <v>500000</v>
      </c>
      <c r="AH17" s="9" t="inlineStr">
        <is>
          <t>NA</t>
        </is>
      </c>
      <c r="AI17" s="9" t="inlineStr">
        <is>
          <t>NA</t>
        </is>
      </c>
      <c r="AJ17" s="4" t="n">
        <v>8535</v>
      </c>
      <c r="AK17" s="9" t="inlineStr">
        <is>
          <t> </t>
        </is>
      </c>
      <c r="AL17" s="9" t="inlineStr">
        <is>
          <t> </t>
        </is>
      </c>
      <c r="AM17" s="9" t="inlineStr">
        <is>
          <t> </t>
        </is>
      </c>
      <c r="AN17" s="9" t="inlineStr">
        <is>
          <t> </t>
        </is>
      </c>
      <c r="AO17" s="9" t="inlineStr">
        <is>
          <t> </t>
        </is>
      </c>
      <c r="AP17" s="9" t="inlineStr">
        <is>
          <t> </t>
        </is>
      </c>
      <c r="AQ17" s="9" t="inlineStr">
        <is>
          <t> </t>
        </is>
      </c>
      <c r="AR17" s="9" t="inlineStr">
        <is>
          <t> </t>
        </is>
      </c>
      <c r="AS17" s="9" t="inlineStr">
        <is>
          <t> </t>
        </is>
      </c>
      <c r="AT17" s="9" t="inlineStr">
        <is>
          <t> </t>
        </is>
      </c>
      <c r="AU17" s="9" t="inlineStr">
        <is>
          <t> </t>
        </is>
      </c>
      <c r="AV17" s="9" t="inlineStr">
        <is>
          <t> </t>
        </is>
      </c>
      <c r="AW17" s="9" t="inlineStr">
        <is>
          <t> </t>
        </is>
      </c>
      <c r="AX17" s="9" t="inlineStr">
        <is>
          <t> </t>
        </is>
      </c>
      <c r="AY17" s="190" t="inlineStr">
        <is>
          <t>PRESTAÇÃO DE CONTAS EM ANÁLISE</t>
        </is>
      </c>
      <c r="AZ17" s="190" t="inlineStr">
        <is>
          <t>NI</t>
        </is>
      </c>
      <c r="BA17" s="190" t="inlineStr">
        <is>
          <t>NI</t>
        </is>
      </c>
      <c r="BB17" s="190" t="inlineStr">
        <is>
          <t>NI</t>
        </is>
      </c>
      <c r="BC17" s="164" t="inlineStr">
        <is>
          <t>NA</t>
        </is>
      </c>
      <c r="BD17" s="4" t="inlineStr">
        <is>
          <t>NI</t>
        </is>
      </c>
      <c r="BE17" s="4" t="inlineStr">
        <is>
          <t>NI</t>
        </is>
      </c>
      <c r="BF17" s="4" t="inlineStr">
        <is>
          <t>Não iniciado</t>
        </is>
      </c>
      <c r="BG17" s="10" t="inlineStr">
        <is>
          <t>NI</t>
        </is>
      </c>
      <c r="BH17" s="4" t="inlineStr">
        <is>
          <t>NI</t>
        </is>
      </c>
      <c r="BI17" s="4" t="inlineStr">
        <is>
          <t>NI</t>
        </is>
      </c>
      <c r="BJ17" s="4" t="inlineStr">
        <is>
          <t>NI</t>
        </is>
      </c>
      <c r="BK17" s="4" t="inlineStr">
        <is>
          <t>NI</t>
        </is>
      </c>
      <c r="BL17" s="143" t="inlineStr">
        <is>
          <t>NI</t>
        </is>
      </c>
      <c r="BM17" s="809" t="n"/>
      <c r="BN17" s="809" t="n"/>
      <c r="BO17" s="809" t="n"/>
      <c r="BP17" s="809" t="n"/>
      <c r="BQ17" s="809" t="n"/>
      <c r="BR17" s="809" t="n"/>
      <c r="BS17" s="809" t="n"/>
      <c r="BT17" s="160" t="inlineStr">
        <is>
          <t xml:space="preserve"> NA</t>
        </is>
      </c>
      <c r="BU17" s="160" t="inlineStr">
        <is>
          <t xml:space="preserve"> NA</t>
        </is>
      </c>
      <c r="BV17" s="808" t="n"/>
      <c r="BW17" s="808" t="n"/>
      <c r="BX17" s="808" t="n"/>
      <c r="BY17" s="808" t="n"/>
      <c r="BZ17" s="808" t="n"/>
      <c r="CA17" s="808" t="n"/>
      <c r="CB17" s="808" t="n"/>
      <c r="CC17" s="808" t="n"/>
      <c r="CD17" s="808" t="n"/>
      <c r="CE17" s="808" t="n"/>
      <c r="CF17" s="808" t="n"/>
      <c r="CG17" s="808" t="n"/>
      <c r="CH17" s="808" t="n"/>
      <c r="CI17" s="808" t="n"/>
      <c r="CJ17" s="808" t="n"/>
      <c r="CK17" s="808" t="n"/>
      <c r="CL17" s="808" t="n"/>
      <c r="CM17" s="808" t="n"/>
      <c r="CN17" s="808" t="n"/>
      <c r="CO17" s="808" t="n"/>
      <c r="CP17" s="808" t="n"/>
      <c r="CQ17" s="808" t="n"/>
      <c r="CR17" s="808" t="n"/>
      <c r="CS17" s="808" t="n"/>
      <c r="CT17" s="808" t="n"/>
    </row>
    <row r="18" ht="60" customFormat="1" customHeight="1" s="107">
      <c r="A18" s="113" t="inlineStr">
        <is>
          <t>SUDESTE</t>
        </is>
      </c>
      <c r="B18" s="113" t="inlineStr">
        <is>
          <t>MG</t>
        </is>
      </c>
      <c r="C18" s="113" t="inlineStr">
        <is>
          <t>MONTES CLAROS</t>
        </is>
      </c>
      <c r="D18" s="113" t="inlineStr">
        <is>
          <t>FUNDACAO DE SAUDE DILSON DE QUADROS GODINHO</t>
        </is>
      </c>
      <c r="E18" s="114" t="inlineStr">
        <is>
          <t>00991591000106</t>
        </is>
      </c>
      <c r="F18" s="149" t="inlineStr">
        <is>
          <t xml:space="preserve"> FUNDACAO DE SAUDE DILSON DE QUADROS GODINHO</t>
        </is>
      </c>
      <c r="G18" s="150" t="n">
        <v>2219646</v>
      </c>
      <c r="H18" s="136" t="n">
        <v>-1.67169941979756e+16</v>
      </c>
      <c r="I18" s="137" t="n">
        <v>-4385847330093380</v>
      </c>
      <c r="J18" s="113" t="inlineStr">
        <is>
          <t>Rastreamento e apoio</t>
        </is>
      </c>
      <c r="K18" s="113" t="inlineStr">
        <is>
          <t>Indireta</t>
        </is>
      </c>
      <c r="L18" s="113" t="inlineStr">
        <is>
          <t>Transferegov/SEI</t>
        </is>
      </c>
      <c r="M18" s="113" t="inlineStr">
        <is>
          <t>Convênio</t>
        </is>
      </c>
      <c r="N18" s="116" t="n">
        <v>2024</v>
      </c>
      <c r="O18" s="115" t="inlineStr">
        <is>
          <t>970350</t>
        </is>
      </c>
      <c r="P18" s="114" t="inlineStr">
        <is>
          <t>90099124001</t>
        </is>
      </c>
      <c r="Q18" s="114" t="inlineStr">
        <is>
          <t>25000.171325/2024-82</t>
        </is>
      </c>
      <c r="R18" s="113" t="inlineStr">
        <is>
          <t>REDE DE ATENÇÃO À PESSOA COM DOENÇAS CRÔNICAS - HOSPITAL HABILITADO NA ALTA COMPLEXIDADE EM ONCOLOGIA</t>
        </is>
      </c>
      <c r="S18" s="113" t="inlineStr">
        <is>
          <t>Substituição</t>
        </is>
      </c>
      <c r="T18" s="113" t="inlineStr">
        <is>
          <t>Vários</t>
        </is>
      </c>
      <c r="U18" s="113" t="n">
        <v>10</v>
      </c>
      <c r="V18" s="113" t="inlineStr">
        <is>
          <t>NA</t>
        </is>
      </c>
      <c r="W18" s="113" t="inlineStr">
        <is>
          <t xml:space="preserve"> UND</t>
        </is>
      </c>
      <c r="X18" s="113" t="inlineStr">
        <is>
          <t>EQUIPAMENTO</t>
        </is>
      </c>
      <c r="Y18" s="113" t="inlineStr">
        <is>
          <t xml:space="preserve"> NA</t>
        </is>
      </c>
      <c r="Z18" s="113" t="inlineStr">
        <is>
          <t>NA</t>
        </is>
      </c>
      <c r="AA18" s="163" t="n">
        <v>45656</v>
      </c>
      <c r="AB18" s="163" t="n">
        <v>46196</v>
      </c>
      <c r="AC18" s="163" t="n">
        <v>46256</v>
      </c>
      <c r="AD18" s="113" t="inlineStr">
        <is>
          <t>NI</t>
        </is>
      </c>
      <c r="AE18" s="113" t="inlineStr">
        <is>
          <t>NI</t>
        </is>
      </c>
      <c r="AF18" s="113" t="inlineStr">
        <is>
          <t>NI</t>
        </is>
      </c>
      <c r="AG18" s="118" t="n">
        <v>499808</v>
      </c>
      <c r="AH18" s="118" t="n">
        <v>0</v>
      </c>
      <c r="AI18" s="163" t="n">
        <v>45594</v>
      </c>
      <c r="AJ18" s="113" t="n">
        <v>8535</v>
      </c>
      <c r="AK18" s="118" t="inlineStr">
        <is>
          <t> </t>
        </is>
      </c>
      <c r="AL18" s="118" t="inlineStr">
        <is>
          <t> </t>
        </is>
      </c>
      <c r="AM18" s="118" t="inlineStr">
        <is>
          <t> </t>
        </is>
      </c>
      <c r="AN18" s="118" t="inlineStr">
        <is>
          <t> </t>
        </is>
      </c>
      <c r="AO18" s="118" t="inlineStr">
        <is>
          <t> </t>
        </is>
      </c>
      <c r="AP18" s="118" t="inlineStr">
        <is>
          <t> </t>
        </is>
      </c>
      <c r="AQ18" s="118" t="inlineStr">
        <is>
          <t> </t>
        </is>
      </c>
      <c r="AR18" s="118" t="inlineStr">
        <is>
          <t> </t>
        </is>
      </c>
      <c r="AS18" s="118" t="inlineStr">
        <is>
          <t> </t>
        </is>
      </c>
      <c r="AT18" s="118" t="inlineStr">
        <is>
          <t> </t>
        </is>
      </c>
      <c r="AU18" s="118" t="inlineStr">
        <is>
          <t> </t>
        </is>
      </c>
      <c r="AV18" s="118" t="inlineStr">
        <is>
          <t> </t>
        </is>
      </c>
      <c r="AW18" s="118" t="inlineStr">
        <is>
          <t> </t>
        </is>
      </c>
      <c r="AX18" s="118" t="inlineStr">
        <is>
          <t> </t>
        </is>
      </c>
      <c r="AY18" s="213" t="inlineStr">
        <is>
          <t>EM EXECUÇÃO</t>
        </is>
      </c>
      <c r="AZ18" s="213" t="inlineStr">
        <is>
          <t>NI</t>
        </is>
      </c>
      <c r="BA18" s="213" t="inlineStr">
        <is>
          <t>NI</t>
        </is>
      </c>
      <c r="BB18" s="213" t="inlineStr">
        <is>
          <t>NI</t>
        </is>
      </c>
      <c r="BC18" s="163" t="n">
        <v>46196</v>
      </c>
      <c r="BD18" s="113" t="inlineStr">
        <is>
          <t>NI</t>
        </is>
      </c>
      <c r="BE18" s="113" t="inlineStr">
        <is>
          <t>NI</t>
        </is>
      </c>
      <c r="BF18" s="113" t="inlineStr">
        <is>
          <t>Não iniciado</t>
        </is>
      </c>
      <c r="BG18" s="119" t="inlineStr">
        <is>
          <t>NI</t>
        </is>
      </c>
      <c r="BH18" s="113" t="inlineStr">
        <is>
          <t>NI</t>
        </is>
      </c>
      <c r="BI18" s="113" t="inlineStr">
        <is>
          <t>NI</t>
        </is>
      </c>
      <c r="BJ18" s="113" t="inlineStr">
        <is>
          <t>NI</t>
        </is>
      </c>
      <c r="BK18" s="113" t="inlineStr">
        <is>
          <t>NI</t>
        </is>
      </c>
      <c r="BL18" s="142" t="inlineStr">
        <is>
          <t>NI</t>
        </is>
      </c>
      <c r="BM18" s="807" t="n"/>
      <c r="BN18" s="807" t="n"/>
      <c r="BO18" s="807" t="n"/>
      <c r="BP18" s="807" t="n"/>
      <c r="BQ18" s="807" t="n"/>
      <c r="BR18" s="807" t="n"/>
      <c r="BS18" s="807" t="n"/>
      <c r="BT18" s="159" t="inlineStr">
        <is>
          <t xml:space="preserve"> NA</t>
        </is>
      </c>
      <c r="BU18" s="118" t="n">
        <v>0</v>
      </c>
      <c r="BV18" s="808" t="n"/>
      <c r="BW18" s="808" t="n"/>
      <c r="BX18" s="808" t="n"/>
      <c r="BY18" s="808" t="n"/>
      <c r="BZ18" s="808" t="n"/>
      <c r="CA18" s="808" t="n"/>
      <c r="CB18" s="808" t="n"/>
      <c r="CC18" s="808" t="n"/>
      <c r="CD18" s="808" t="n"/>
      <c r="CE18" s="808" t="n"/>
      <c r="CF18" s="808" t="n"/>
      <c r="CG18" s="808" t="n"/>
      <c r="CH18" s="808" t="n"/>
      <c r="CI18" s="808" t="n"/>
      <c r="CJ18" s="808" t="n"/>
      <c r="CK18" s="808" t="n"/>
      <c r="CL18" s="808" t="n"/>
      <c r="CM18" s="808" t="n"/>
      <c r="CN18" s="808" t="n"/>
      <c r="CO18" s="808" t="n"/>
      <c r="CP18" s="808" t="n"/>
      <c r="CQ18" s="808" t="n"/>
      <c r="CR18" s="808" t="n"/>
      <c r="CS18" s="808" t="n"/>
      <c r="CT18" s="808" t="n"/>
    </row>
    <row r="19" outlineLevel="1" ht="60" customFormat="1" customHeight="1" s="107">
      <c r="A19" s="4" t="inlineStr">
        <is>
          <t>SUDESTE</t>
        </is>
      </c>
      <c r="B19" s="4" t="inlineStr">
        <is>
          <t>MG</t>
        </is>
      </c>
      <c r="C19" s="4" t="inlineStr">
        <is>
          <t>MONTES CLAROS</t>
        </is>
      </c>
      <c r="D19" s="4" t="inlineStr">
        <is>
          <t>FUNDACAO DE SAUDE DILSON DE QUADROS GODINHO</t>
        </is>
      </c>
      <c r="E19" s="5" t="inlineStr">
        <is>
          <t>00991591000106</t>
        </is>
      </c>
      <c r="F19" s="146" t="inlineStr">
        <is>
          <t xml:space="preserve"> FUNDACAO DE SAUDE DILSON DE QUADROS GODINHO</t>
        </is>
      </c>
      <c r="G19" s="148" t="n">
        <v>2219646</v>
      </c>
      <c r="H19" s="134" t="n">
        <v>-1.67169941979756e+16</v>
      </c>
      <c r="I19" s="135" t="n">
        <v>-4385847330093380</v>
      </c>
      <c r="J19" s="4" t="inlineStr">
        <is>
          <t>Rastreamento</t>
        </is>
      </c>
      <c r="K19" s="4" t="inlineStr">
        <is>
          <t>Indireta</t>
        </is>
      </c>
      <c r="L19" s="4" t="inlineStr">
        <is>
          <t>Transferegov/SEI</t>
        </is>
      </c>
      <c r="M19" s="4" t="inlineStr">
        <is>
          <t>Convênio</t>
        </is>
      </c>
      <c r="N19" s="4" t="n">
        <v>2024</v>
      </c>
      <c r="O19" s="6" t="inlineStr">
        <is>
          <t>970350</t>
        </is>
      </c>
      <c r="P19" s="5" t="inlineStr">
        <is>
          <t>90099124001</t>
        </is>
      </c>
      <c r="Q19" s="5" t="inlineStr">
        <is>
          <t>25000.171325/2024-82</t>
        </is>
      </c>
      <c r="R19" s="4" t="inlineStr">
        <is>
          <t>REDE DE ATENÇÃO À PESSOA COM DOENÇAS CRÔNICAS - HOSPITAL HABILITADO NA ALTA COMPLEXIDADE EM ONCOLOGIA</t>
        </is>
      </c>
      <c r="S19" s="4" t="inlineStr">
        <is>
          <t>Substituição</t>
        </is>
      </c>
      <c r="T19" s="4" t="inlineStr">
        <is>
          <t>Sistema de Vídeo Endoscopia Flexível</t>
        </is>
      </c>
      <c r="U19" s="4" t="inlineStr">
        <is>
          <t>NA</t>
        </is>
      </c>
      <c r="V19" s="4" t="n">
        <v>1</v>
      </c>
      <c r="W19" s="4" t="inlineStr">
        <is>
          <t xml:space="preserve"> UND</t>
        </is>
      </c>
      <c r="X19" s="4" t="inlineStr">
        <is>
          <t>EQUIPAMENTO</t>
        </is>
      </c>
      <c r="Y19" s="4" t="inlineStr">
        <is>
          <t>11268-Sistema de Vídeo Endoscopia Flexível</t>
        </is>
      </c>
      <c r="Z19" s="4" t="inlineStr">
        <is>
          <t>NA</t>
        </is>
      </c>
      <c r="AA19" s="164" t="n">
        <v>45656</v>
      </c>
      <c r="AB19" s="164" t="n">
        <v>46196</v>
      </c>
      <c r="AC19" s="164" t="n">
        <v>46256</v>
      </c>
      <c r="AD19" s="4" t="inlineStr">
        <is>
          <t>NI</t>
        </is>
      </c>
      <c r="AE19" s="4" t="inlineStr">
        <is>
          <t>NI</t>
        </is>
      </c>
      <c r="AF19" s="4" t="inlineStr">
        <is>
          <t>NI</t>
        </is>
      </c>
      <c r="AG19" s="9" t="n">
        <v>499808</v>
      </c>
      <c r="AH19" s="9" t="inlineStr">
        <is>
          <t>NA</t>
        </is>
      </c>
      <c r="AI19" s="9" t="inlineStr">
        <is>
          <t>NA</t>
        </is>
      </c>
      <c r="AJ19" s="4" t="n">
        <v>8535</v>
      </c>
      <c r="AK19" s="9" t="inlineStr">
        <is>
          <t> </t>
        </is>
      </c>
      <c r="AL19" s="9" t="inlineStr">
        <is>
          <t> </t>
        </is>
      </c>
      <c r="AM19" s="9" t="inlineStr">
        <is>
          <t> </t>
        </is>
      </c>
      <c r="AN19" s="9" t="inlineStr">
        <is>
          <t> </t>
        </is>
      </c>
      <c r="AO19" s="9" t="inlineStr">
        <is>
          <t> </t>
        </is>
      </c>
      <c r="AP19" s="9" t="inlineStr">
        <is>
          <t> </t>
        </is>
      </c>
      <c r="AQ19" s="9" t="inlineStr">
        <is>
          <t> </t>
        </is>
      </c>
      <c r="AR19" s="9" t="inlineStr">
        <is>
          <t> </t>
        </is>
      </c>
      <c r="AS19" s="9" t="inlineStr">
        <is>
          <t> </t>
        </is>
      </c>
      <c r="AT19" s="9" t="inlineStr">
        <is>
          <t> </t>
        </is>
      </c>
      <c r="AU19" s="9" t="inlineStr">
        <is>
          <t> </t>
        </is>
      </c>
      <c r="AV19" s="9" t="inlineStr">
        <is>
          <t> </t>
        </is>
      </c>
      <c r="AW19" s="9" t="inlineStr">
        <is>
          <t> </t>
        </is>
      </c>
      <c r="AX19" s="9" t="inlineStr">
        <is>
          <t> </t>
        </is>
      </c>
      <c r="AY19" s="190" t="inlineStr">
        <is>
          <t>EM EXECUÇÃO</t>
        </is>
      </c>
      <c r="AZ19" s="190" t="inlineStr">
        <is>
          <t>NI</t>
        </is>
      </c>
      <c r="BA19" s="190" t="inlineStr">
        <is>
          <t>NI</t>
        </is>
      </c>
      <c r="BB19" s="190" t="inlineStr">
        <is>
          <t>NI</t>
        </is>
      </c>
      <c r="BC19" s="164" t="inlineStr">
        <is>
          <t>NA</t>
        </is>
      </c>
      <c r="BD19" s="4" t="inlineStr">
        <is>
          <t>NI</t>
        </is>
      </c>
      <c r="BE19" s="4" t="inlineStr">
        <is>
          <t>NI</t>
        </is>
      </c>
      <c r="BF19" s="4" t="inlineStr">
        <is>
          <t>Não iniciado</t>
        </is>
      </c>
      <c r="BG19" s="10" t="inlineStr">
        <is>
          <t>NI</t>
        </is>
      </c>
      <c r="BH19" s="4" t="inlineStr">
        <is>
          <t>NI</t>
        </is>
      </c>
      <c r="BI19" s="4" t="inlineStr">
        <is>
          <t>NI</t>
        </is>
      </c>
      <c r="BJ19" s="4" t="inlineStr">
        <is>
          <t>NI</t>
        </is>
      </c>
      <c r="BK19" s="4" t="inlineStr">
        <is>
          <t>NI</t>
        </is>
      </c>
      <c r="BL19" s="143" t="inlineStr">
        <is>
          <t>NI</t>
        </is>
      </c>
      <c r="BM19" s="809" t="n"/>
      <c r="BN19" s="809" t="n"/>
      <c r="BO19" s="809" t="n"/>
      <c r="BP19" s="809" t="n"/>
      <c r="BQ19" s="809" t="n"/>
      <c r="BR19" s="809" t="n"/>
      <c r="BS19" s="809" t="n"/>
      <c r="BT19" s="160" t="inlineStr">
        <is>
          <t xml:space="preserve"> NA</t>
        </is>
      </c>
      <c r="BU19" s="160" t="inlineStr">
        <is>
          <t xml:space="preserve"> NA</t>
        </is>
      </c>
      <c r="BV19" s="808" t="n"/>
      <c r="BW19" s="808" t="n"/>
      <c r="BX19" s="808" t="n"/>
      <c r="BY19" s="808" t="n"/>
      <c r="BZ19" s="808" t="n"/>
      <c r="CA19" s="808" t="n"/>
      <c r="CB19" s="808" t="n"/>
      <c r="CC19" s="808" t="n"/>
      <c r="CD19" s="808" t="n"/>
      <c r="CE19" s="808" t="n"/>
      <c r="CF19" s="808" t="n"/>
      <c r="CG19" s="808" t="n"/>
      <c r="CH19" s="808" t="n"/>
      <c r="CI19" s="808" t="n"/>
      <c r="CJ19" s="808" t="n"/>
      <c r="CK19" s="808" t="n"/>
      <c r="CL19" s="808" t="n"/>
      <c r="CM19" s="808" t="n"/>
      <c r="CN19" s="808" t="n"/>
      <c r="CO19" s="808" t="n"/>
      <c r="CP19" s="808" t="n"/>
      <c r="CQ19" s="808" t="n"/>
      <c r="CR19" s="808" t="n"/>
      <c r="CS19" s="808" t="n"/>
      <c r="CT19" s="808" t="n"/>
    </row>
    <row r="20" ht="60" customFormat="1" customHeight="1" s="107">
      <c r="A20" s="113" t="inlineStr">
        <is>
          <t>SUL</t>
        </is>
      </c>
      <c r="B20" s="113" t="inlineStr">
        <is>
          <t>PR</t>
        </is>
      </c>
      <c r="C20" s="113" t="inlineStr">
        <is>
          <t>CASCAVEL</t>
        </is>
      </c>
      <c r="D20" s="113" t="inlineStr">
        <is>
          <t>UNIAO OESTE PARANAENSE DE ESTUDOS E COMBATE AO CANCER</t>
        </is>
      </c>
      <c r="E20" s="114" t="inlineStr">
        <is>
          <t>81270548000153</t>
        </is>
      </c>
      <c r="F20" s="149" t="inlineStr">
        <is>
          <t xml:space="preserve"> UNIAO OESTE PARANAENSE DE ESTUDOS E COMBATE AO CANCER</t>
        </is>
      </c>
      <c r="G20" s="151" t="n">
        <v>2740338</v>
      </c>
      <c r="H20" s="136" t="n">
        <v>-24970836</v>
      </c>
      <c r="I20" s="137" t="n">
        <v>-53498274</v>
      </c>
      <c r="J20" s="113" t="inlineStr">
        <is>
          <t>Rastreamento</t>
        </is>
      </c>
      <c r="K20" s="113" t="inlineStr">
        <is>
          <t>Indireta</t>
        </is>
      </c>
      <c r="L20" s="113" t="inlineStr">
        <is>
          <t>Transferegov/SEI</t>
        </is>
      </c>
      <c r="M20" s="113" t="inlineStr">
        <is>
          <t>Convênio</t>
        </is>
      </c>
      <c r="N20" s="113" t="n">
        <v>2024</v>
      </c>
      <c r="O20" s="115" t="inlineStr">
        <is>
          <t>970458</t>
        </is>
      </c>
      <c r="P20" s="114" t="inlineStr">
        <is>
          <t>98127024010</t>
        </is>
      </c>
      <c r="Q20" s="115" t="inlineStr">
        <is>
          <t>25000.164438/2024-21</t>
        </is>
      </c>
      <c r="R20" s="113" t="inlineStr">
        <is>
          <t>REDE DE ATENÇÃO À PESSOA COM DOENÇAS CRÔNICAS - HOSPITAL HABILITADO NA ALTA COMPLEXIDADE EM ONCOLOGIA</t>
        </is>
      </c>
      <c r="S20" s="113" t="inlineStr">
        <is>
          <t>Ampliação</t>
        </is>
      </c>
      <c r="T20" s="113" t="inlineStr">
        <is>
          <t>Sistema de Vídeo Endoscopia Rígida</t>
        </is>
      </c>
      <c r="U20" s="113" t="n">
        <v>1</v>
      </c>
      <c r="V20" s="113" t="n">
        <v>1</v>
      </c>
      <c r="W20" s="113" t="inlineStr">
        <is>
          <t>UND</t>
        </is>
      </c>
      <c r="X20" s="113" t="inlineStr">
        <is>
          <t>EQUIPAMENTO</t>
        </is>
      </c>
      <c r="Y20" s="113" t="inlineStr">
        <is>
          <t>10254-Sistema de Vídeo Endoscopia Rígida</t>
        </is>
      </c>
      <c r="Z20" s="113" t="inlineStr">
        <is>
          <t>NA</t>
        </is>
      </c>
      <c r="AA20" s="163" t="n">
        <v>45646</v>
      </c>
      <c r="AB20" s="163" t="n">
        <v>46186</v>
      </c>
      <c r="AC20" s="163" t="n">
        <v>46246</v>
      </c>
      <c r="AD20" s="113" t="inlineStr">
        <is>
          <t>NI</t>
        </is>
      </c>
      <c r="AE20" s="113" t="inlineStr">
        <is>
          <t>NI</t>
        </is>
      </c>
      <c r="AF20" s="113" t="inlineStr">
        <is>
          <t>NI</t>
        </is>
      </c>
      <c r="AG20" s="118" t="n">
        <v>400000</v>
      </c>
      <c r="AH20" s="118" t="n">
        <v>0</v>
      </c>
      <c r="AI20" s="163" t="n">
        <v>45576</v>
      </c>
      <c r="AJ20" s="113" t="n">
        <v>8535</v>
      </c>
      <c r="AK20" s="118" t="inlineStr">
        <is>
          <t> </t>
        </is>
      </c>
      <c r="AL20" s="118" t="inlineStr">
        <is>
          <t> </t>
        </is>
      </c>
      <c r="AM20" s="118" t="inlineStr">
        <is>
          <t> </t>
        </is>
      </c>
      <c r="AN20" s="118" t="inlineStr">
        <is>
          <t> </t>
        </is>
      </c>
      <c r="AO20" s="118" t="inlineStr">
        <is>
          <t> </t>
        </is>
      </c>
      <c r="AP20" s="118" t="inlineStr">
        <is>
          <t> </t>
        </is>
      </c>
      <c r="AQ20" s="118" t="inlineStr">
        <is>
          <t> </t>
        </is>
      </c>
      <c r="AR20" s="118" t="inlineStr">
        <is>
          <t> </t>
        </is>
      </c>
      <c r="AS20" s="118" t="inlineStr">
        <is>
          <t> </t>
        </is>
      </c>
      <c r="AT20" s="118" t="inlineStr">
        <is>
          <t> </t>
        </is>
      </c>
      <c r="AU20" s="118" t="inlineStr">
        <is>
          <t> </t>
        </is>
      </c>
      <c r="AV20" s="118" t="inlineStr">
        <is>
          <t> </t>
        </is>
      </c>
      <c r="AW20" s="118" t="inlineStr">
        <is>
          <t> </t>
        </is>
      </c>
      <c r="AX20" s="118" t="inlineStr">
        <is>
          <t> </t>
        </is>
      </c>
      <c r="AY20" s="213" t="inlineStr">
        <is>
          <t>EM EXECUÇÃO</t>
        </is>
      </c>
      <c r="AZ20" s="213" t="inlineStr">
        <is>
          <t>NI</t>
        </is>
      </c>
      <c r="BA20" s="213" t="inlineStr">
        <is>
          <t>NI</t>
        </is>
      </c>
      <c r="BB20" s="213" t="inlineStr">
        <is>
          <t>NI</t>
        </is>
      </c>
      <c r="BC20" s="163" t="n">
        <v>46186</v>
      </c>
      <c r="BD20" s="113" t="inlineStr">
        <is>
          <t>NI</t>
        </is>
      </c>
      <c r="BE20" s="113" t="inlineStr">
        <is>
          <t>NI</t>
        </is>
      </c>
      <c r="BF20" s="113" t="inlineStr">
        <is>
          <t>Não iniciado</t>
        </is>
      </c>
      <c r="BG20" s="119" t="inlineStr">
        <is>
          <t>NI</t>
        </is>
      </c>
      <c r="BH20" s="113" t="inlineStr">
        <is>
          <t>NI</t>
        </is>
      </c>
      <c r="BI20" s="113" t="inlineStr">
        <is>
          <t>NI</t>
        </is>
      </c>
      <c r="BJ20" s="113" t="inlineStr">
        <is>
          <t>NI</t>
        </is>
      </c>
      <c r="BK20" s="113" t="inlineStr">
        <is>
          <t>NI</t>
        </is>
      </c>
      <c r="BL20" s="142" t="inlineStr">
        <is>
          <t>NI</t>
        </is>
      </c>
      <c r="BM20" s="807" t="n"/>
      <c r="BN20" s="807" t="n"/>
      <c r="BO20" s="807" t="n"/>
      <c r="BP20" s="807" t="n"/>
      <c r="BQ20" s="807" t="n"/>
      <c r="BR20" s="807" t="n"/>
      <c r="BS20" s="807" t="n"/>
      <c r="BT20" s="159" t="n">
        <v>45945</v>
      </c>
      <c r="BU20" s="118" t="n">
        <v>399882.38</v>
      </c>
      <c r="BV20" s="808" t="n"/>
      <c r="BW20" s="808" t="n"/>
      <c r="BX20" s="808" t="n"/>
      <c r="BY20" s="808" t="n"/>
      <c r="BZ20" s="808" t="n"/>
      <c r="CA20" s="808" t="n"/>
      <c r="CB20" s="808" t="n"/>
      <c r="CC20" s="808" t="n"/>
      <c r="CD20" s="808" t="n"/>
      <c r="CE20" s="808" t="n"/>
      <c r="CF20" s="808" t="n"/>
      <c r="CG20" s="808" t="n"/>
      <c r="CH20" s="808" t="n"/>
      <c r="CI20" s="808" t="n"/>
      <c r="CJ20" s="808" t="n"/>
      <c r="CK20" s="808" t="n"/>
      <c r="CL20" s="808" t="n"/>
      <c r="CM20" s="808" t="n"/>
      <c r="CN20" s="808" t="n"/>
      <c r="CO20" s="808" t="n"/>
      <c r="CP20" s="808" t="n"/>
      <c r="CQ20" s="808" t="n"/>
      <c r="CR20" s="808" t="n"/>
      <c r="CS20" s="808" t="n"/>
      <c r="CT20" s="808" t="n"/>
    </row>
    <row r="21" ht="60" customFormat="1" customHeight="1" s="107">
      <c r="A21" s="113" t="inlineStr">
        <is>
          <t>NORDESTE</t>
        </is>
      </c>
      <c r="B21" s="113" t="inlineStr">
        <is>
          <t>RN</t>
        </is>
      </c>
      <c r="C21" s="113" t="inlineStr">
        <is>
          <t>MOSSORO</t>
        </is>
      </c>
      <c r="D21" s="113" t="inlineStr">
        <is>
          <t>LIGA MOSSOROENSE DE ESTUDOS E COMBATE AO CANCER</t>
        </is>
      </c>
      <c r="E21" s="114" t="inlineStr">
        <is>
          <t>04026039000139</t>
        </is>
      </c>
      <c r="F21" s="149" t="inlineStr">
        <is>
          <t>LIGA MOSSOROENSE DE ESTUDOS E COMBATE AO CANCER</t>
        </is>
      </c>
      <c r="G21" s="150" t="n">
        <v>3675580</v>
      </c>
      <c r="H21" s="136" t="n">
        <v>-51627427</v>
      </c>
      <c r="I21" s="137" t="n">
        <v>-373692509</v>
      </c>
      <c r="J21" s="113" t="inlineStr">
        <is>
          <t>Rastreamento</t>
        </is>
      </c>
      <c r="K21" s="113" t="inlineStr">
        <is>
          <t>Indireta</t>
        </is>
      </c>
      <c r="L21" s="113" t="inlineStr">
        <is>
          <t>Transferegov/SEI</t>
        </is>
      </c>
      <c r="M21" s="113" t="inlineStr">
        <is>
          <t>Convênio</t>
        </is>
      </c>
      <c r="N21" s="113" t="n">
        <v>2024</v>
      </c>
      <c r="O21" s="115" t="inlineStr">
        <is>
          <t>970514</t>
        </is>
      </c>
      <c r="P21" s="114" t="inlineStr">
        <is>
          <t>90402624003</t>
        </is>
      </c>
      <c r="Q21" s="115" t="inlineStr">
        <is>
          <t>25000.164401/2024-01</t>
        </is>
      </c>
      <c r="R21" s="113" t="inlineStr">
        <is>
          <t>REDE DE ATENÇÃO À PESSOA COM DOENÇAS CRÔNICAS - HOSPITAL HABILITADO NA ALTA COMPLEXIDADE EM ONCOLOGIA</t>
        </is>
      </c>
      <c r="S21" s="113" t="inlineStr">
        <is>
          <t>Substituição</t>
        </is>
      </c>
      <c r="T21" s="113" t="inlineStr">
        <is>
          <t>Sistema de Vídeo Endoscopia Flexível</t>
        </is>
      </c>
      <c r="U21" s="113" t="n">
        <v>1</v>
      </c>
      <c r="V21" s="113" t="n">
        <v>1</v>
      </c>
      <c r="W21" s="113" t="inlineStr">
        <is>
          <t>UND</t>
        </is>
      </c>
      <c r="X21" s="113" t="inlineStr">
        <is>
          <t>EQUIPAMENTO</t>
        </is>
      </c>
      <c r="Y21" s="113" t="inlineStr">
        <is>
          <t>11268-Sistema de Vídeo Endoscopia Flexível</t>
        </is>
      </c>
      <c r="Z21" s="113" t="inlineStr">
        <is>
          <t>NA</t>
        </is>
      </c>
      <c r="AA21" s="163" t="n">
        <v>45653</v>
      </c>
      <c r="AB21" s="163" t="n">
        <v>46193</v>
      </c>
      <c r="AC21" s="163" t="n">
        <v>46253</v>
      </c>
      <c r="AD21" s="113" t="inlineStr">
        <is>
          <t>NI</t>
        </is>
      </c>
      <c r="AE21" s="113" t="inlineStr">
        <is>
          <t>NI</t>
        </is>
      </c>
      <c r="AF21" s="113" t="inlineStr">
        <is>
          <t>NI</t>
        </is>
      </c>
      <c r="AG21" s="118" t="n">
        <v>272138</v>
      </c>
      <c r="AH21" s="118" t="n">
        <v>0</v>
      </c>
      <c r="AI21" s="163" t="n">
        <v>45563</v>
      </c>
      <c r="AJ21" s="113" t="n">
        <v>8535</v>
      </c>
      <c r="AK21" s="118" t="inlineStr">
        <is>
          <t> </t>
        </is>
      </c>
      <c r="AL21" s="118" t="inlineStr">
        <is>
          <t> </t>
        </is>
      </c>
      <c r="AM21" s="118" t="inlineStr">
        <is>
          <t> </t>
        </is>
      </c>
      <c r="AN21" s="118" t="inlineStr">
        <is>
          <t> </t>
        </is>
      </c>
      <c r="AO21" s="118" t="inlineStr">
        <is>
          <t> </t>
        </is>
      </c>
      <c r="AP21" s="118" t="inlineStr">
        <is>
          <t> </t>
        </is>
      </c>
      <c r="AQ21" s="118" t="inlineStr">
        <is>
          <t> </t>
        </is>
      </c>
      <c r="AR21" s="118" t="inlineStr">
        <is>
          <t> </t>
        </is>
      </c>
      <c r="AS21" s="118" t="inlineStr">
        <is>
          <t> </t>
        </is>
      </c>
      <c r="AT21" s="118" t="inlineStr">
        <is>
          <t> </t>
        </is>
      </c>
      <c r="AU21" s="118" t="inlineStr">
        <is>
          <t> </t>
        </is>
      </c>
      <c r="AV21" s="118" t="inlineStr">
        <is>
          <t> </t>
        </is>
      </c>
      <c r="AW21" s="118" t="inlineStr">
        <is>
          <t> </t>
        </is>
      </c>
      <c r="AX21" s="118" t="inlineStr">
        <is>
          <t> </t>
        </is>
      </c>
      <c r="AY21" s="213" t="inlineStr">
        <is>
          <t>EM EXECUÇÃO</t>
        </is>
      </c>
      <c r="AZ21" s="213" t="inlineStr">
        <is>
          <t>NI</t>
        </is>
      </c>
      <c r="BA21" s="213" t="inlineStr">
        <is>
          <t>NI</t>
        </is>
      </c>
      <c r="BB21" s="213" t="inlineStr">
        <is>
          <t>NI</t>
        </is>
      </c>
      <c r="BC21" s="163" t="n">
        <v>46193</v>
      </c>
      <c r="BD21" s="113" t="inlineStr">
        <is>
          <t>NI</t>
        </is>
      </c>
      <c r="BE21" s="113" t="inlineStr">
        <is>
          <t>NI</t>
        </is>
      </c>
      <c r="BF21" s="113" t="inlineStr">
        <is>
          <t>Não iniciado</t>
        </is>
      </c>
      <c r="BG21" s="119" t="inlineStr">
        <is>
          <t>NI</t>
        </is>
      </c>
      <c r="BH21" s="113" t="inlineStr">
        <is>
          <t>NI</t>
        </is>
      </c>
      <c r="BI21" s="113" t="inlineStr">
        <is>
          <t>NI</t>
        </is>
      </c>
      <c r="BJ21" s="113" t="inlineStr">
        <is>
          <t>NI</t>
        </is>
      </c>
      <c r="BK21" s="113" t="inlineStr">
        <is>
          <t>NI</t>
        </is>
      </c>
      <c r="BL21" s="142" t="inlineStr">
        <is>
          <t>NI</t>
        </is>
      </c>
      <c r="BM21" s="807" t="n"/>
      <c r="BN21" s="807" t="n"/>
      <c r="BO21" s="807" t="n"/>
      <c r="BP21" s="807" t="n"/>
      <c r="BQ21" s="807" t="n"/>
      <c r="BR21" s="807" t="n"/>
      <c r="BS21" s="807" t="n"/>
      <c r="BT21" s="162" t="inlineStr">
        <is>
          <t>NA</t>
        </is>
      </c>
      <c r="BU21" s="118" t="n">
        <v>0</v>
      </c>
      <c r="BV21" s="808" t="n"/>
      <c r="BW21" s="808" t="n"/>
      <c r="BX21" s="808" t="n"/>
      <c r="BY21" s="808" t="n"/>
      <c r="BZ21" s="808" t="n"/>
      <c r="CA21" s="808" t="n"/>
      <c r="CB21" s="808" t="n"/>
      <c r="CC21" s="808" t="n"/>
      <c r="CD21" s="808" t="n"/>
      <c r="CE21" s="808" t="n"/>
      <c r="CF21" s="808" t="n"/>
      <c r="CG21" s="808" t="n"/>
      <c r="CH21" s="808" t="n"/>
      <c r="CI21" s="808" t="n"/>
      <c r="CJ21" s="808" t="n"/>
      <c r="CK21" s="808" t="n"/>
      <c r="CL21" s="808" t="n"/>
      <c r="CM21" s="808" t="n"/>
      <c r="CN21" s="808" t="n"/>
      <c r="CO21" s="808" t="n"/>
      <c r="CP21" s="808" t="n"/>
      <c r="CQ21" s="808" t="n"/>
      <c r="CR21" s="808" t="n"/>
      <c r="CS21" s="808" t="n"/>
      <c r="CT21" s="808" t="n"/>
    </row>
    <row r="22" ht="60" customFormat="1" customHeight="1" s="107">
      <c r="A22" s="113" t="inlineStr">
        <is>
          <t>NORDESTE</t>
        </is>
      </c>
      <c r="B22" s="113" t="inlineStr">
        <is>
          <t>RN</t>
        </is>
      </c>
      <c r="C22" s="113" t="inlineStr">
        <is>
          <t>NATAL</t>
        </is>
      </c>
      <c r="D22" s="113" t="inlineStr">
        <is>
          <t>LIGA NORTE RIOGRANDENSE CONTRA O CANCER</t>
        </is>
      </c>
      <c r="E22" s="114" t="inlineStr">
        <is>
          <t>08428765000139</t>
        </is>
      </c>
      <c r="F22" s="149" t="inlineStr">
        <is>
          <t xml:space="preserve"> LIGA NORTERIOGRANDENSE CONTRA O CANCER</t>
        </is>
      </c>
      <c r="G22" s="150" t="n">
        <v>2409194</v>
      </c>
      <c r="H22" s="136" t="n">
        <v>-57981973</v>
      </c>
      <c r="I22" s="137" t="n">
        <v>-3523492401939600</v>
      </c>
      <c r="J22" s="113" t="inlineStr">
        <is>
          <t>Rastreamento e apoio</t>
        </is>
      </c>
      <c r="K22" s="113" t="inlineStr">
        <is>
          <t>Indireta</t>
        </is>
      </c>
      <c r="L22" s="113" t="inlineStr">
        <is>
          <t>Transferegov/SEI</t>
        </is>
      </c>
      <c r="M22" s="113" t="inlineStr">
        <is>
          <t>Convênio</t>
        </is>
      </c>
      <c r="N22" s="113" t="n">
        <v>2024</v>
      </c>
      <c r="O22" s="115" t="inlineStr">
        <is>
          <t>970528</t>
        </is>
      </c>
      <c r="P22" s="114" t="inlineStr">
        <is>
          <t>90842824015</t>
        </is>
      </c>
      <c r="Q22" s="115" t="inlineStr">
        <is>
          <t>25000.136783/2024-75</t>
        </is>
      </c>
      <c r="R22" s="113" t="inlineStr">
        <is>
          <t>REDE DE ATENÇÃO À PESSOA COM DOENÇAS CRÔNICAS - HOSPITAL HABILITADO NA ALTA COMPLEXIDADE EM ONCOLOGIA</t>
        </is>
      </c>
      <c r="S22" s="113" t="inlineStr">
        <is>
          <t>Substituição</t>
        </is>
      </c>
      <c r="T22" s="113" t="inlineStr">
        <is>
          <t>Vários</t>
        </is>
      </c>
      <c r="U22" s="113" t="n">
        <v>5</v>
      </c>
      <c r="V22" s="113" t="inlineStr">
        <is>
          <t>NA</t>
        </is>
      </c>
      <c r="W22" s="113" t="inlineStr">
        <is>
          <t>UND</t>
        </is>
      </c>
      <c r="X22" s="113" t="inlineStr">
        <is>
          <t>EQUIPAMENTO</t>
        </is>
      </c>
      <c r="Y22" s="113" t="inlineStr">
        <is>
          <t xml:space="preserve"> NA</t>
        </is>
      </c>
      <c r="Z22" s="113" t="inlineStr">
        <is>
          <t>NA</t>
        </is>
      </c>
      <c r="AA22" s="163" t="n">
        <v>45638</v>
      </c>
      <c r="AB22" s="163" t="n">
        <v>46178</v>
      </c>
      <c r="AC22" s="163" t="n">
        <v>46238</v>
      </c>
      <c r="AD22" s="113" t="inlineStr">
        <is>
          <t>NI</t>
        </is>
      </c>
      <c r="AE22" s="113" t="inlineStr">
        <is>
          <t>NI</t>
        </is>
      </c>
      <c r="AF22" s="113" t="inlineStr">
        <is>
          <t>NI</t>
        </is>
      </c>
      <c r="AG22" s="118" t="n">
        <v>548570</v>
      </c>
      <c r="AH22" s="118" t="n">
        <v>2204</v>
      </c>
      <c r="AI22" s="163" t="n">
        <v>45502</v>
      </c>
      <c r="AJ22" s="113" t="n">
        <v>8535</v>
      </c>
      <c r="AK22" s="118" t="inlineStr">
        <is>
          <t> </t>
        </is>
      </c>
      <c r="AL22" s="118" t="inlineStr">
        <is>
          <t> </t>
        </is>
      </c>
      <c r="AM22" s="118" t="inlineStr">
        <is>
          <t> </t>
        </is>
      </c>
      <c r="AN22" s="118" t="inlineStr">
        <is>
          <t> </t>
        </is>
      </c>
      <c r="AO22" s="118" t="inlineStr">
        <is>
          <t> </t>
        </is>
      </c>
      <c r="AP22" s="118" t="inlineStr">
        <is>
          <t> </t>
        </is>
      </c>
      <c r="AQ22" s="118" t="inlineStr">
        <is>
          <t> </t>
        </is>
      </c>
      <c r="AR22" s="118" t="inlineStr">
        <is>
          <t> </t>
        </is>
      </c>
      <c r="AS22" s="118" t="inlineStr">
        <is>
          <t> </t>
        </is>
      </c>
      <c r="AT22" s="118" t="inlineStr">
        <is>
          <t> </t>
        </is>
      </c>
      <c r="AU22" s="118" t="inlineStr">
        <is>
          <t> </t>
        </is>
      </c>
      <c r="AV22" s="118" t="inlineStr">
        <is>
          <t> </t>
        </is>
      </c>
      <c r="AW22" s="118" t="inlineStr">
        <is>
          <t> </t>
        </is>
      </c>
      <c r="AX22" s="118" t="inlineStr">
        <is>
          <t> </t>
        </is>
      </c>
      <c r="AY22" s="213" t="inlineStr">
        <is>
          <t>EM EXECUÇÃO</t>
        </is>
      </c>
      <c r="AZ22" s="213" t="inlineStr">
        <is>
          <t>NI</t>
        </is>
      </c>
      <c r="BA22" s="213" t="inlineStr">
        <is>
          <t>NI</t>
        </is>
      </c>
      <c r="BB22" s="213" t="inlineStr">
        <is>
          <t>NI</t>
        </is>
      </c>
      <c r="BC22" s="163" t="n">
        <v>46178</v>
      </c>
      <c r="BD22" s="113" t="inlineStr">
        <is>
          <t>NI</t>
        </is>
      </c>
      <c r="BE22" s="113" t="inlineStr">
        <is>
          <t>NI</t>
        </is>
      </c>
      <c r="BF22" s="113" t="inlineStr">
        <is>
          <t>Não iniciado</t>
        </is>
      </c>
      <c r="BG22" s="119" t="inlineStr">
        <is>
          <t>NI</t>
        </is>
      </c>
      <c r="BH22" s="113" t="inlineStr">
        <is>
          <t>NI</t>
        </is>
      </c>
      <c r="BI22" s="113" t="inlineStr">
        <is>
          <t>NI</t>
        </is>
      </c>
      <c r="BJ22" s="113" t="inlineStr">
        <is>
          <t>NI</t>
        </is>
      </c>
      <c r="BK22" s="113" t="inlineStr">
        <is>
          <t>NI</t>
        </is>
      </c>
      <c r="BL22" s="142" t="inlineStr">
        <is>
          <t>NI</t>
        </is>
      </c>
      <c r="BM22" s="810" t="n"/>
      <c r="BN22" s="810" t="n"/>
      <c r="BO22" s="810" t="n"/>
      <c r="BP22" s="810" t="n"/>
      <c r="BQ22" s="810" t="n"/>
      <c r="BR22" s="810" t="n"/>
      <c r="BS22" s="810" t="n"/>
      <c r="BT22" s="163" t="inlineStr">
        <is>
          <t xml:space="preserve"> NA</t>
        </is>
      </c>
      <c r="BU22" s="118" t="n">
        <v>0</v>
      </c>
      <c r="BV22" s="808" t="n"/>
      <c r="BW22" s="808" t="n"/>
      <c r="BX22" s="808" t="n"/>
      <c r="BY22" s="808" t="n"/>
      <c r="BZ22" s="808" t="n"/>
      <c r="CA22" s="808" t="n"/>
      <c r="CB22" s="808" t="n"/>
      <c r="CC22" s="808" t="n"/>
      <c r="CD22" s="808" t="n"/>
      <c r="CE22" s="808" t="n"/>
      <c r="CF22" s="808" t="n"/>
      <c r="CG22" s="808" t="n"/>
      <c r="CH22" s="808" t="n"/>
      <c r="CI22" s="808" t="n"/>
      <c r="CJ22" s="808" t="n"/>
      <c r="CK22" s="808" t="n"/>
      <c r="CL22" s="808" t="n"/>
      <c r="CM22" s="808" t="n"/>
      <c r="CN22" s="808" t="n"/>
      <c r="CO22" s="808" t="n"/>
      <c r="CP22" s="808" t="n"/>
      <c r="CQ22" s="808" t="n"/>
      <c r="CR22" s="808" t="n"/>
      <c r="CS22" s="808" t="n"/>
      <c r="CT22" s="808" t="n"/>
    </row>
    <row r="23" outlineLevel="1" ht="60" customFormat="1" customHeight="1" s="107">
      <c r="A23" s="4" t="inlineStr">
        <is>
          <t>NORDESTE</t>
        </is>
      </c>
      <c r="B23" s="4" t="inlineStr">
        <is>
          <t>RN</t>
        </is>
      </c>
      <c r="C23" s="4" t="inlineStr">
        <is>
          <t>NATAL</t>
        </is>
      </c>
      <c r="D23" s="4" t="inlineStr">
        <is>
          <t>LIGA NORTE RIOGRANDENSE CONTRA O CANCER</t>
        </is>
      </c>
      <c r="E23" s="5" t="inlineStr">
        <is>
          <t>08428765000139</t>
        </is>
      </c>
      <c r="F23" s="146" t="inlineStr">
        <is>
          <t xml:space="preserve"> LIGA NORTERIOGRANDENSE CONTRA O CANCER</t>
        </is>
      </c>
      <c r="G23" s="147" t="n">
        <v>2409194</v>
      </c>
      <c r="H23" s="134" t="n">
        <v>-57981973</v>
      </c>
      <c r="I23" s="135" t="n">
        <v>-3523492401939600</v>
      </c>
      <c r="J23" s="4" t="inlineStr">
        <is>
          <t>Rastreamento</t>
        </is>
      </c>
      <c r="K23" s="4" t="inlineStr">
        <is>
          <t>Indireta</t>
        </is>
      </c>
      <c r="L23" s="4" t="inlineStr">
        <is>
          <t>Transferegov/SEI</t>
        </is>
      </c>
      <c r="M23" s="4" t="inlineStr">
        <is>
          <t>Convênio</t>
        </is>
      </c>
      <c r="N23" s="4" t="n">
        <v>2024</v>
      </c>
      <c r="O23" s="6" t="inlineStr">
        <is>
          <t>970528</t>
        </is>
      </c>
      <c r="P23" s="5" t="inlineStr">
        <is>
          <t>90842824015</t>
        </is>
      </c>
      <c r="Q23" s="7" t="inlineStr">
        <is>
          <t>25000.136783/2024-75</t>
        </is>
      </c>
      <c r="R23" s="4" t="inlineStr">
        <is>
          <t>REDE DE ATENÇÃO À PESSOA COM DOENÇAS CRÔNICAS - HOSPITAL HABILITADO NA ALTA COMPLEXIDADE EM ONCOLOGIA</t>
        </is>
      </c>
      <c r="S23" s="4" t="inlineStr">
        <is>
          <t>Substituição</t>
        </is>
      </c>
      <c r="T23" s="4" t="inlineStr">
        <is>
          <t>Sistema de Vídeo Endoscopia Rígida</t>
        </is>
      </c>
      <c r="U23" s="4" t="inlineStr">
        <is>
          <t>NA</t>
        </is>
      </c>
      <c r="V23" s="4" t="n">
        <v>1</v>
      </c>
      <c r="W23" s="4" t="inlineStr">
        <is>
          <t xml:space="preserve"> UND</t>
        </is>
      </c>
      <c r="X23" s="4" t="inlineStr">
        <is>
          <t>EQUIPAMENTO</t>
        </is>
      </c>
      <c r="Y23" s="4" t="inlineStr">
        <is>
          <t xml:space="preserve"> 10254-Sistema de Vídeo Endoscopia Rígida</t>
        </is>
      </c>
      <c r="Z23" s="4" t="inlineStr">
        <is>
          <t>NA</t>
        </is>
      </c>
      <c r="AA23" s="164" t="n">
        <v>45638</v>
      </c>
      <c r="AB23" s="164" t="n">
        <v>46178</v>
      </c>
      <c r="AC23" s="164" t="n">
        <v>46238</v>
      </c>
      <c r="AD23" s="4" t="inlineStr">
        <is>
          <t>NI</t>
        </is>
      </c>
      <c r="AE23" s="4" t="inlineStr">
        <is>
          <t>NI</t>
        </is>
      </c>
      <c r="AF23" s="4" t="inlineStr">
        <is>
          <t>NI</t>
        </is>
      </c>
      <c r="AG23" s="9" t="n">
        <v>548570</v>
      </c>
      <c r="AH23" s="9" t="inlineStr">
        <is>
          <t>NA</t>
        </is>
      </c>
      <c r="AI23" s="9" t="inlineStr">
        <is>
          <t>NA</t>
        </is>
      </c>
      <c r="AJ23" s="4" t="n">
        <v>8535</v>
      </c>
      <c r="AK23" s="9" t="inlineStr">
        <is>
          <t> </t>
        </is>
      </c>
      <c r="AL23" s="9" t="inlineStr">
        <is>
          <t> </t>
        </is>
      </c>
      <c r="AM23" s="9" t="inlineStr">
        <is>
          <t> </t>
        </is>
      </c>
      <c r="AN23" s="9" t="inlineStr">
        <is>
          <t> </t>
        </is>
      </c>
      <c r="AO23" s="9" t="inlineStr">
        <is>
          <t> </t>
        </is>
      </c>
      <c r="AP23" s="9" t="inlineStr">
        <is>
          <t> </t>
        </is>
      </c>
      <c r="AQ23" s="9" t="inlineStr">
        <is>
          <t> </t>
        </is>
      </c>
      <c r="AR23" s="9" t="inlineStr">
        <is>
          <t> </t>
        </is>
      </c>
      <c r="AS23" s="9" t="inlineStr">
        <is>
          <t> </t>
        </is>
      </c>
      <c r="AT23" s="9" t="inlineStr">
        <is>
          <t> </t>
        </is>
      </c>
      <c r="AU23" s="9" t="inlineStr">
        <is>
          <t> </t>
        </is>
      </c>
      <c r="AV23" s="9" t="inlineStr">
        <is>
          <t> </t>
        </is>
      </c>
      <c r="AW23" s="9" t="inlineStr">
        <is>
          <t> </t>
        </is>
      </c>
      <c r="AX23" s="9" t="inlineStr">
        <is>
          <t> </t>
        </is>
      </c>
      <c r="AY23" s="190" t="inlineStr">
        <is>
          <t>EM EXECUÇÃO</t>
        </is>
      </c>
      <c r="AZ23" s="190" t="inlineStr">
        <is>
          <t>NI</t>
        </is>
      </c>
      <c r="BA23" s="190" t="inlineStr">
        <is>
          <t>NI</t>
        </is>
      </c>
      <c r="BB23" s="190" t="inlineStr">
        <is>
          <t>NI</t>
        </is>
      </c>
      <c r="BC23" s="164" t="inlineStr">
        <is>
          <t>NA</t>
        </is>
      </c>
      <c r="BD23" s="4" t="inlineStr">
        <is>
          <t>NI</t>
        </is>
      </c>
      <c r="BE23" s="4" t="inlineStr">
        <is>
          <t>NI</t>
        </is>
      </c>
      <c r="BF23" s="4" t="inlineStr">
        <is>
          <t>Não iniciado</t>
        </is>
      </c>
      <c r="BG23" s="10" t="inlineStr">
        <is>
          <t>NI</t>
        </is>
      </c>
      <c r="BH23" s="4" t="inlineStr">
        <is>
          <t>NI</t>
        </is>
      </c>
      <c r="BI23" s="4" t="inlineStr">
        <is>
          <t>NI</t>
        </is>
      </c>
      <c r="BJ23" s="4" t="inlineStr">
        <is>
          <t>NI</t>
        </is>
      </c>
      <c r="BK23" s="4" t="inlineStr">
        <is>
          <t>NI</t>
        </is>
      </c>
      <c r="BL23" s="143" t="inlineStr">
        <is>
          <t>NI</t>
        </is>
      </c>
      <c r="BM23" s="809" t="n"/>
      <c r="BN23" s="809" t="n"/>
      <c r="BO23" s="809" t="n"/>
      <c r="BP23" s="809" t="n"/>
      <c r="BQ23" s="809" t="n"/>
      <c r="BR23" s="809" t="n"/>
      <c r="BS23" s="809" t="n"/>
      <c r="BT23" s="164" t="inlineStr">
        <is>
          <t xml:space="preserve"> NA</t>
        </is>
      </c>
      <c r="BU23" s="164" t="inlineStr">
        <is>
          <t xml:space="preserve"> NA</t>
        </is>
      </c>
      <c r="BV23" s="808" t="n"/>
      <c r="BW23" s="808" t="n"/>
      <c r="BX23" s="808" t="n"/>
      <c r="BY23" s="808" t="n"/>
      <c r="BZ23" s="808" t="n"/>
      <c r="CA23" s="808" t="n"/>
      <c r="CB23" s="808" t="n"/>
      <c r="CC23" s="808" t="n"/>
      <c r="CD23" s="808" t="n"/>
      <c r="CE23" s="808" t="n"/>
      <c r="CF23" s="808" t="n"/>
      <c r="CG23" s="808" t="n"/>
      <c r="CH23" s="808" t="n"/>
      <c r="CI23" s="808" t="n"/>
      <c r="CJ23" s="808" t="n"/>
      <c r="CK23" s="808" t="n"/>
      <c r="CL23" s="808" t="n"/>
      <c r="CM23" s="808" t="n"/>
      <c r="CN23" s="808" t="n"/>
      <c r="CO23" s="808" t="n"/>
      <c r="CP23" s="808" t="n"/>
      <c r="CQ23" s="808" t="n"/>
      <c r="CR23" s="808" t="n"/>
      <c r="CS23" s="808" t="n"/>
      <c r="CT23" s="808" t="n"/>
    </row>
    <row r="24" ht="60" customFormat="1" customHeight="1" s="107">
      <c r="A24" s="113" t="inlineStr">
        <is>
          <t>CENTRO-OESTE</t>
        </is>
      </c>
      <c r="B24" s="113" t="inlineStr">
        <is>
          <t>DF</t>
        </is>
      </c>
      <c r="C24" s="113" t="inlineStr">
        <is>
          <t>BRASILIA</t>
        </is>
      </c>
      <c r="D24" s="113" t="inlineStr">
        <is>
          <t>FUNDO DE SAUDE DO DISTRITO FEDERAL</t>
        </is>
      </c>
      <c r="E24" s="114" t="inlineStr">
        <is>
          <t>12116247000157</t>
        </is>
      </c>
      <c r="F24" s="149" t="inlineStr">
        <is>
          <t xml:space="preserve"> HOSPITAL REGIONAL DE CEILANDIA</t>
        </is>
      </c>
      <c r="G24" s="150" t="n">
        <v>10480</v>
      </c>
      <c r="H24" s="136" t="n">
        <v>-1.58155635359707e+16</v>
      </c>
      <c r="I24" s="137" t="n">
        <v>-4809593439102170</v>
      </c>
      <c r="J24" s="113" t="inlineStr">
        <is>
          <t>Rastreamento</t>
        </is>
      </c>
      <c r="K24" s="113" t="inlineStr">
        <is>
          <t>Indireta</t>
        </is>
      </c>
      <c r="L24" s="113" t="inlineStr">
        <is>
          <t>SISPRO</t>
        </is>
      </c>
      <c r="M24" s="113" t="inlineStr">
        <is>
          <t>FAF</t>
        </is>
      </c>
      <c r="N24" s="113" t="n">
        <v>2024</v>
      </c>
      <c r="O24" s="115" t="inlineStr">
        <is>
          <t xml:space="preserve"> NA</t>
        </is>
      </c>
      <c r="P24" s="114" t="inlineStr">
        <is>
          <t>12116247000124076</t>
        </is>
      </c>
      <c r="Q24" s="115" t="inlineStr">
        <is>
          <t xml:space="preserve"> NI</t>
        </is>
      </c>
      <c r="R24" s="113" t="inlineStr">
        <is>
          <t>REDE DE ATENÇÃO À PESSOA COM DOENÇAS CRÔNICAS - HOSPITAL HABILITADO NA ALTA COMPLEXIDADE EM ONCOLOGIA</t>
        </is>
      </c>
      <c r="S24" s="113" t="inlineStr">
        <is>
          <t>Ampliação</t>
        </is>
      </c>
      <c r="T24" s="113" t="inlineStr">
        <is>
          <t>Sistema de Vídeo Endoscopia Rígida</t>
        </is>
      </c>
      <c r="U24" s="113" t="n">
        <v>2</v>
      </c>
      <c r="V24" s="113" t="inlineStr">
        <is>
          <t xml:space="preserve"> NA</t>
        </is>
      </c>
      <c r="W24" s="113" t="inlineStr">
        <is>
          <t xml:space="preserve"> UND</t>
        </is>
      </c>
      <c r="X24" s="113" t="inlineStr">
        <is>
          <t>EQUIPAMENTO</t>
        </is>
      </c>
      <c r="Y24" s="113" t="inlineStr">
        <is>
          <t xml:space="preserve"> 10254-Sistema de Vídeo Endoscopia Rígida</t>
        </is>
      </c>
      <c r="Z24" s="113" t="inlineStr">
        <is>
          <t>NA</t>
        </is>
      </c>
      <c r="AA24" s="163" t="inlineStr">
        <is>
          <t>11/12/204</t>
        </is>
      </c>
      <c r="AB24" s="163" t="n">
        <v>46457</v>
      </c>
      <c r="AC24" s="163" t="n">
        <v>46457</v>
      </c>
      <c r="AD24" s="113" t="inlineStr">
        <is>
          <t>NI</t>
        </is>
      </c>
      <c r="AE24" s="113" t="inlineStr">
        <is>
          <t>NI</t>
        </is>
      </c>
      <c r="AF24" s="113" t="inlineStr">
        <is>
          <t>NI</t>
        </is>
      </c>
      <c r="AG24" s="118" t="n">
        <v>879996</v>
      </c>
      <c r="AH24" s="118" t="n">
        <v>0</v>
      </c>
      <c r="AI24" s="163" t="n">
        <v>45524</v>
      </c>
      <c r="AJ24" s="113" t="n">
        <v>8535</v>
      </c>
      <c r="AK24" s="118" t="inlineStr">
        <is>
          <t> </t>
        </is>
      </c>
      <c r="AL24" s="118" t="inlineStr">
        <is>
          <t> </t>
        </is>
      </c>
      <c r="AM24" s="118" t="inlineStr">
        <is>
          <t> </t>
        </is>
      </c>
      <c r="AN24" s="118" t="inlineStr">
        <is>
          <t> </t>
        </is>
      </c>
      <c r="AO24" s="118" t="inlineStr">
        <is>
          <t> </t>
        </is>
      </c>
      <c r="AP24" s="118" t="inlineStr">
        <is>
          <t> </t>
        </is>
      </c>
      <c r="AQ24" s="118" t="inlineStr">
        <is>
          <t> </t>
        </is>
      </c>
      <c r="AR24" s="118" t="inlineStr">
        <is>
          <t> </t>
        </is>
      </c>
      <c r="AS24" s="118" t="inlineStr">
        <is>
          <t> </t>
        </is>
      </c>
      <c r="AT24" s="118" t="inlineStr">
        <is>
          <t> </t>
        </is>
      </c>
      <c r="AU24" s="118" t="inlineStr">
        <is>
          <t> </t>
        </is>
      </c>
      <c r="AV24" s="118" t="inlineStr">
        <is>
          <t> </t>
        </is>
      </c>
      <c r="AW24" s="118" t="inlineStr">
        <is>
          <t> </t>
        </is>
      </c>
      <c r="AX24" s="118" t="inlineStr">
        <is>
          <t> </t>
        </is>
      </c>
      <c r="AY24" s="213" t="inlineStr">
        <is>
          <t>NI</t>
        </is>
      </c>
      <c r="AZ24" s="213" t="inlineStr">
        <is>
          <t>NI</t>
        </is>
      </c>
      <c r="BA24" s="213" t="inlineStr">
        <is>
          <t>NI</t>
        </is>
      </c>
      <c r="BB24" s="213" t="inlineStr">
        <is>
          <t>NI</t>
        </is>
      </c>
      <c r="BC24" s="163" t="n">
        <v>46457</v>
      </c>
      <c r="BD24" s="113" t="inlineStr">
        <is>
          <t>NI</t>
        </is>
      </c>
      <c r="BE24" s="113" t="inlineStr">
        <is>
          <t>NI</t>
        </is>
      </c>
      <c r="BF24" s="113" t="inlineStr">
        <is>
          <t>Não iniciado</t>
        </is>
      </c>
      <c r="BG24" s="119" t="inlineStr">
        <is>
          <t>NI</t>
        </is>
      </c>
      <c r="BH24" s="113" t="inlineStr">
        <is>
          <t>NI</t>
        </is>
      </c>
      <c r="BI24" s="113" t="inlineStr">
        <is>
          <t>NI</t>
        </is>
      </c>
      <c r="BJ24" s="113" t="inlineStr">
        <is>
          <t>NI</t>
        </is>
      </c>
      <c r="BK24" s="113" t="inlineStr">
        <is>
          <t>NI</t>
        </is>
      </c>
      <c r="BL24" s="142" t="inlineStr">
        <is>
          <t>NI</t>
        </is>
      </c>
      <c r="BM24" s="807" t="n"/>
      <c r="BN24" s="807" t="n"/>
      <c r="BO24" s="807" t="n"/>
      <c r="BP24" s="807" t="n"/>
      <c r="BQ24" s="807" t="n"/>
      <c r="BR24" s="807" t="n"/>
      <c r="BS24" s="807" t="n"/>
      <c r="BT24" s="159" t="n">
        <v>45726</v>
      </c>
      <c r="BU24" s="118" t="n">
        <v>879996</v>
      </c>
      <c r="BV24" s="808" t="n"/>
      <c r="BW24" s="808" t="n"/>
      <c r="BX24" s="808" t="n"/>
      <c r="BY24" s="808" t="n"/>
      <c r="BZ24" s="808" t="n"/>
      <c r="CA24" s="808" t="n"/>
      <c r="CB24" s="808" t="n"/>
      <c r="CC24" s="808" t="n"/>
      <c r="CD24" s="808" t="n"/>
      <c r="CE24" s="808" t="n"/>
      <c r="CF24" s="808" t="n"/>
      <c r="CG24" s="808" t="n"/>
      <c r="CH24" s="808" t="n"/>
      <c r="CI24" s="808" t="n"/>
      <c r="CJ24" s="808" t="n"/>
      <c r="CK24" s="808" t="n"/>
      <c r="CL24" s="808" t="n"/>
      <c r="CM24" s="808" t="n"/>
      <c r="CN24" s="808" t="n"/>
      <c r="CO24" s="808" t="n"/>
      <c r="CP24" s="808" t="n"/>
      <c r="CQ24" s="808" t="n"/>
      <c r="CR24" s="808" t="n"/>
      <c r="CS24" s="808" t="n"/>
      <c r="CT24" s="808" t="n"/>
    </row>
    <row r="25" ht="60" customFormat="1" customHeight="1" s="107">
      <c r="A25" s="113" t="inlineStr">
        <is>
          <t>SUDESTE</t>
        </is>
      </c>
      <c r="B25" s="113" t="inlineStr">
        <is>
          <t>SP</t>
        </is>
      </c>
      <c r="C25" s="113" t="inlineStr">
        <is>
          <t>SAO PAULO</t>
        </is>
      </c>
      <c r="D25" s="113" t="inlineStr">
        <is>
          <t>FUNDO ESTADUAL DE SAUDE - FUNDES</t>
        </is>
      </c>
      <c r="E25" s="114" t="inlineStr">
        <is>
          <t>13851748000140</t>
        </is>
      </c>
      <c r="F25" s="149" t="inlineStr">
        <is>
          <t>SECRETARIA DE ESTADO DA SAUDE DE SAO PAULO</t>
        </is>
      </c>
      <c r="G25" s="150" t="n">
        <v>6123740</v>
      </c>
      <c r="H25" s="136" t="n">
        <v>-23548</v>
      </c>
      <c r="I25" s="137" t="n">
        <v>-46636</v>
      </c>
      <c r="J25" s="113" t="inlineStr">
        <is>
          <t>Rastreamento e apoio</t>
        </is>
      </c>
      <c r="K25" s="113" t="inlineStr">
        <is>
          <t>Indireta</t>
        </is>
      </c>
      <c r="L25" s="113" t="inlineStr">
        <is>
          <t>SISPRO</t>
        </is>
      </c>
      <c r="M25" s="113" t="inlineStr">
        <is>
          <t>FAF</t>
        </is>
      </c>
      <c r="N25" s="113" t="n">
        <v>2024</v>
      </c>
      <c r="O25" s="115" t="inlineStr">
        <is>
          <t>NA</t>
        </is>
      </c>
      <c r="P25" s="114" t="inlineStr">
        <is>
          <t>13851748000124045</t>
        </is>
      </c>
      <c r="Q25" s="115" t="inlineStr">
        <is>
          <t xml:space="preserve"> NI</t>
        </is>
      </c>
      <c r="R25" s="113" t="inlineStr">
        <is>
          <t>REDE DE ATENÇÃO À PESSOA COM DOENÇAS CRÔNICAS - HOSPITAL HABILITADO NA ALTA COMPLEXIDADE EM ONCOLOGIA</t>
        </is>
      </c>
      <c r="S25" s="113" t="inlineStr">
        <is>
          <t>Substituição</t>
        </is>
      </c>
      <c r="T25" s="113" t="inlineStr">
        <is>
          <t>Vários</t>
        </is>
      </c>
      <c r="U25" s="113" t="n">
        <v>14</v>
      </c>
      <c r="V25" s="113" t="inlineStr">
        <is>
          <t>NA</t>
        </is>
      </c>
      <c r="W25" s="113" t="inlineStr">
        <is>
          <t>UND</t>
        </is>
      </c>
      <c r="X25" s="113" t="inlineStr">
        <is>
          <t>EQUIPAMENTO</t>
        </is>
      </c>
      <c r="Y25" s="113" t="inlineStr">
        <is>
          <t xml:space="preserve"> NA</t>
        </is>
      </c>
      <c r="Z25" s="113" t="inlineStr">
        <is>
          <t>NA</t>
        </is>
      </c>
      <c r="AA25" s="163" t="n">
        <v>45643</v>
      </c>
      <c r="AB25" s="163" t="n">
        <v>45808</v>
      </c>
      <c r="AC25" s="163" t="n">
        <v>45808</v>
      </c>
      <c r="AD25" s="113" t="inlineStr">
        <is>
          <t>NI</t>
        </is>
      </c>
      <c r="AE25" s="113" t="inlineStr">
        <is>
          <t>NI</t>
        </is>
      </c>
      <c r="AF25" s="113" t="inlineStr">
        <is>
          <t>NI</t>
        </is>
      </c>
      <c r="AG25" s="118" t="n">
        <v>1375252</v>
      </c>
      <c r="AH25" s="118" t="n">
        <v>0</v>
      </c>
      <c r="AI25" s="163" t="n">
        <v>45547</v>
      </c>
      <c r="AJ25" s="113" t="n">
        <v>8535</v>
      </c>
      <c r="AK25" s="118" t="inlineStr">
        <is>
          <t> </t>
        </is>
      </c>
      <c r="AL25" s="118" t="inlineStr">
        <is>
          <t> </t>
        </is>
      </c>
      <c r="AM25" s="118" t="inlineStr">
        <is>
          <t> </t>
        </is>
      </c>
      <c r="AN25" s="118" t="inlineStr">
        <is>
          <t> </t>
        </is>
      </c>
      <c r="AO25" s="118" t="inlineStr">
        <is>
          <t> </t>
        </is>
      </c>
      <c r="AP25" s="118" t="inlineStr">
        <is>
          <t> </t>
        </is>
      </c>
      <c r="AQ25" s="118" t="inlineStr">
        <is>
          <t> </t>
        </is>
      </c>
      <c r="AR25" s="118" t="inlineStr">
        <is>
          <t> </t>
        </is>
      </c>
      <c r="AS25" s="118" t="inlineStr">
        <is>
          <t> </t>
        </is>
      </c>
      <c r="AT25" s="118" t="inlineStr">
        <is>
          <t> </t>
        </is>
      </c>
      <c r="AU25" s="118" t="inlineStr">
        <is>
          <t> </t>
        </is>
      </c>
      <c r="AV25" s="118" t="inlineStr">
        <is>
          <t> </t>
        </is>
      </c>
      <c r="AW25" s="118" t="inlineStr">
        <is>
          <t> </t>
        </is>
      </c>
      <c r="AX25" s="118" t="inlineStr">
        <is>
          <t> </t>
        </is>
      </c>
      <c r="AY25" s="213" t="inlineStr">
        <is>
          <t>NI</t>
        </is>
      </c>
      <c r="AZ25" s="213" t="inlineStr">
        <is>
          <t>NI</t>
        </is>
      </c>
      <c r="BA25" s="213" t="inlineStr">
        <is>
          <t>NI</t>
        </is>
      </c>
      <c r="BB25" s="213" t="inlineStr">
        <is>
          <t>NI</t>
        </is>
      </c>
      <c r="BC25" s="163" t="n">
        <v>45808</v>
      </c>
      <c r="BD25" s="113" t="inlineStr">
        <is>
          <t>NI</t>
        </is>
      </c>
      <c r="BE25" s="113" t="inlineStr">
        <is>
          <t>NI</t>
        </is>
      </c>
      <c r="BF25" s="113" t="inlineStr">
        <is>
          <t>Não iniciado</t>
        </is>
      </c>
      <c r="BG25" s="119" t="inlineStr">
        <is>
          <t>NI</t>
        </is>
      </c>
      <c r="BH25" s="113" t="inlineStr">
        <is>
          <t>NI</t>
        </is>
      </c>
      <c r="BI25" s="113" t="inlineStr">
        <is>
          <t>NI</t>
        </is>
      </c>
      <c r="BJ25" s="113" t="inlineStr">
        <is>
          <t>NI</t>
        </is>
      </c>
      <c r="BK25" s="113" t="inlineStr">
        <is>
          <t>NI</t>
        </is>
      </c>
      <c r="BL25" s="142" t="inlineStr">
        <is>
          <t>NI</t>
        </is>
      </c>
      <c r="BM25" s="807" t="n"/>
      <c r="BN25" s="807" t="n"/>
      <c r="BO25" s="807" t="n"/>
      <c r="BP25" s="807" t="n"/>
      <c r="BQ25" s="807" t="n"/>
      <c r="BR25" s="807" t="n"/>
      <c r="BS25" s="807" t="n"/>
      <c r="BT25" s="163" t="n">
        <v>45807</v>
      </c>
      <c r="BU25" s="118" t="n">
        <v>13752</v>
      </c>
      <c r="BV25" s="808" t="n"/>
      <c r="BW25" s="808" t="n"/>
      <c r="BX25" s="808" t="n"/>
      <c r="BY25" s="808" t="n"/>
      <c r="BZ25" s="808" t="n"/>
      <c r="CA25" s="808" t="n"/>
      <c r="CB25" s="808" t="n"/>
      <c r="CC25" s="808" t="n"/>
      <c r="CD25" s="808" t="n"/>
      <c r="CE25" s="808" t="n"/>
      <c r="CF25" s="808" t="n"/>
      <c r="CG25" s="808" t="n"/>
      <c r="CH25" s="808" t="n"/>
      <c r="CI25" s="808" t="n"/>
      <c r="CJ25" s="808" t="n"/>
      <c r="CK25" s="808" t="n"/>
      <c r="CL25" s="808" t="n"/>
      <c r="CM25" s="808" t="n"/>
      <c r="CN25" s="808" t="n"/>
      <c r="CO25" s="808" t="n"/>
      <c r="CP25" s="808" t="n"/>
      <c r="CQ25" s="808" t="n"/>
      <c r="CR25" s="808" t="n"/>
      <c r="CS25" s="808" t="n"/>
      <c r="CT25" s="808" t="n"/>
    </row>
    <row r="26" outlineLevel="1" ht="60" customFormat="1" customHeight="1" s="107">
      <c r="A26" s="4" t="inlineStr">
        <is>
          <t>SUDESTE</t>
        </is>
      </c>
      <c r="B26" s="4" t="inlineStr">
        <is>
          <t>SP</t>
        </is>
      </c>
      <c r="C26" s="4" t="inlineStr">
        <is>
          <t>SAO PAULO</t>
        </is>
      </c>
      <c r="D26" s="4" t="inlineStr">
        <is>
          <t>FUNDO ESTADUAL DE SAUDE - FUNDES</t>
        </is>
      </c>
      <c r="E26" s="5" t="inlineStr">
        <is>
          <t>13851748000140</t>
        </is>
      </c>
      <c r="F26" s="146" t="inlineStr">
        <is>
          <t xml:space="preserve"> SECRETARIA DE ESTADO DA SAUDE DE SAO PAULO</t>
        </is>
      </c>
      <c r="G26" s="148" t="n">
        <v>6123740</v>
      </c>
      <c r="H26" s="134" t="n">
        <v>-23548</v>
      </c>
      <c r="I26" s="135" t="n">
        <v>-46636</v>
      </c>
      <c r="J26" s="8" t="inlineStr">
        <is>
          <t>Rastreamento</t>
        </is>
      </c>
      <c r="K26" s="4" t="inlineStr">
        <is>
          <t>Indireta</t>
        </is>
      </c>
      <c r="L26" s="4" t="inlineStr">
        <is>
          <t>SISPRO</t>
        </is>
      </c>
      <c r="M26" s="4" t="inlineStr">
        <is>
          <t>FAF</t>
        </is>
      </c>
      <c r="N26" s="4" t="n">
        <v>2024</v>
      </c>
      <c r="O26" s="6" t="inlineStr">
        <is>
          <t>NA</t>
        </is>
      </c>
      <c r="P26" s="5" t="inlineStr">
        <is>
          <t>13851748000124045</t>
        </is>
      </c>
      <c r="Q26" s="6" t="inlineStr">
        <is>
          <t xml:space="preserve"> NI</t>
        </is>
      </c>
      <c r="R26" s="4" t="inlineStr">
        <is>
          <t>REDE DE ATENÇÃO À PESSOA COM DOENÇAS CRÔNICAS - HOSPITAL HABILITADO NA ALTA COMPLEXIDADE EM ONCOLOGIA</t>
        </is>
      </c>
      <c r="S26" s="4" t="inlineStr">
        <is>
          <t>Substituição</t>
        </is>
      </c>
      <c r="T26" s="4" t="inlineStr">
        <is>
          <t>Sistema de Vídeo Endoscopia Flexível</t>
        </is>
      </c>
      <c r="U26" s="4" t="inlineStr">
        <is>
          <t>NA</t>
        </is>
      </c>
      <c r="V26" s="4" t="n">
        <v>2</v>
      </c>
      <c r="W26" s="4" t="inlineStr">
        <is>
          <t xml:space="preserve"> UND</t>
        </is>
      </c>
      <c r="X26" s="4" t="inlineStr">
        <is>
          <t>EQUIPAMENTO</t>
        </is>
      </c>
      <c r="Y26" s="4" t="inlineStr">
        <is>
          <t xml:space="preserve"> 11268-Sistema de Vídeo Endoscopia Flexível</t>
        </is>
      </c>
      <c r="Z26" s="4" t="inlineStr">
        <is>
          <t>NA</t>
        </is>
      </c>
      <c r="AA26" s="171" t="n">
        <v>45643</v>
      </c>
      <c r="AB26" s="171" t="n">
        <v>45808</v>
      </c>
      <c r="AC26" s="171" t="n">
        <v>45808</v>
      </c>
      <c r="AD26" s="4" t="inlineStr">
        <is>
          <t>NI</t>
        </is>
      </c>
      <c r="AE26" s="4" t="inlineStr">
        <is>
          <t>NI</t>
        </is>
      </c>
      <c r="AF26" s="4" t="inlineStr">
        <is>
          <t>NI</t>
        </is>
      </c>
      <c r="AG26" s="9" t="inlineStr">
        <is>
          <t>NA</t>
        </is>
      </c>
      <c r="AH26" s="9" t="inlineStr">
        <is>
          <t>NA</t>
        </is>
      </c>
      <c r="AI26" s="9" t="inlineStr">
        <is>
          <t>NA</t>
        </is>
      </c>
      <c r="AJ26" s="4" t="n">
        <v>8535</v>
      </c>
      <c r="AK26" s="9" t="inlineStr">
        <is>
          <t> </t>
        </is>
      </c>
      <c r="AL26" s="9" t="inlineStr">
        <is>
          <t> </t>
        </is>
      </c>
      <c r="AM26" s="9" t="inlineStr">
        <is>
          <t> </t>
        </is>
      </c>
      <c r="AN26" s="9" t="inlineStr">
        <is>
          <t> </t>
        </is>
      </c>
      <c r="AO26" s="9" t="inlineStr">
        <is>
          <t> </t>
        </is>
      </c>
      <c r="AP26" s="9" t="inlineStr">
        <is>
          <t> </t>
        </is>
      </c>
      <c r="AQ26" s="9" t="inlineStr">
        <is>
          <t> </t>
        </is>
      </c>
      <c r="AR26" s="9" t="inlineStr">
        <is>
          <t> </t>
        </is>
      </c>
      <c r="AS26" s="9" t="inlineStr">
        <is>
          <t> </t>
        </is>
      </c>
      <c r="AT26" s="9" t="inlineStr">
        <is>
          <t> </t>
        </is>
      </c>
      <c r="AU26" s="9" t="inlineStr">
        <is>
          <t> </t>
        </is>
      </c>
      <c r="AV26" s="9" t="inlineStr">
        <is>
          <t> </t>
        </is>
      </c>
      <c r="AW26" s="9" t="inlineStr">
        <is>
          <t> </t>
        </is>
      </c>
      <c r="AX26" s="9" t="inlineStr">
        <is>
          <t> </t>
        </is>
      </c>
      <c r="AY26" s="190" t="inlineStr">
        <is>
          <t>NI</t>
        </is>
      </c>
      <c r="AZ26" s="190" t="inlineStr">
        <is>
          <t>NI</t>
        </is>
      </c>
      <c r="BA26" s="190" t="inlineStr">
        <is>
          <t>NI</t>
        </is>
      </c>
      <c r="BB26" s="190" t="inlineStr">
        <is>
          <t>NI</t>
        </is>
      </c>
      <c r="BC26" s="171" t="inlineStr">
        <is>
          <t>NA</t>
        </is>
      </c>
      <c r="BD26" s="4" t="inlineStr">
        <is>
          <t>NI</t>
        </is>
      </c>
      <c r="BE26" s="4" t="inlineStr">
        <is>
          <t>NI</t>
        </is>
      </c>
      <c r="BF26" s="4" t="inlineStr">
        <is>
          <t>Não iniciado</t>
        </is>
      </c>
      <c r="BG26" s="10" t="inlineStr">
        <is>
          <t>NI</t>
        </is>
      </c>
      <c r="BH26" s="4" t="inlineStr">
        <is>
          <t>NI</t>
        </is>
      </c>
      <c r="BI26" s="4" t="inlineStr">
        <is>
          <t>NI</t>
        </is>
      </c>
      <c r="BJ26" s="4" t="inlineStr">
        <is>
          <t>NI</t>
        </is>
      </c>
      <c r="BK26" s="4" t="inlineStr">
        <is>
          <t>NI</t>
        </is>
      </c>
      <c r="BL26" s="143" t="inlineStr">
        <is>
          <t>NI</t>
        </is>
      </c>
      <c r="BM26" s="809" t="n"/>
      <c r="BN26" s="809" t="n"/>
      <c r="BO26" s="809" t="n"/>
      <c r="BP26" s="809" t="n"/>
      <c r="BQ26" s="809" t="n"/>
      <c r="BR26" s="809" t="n"/>
      <c r="BS26" s="809" t="n"/>
      <c r="BT26" s="164" t="inlineStr">
        <is>
          <t xml:space="preserve"> NA</t>
        </is>
      </c>
      <c r="BU26" s="164" t="inlineStr">
        <is>
          <t xml:space="preserve"> NA</t>
        </is>
      </c>
      <c r="BV26" s="808" t="n"/>
      <c r="BW26" s="808" t="n"/>
      <c r="BX26" s="808" t="n"/>
      <c r="BY26" s="808" t="n"/>
      <c r="BZ26" s="808" t="n"/>
      <c r="CA26" s="808" t="n"/>
      <c r="CB26" s="808" t="n"/>
      <c r="CC26" s="808" t="n"/>
      <c r="CD26" s="808" t="n"/>
      <c r="CE26" s="808" t="n"/>
      <c r="CF26" s="808" t="n"/>
      <c r="CG26" s="808" t="n"/>
      <c r="CH26" s="808" t="n"/>
      <c r="CI26" s="808" t="n"/>
      <c r="CJ26" s="808" t="n"/>
      <c r="CK26" s="808" t="n"/>
      <c r="CL26" s="808" t="n"/>
      <c r="CM26" s="808" t="n"/>
      <c r="CN26" s="808" t="n"/>
      <c r="CO26" s="808" t="n"/>
      <c r="CP26" s="808" t="n"/>
      <c r="CQ26" s="808" t="n"/>
      <c r="CR26" s="808" t="n"/>
      <c r="CS26" s="808" t="n"/>
      <c r="CT26" s="808" t="n"/>
    </row>
    <row r="27" ht="60" customHeight="1">
      <c r="A27" s="192" t="inlineStr">
        <is>
          <t>SUDESTE</t>
        </is>
      </c>
      <c r="B27" s="193" t="inlineStr">
        <is>
          <t>SP</t>
        </is>
      </c>
      <c r="C27" s="194" t="inlineStr">
        <is>
          <t>JAU</t>
        </is>
      </c>
      <c r="D27" s="192" t="inlineStr">
        <is>
          <t>FUNDACAO DR AMARAL CARVALHO</t>
        </is>
      </c>
      <c r="E27" s="195" t="inlineStr">
        <is>
          <t>50753755000135</t>
        </is>
      </c>
      <c r="F27" s="194" t="inlineStr">
        <is>
          <t>FUNDACAO DR AMARAL CARVALHO</t>
        </is>
      </c>
      <c r="G27" s="264" t="inlineStr">
        <is>
          <t>2083086</t>
        </is>
      </c>
      <c r="H27" s="196" t="n"/>
      <c r="I27" s="196" t="n"/>
      <c r="J27" s="196" t="inlineStr">
        <is>
          <t>Diagnóstico</t>
        </is>
      </c>
      <c r="K27" s="196" t="inlineStr">
        <is>
          <t>Indireta</t>
        </is>
      </c>
      <c r="L27" s="197" t="inlineStr">
        <is>
          <t>Transferegov/SEI</t>
        </is>
      </c>
      <c r="M27" s="197" t="inlineStr">
        <is>
          <t>Convênio</t>
        </is>
      </c>
      <c r="N27" s="193" t="n">
        <v>2023</v>
      </c>
      <c r="O27" s="193" t="n">
        <v>945693</v>
      </c>
      <c r="P27" s="193" t="n">
        <v>95075323001</v>
      </c>
      <c r="Q27" s="196" t="inlineStr">
        <is>
          <t>25000.124263/2023-39</t>
        </is>
      </c>
      <c r="R27" s="192" t="inlineStr">
        <is>
          <t>CENTRO DE ALTA COMPLEXIDADE EM ONCOLOGIA</t>
        </is>
      </c>
      <c r="S27" s="196" t="inlineStr">
        <is>
          <t>Substituição</t>
        </is>
      </c>
      <c r="T27" s="194" t="inlineStr">
        <is>
          <t>Vários</t>
        </is>
      </c>
      <c r="U27" s="196" t="n">
        <v>77</v>
      </c>
      <c r="V27" s="196" t="inlineStr">
        <is>
          <t>NA</t>
        </is>
      </c>
      <c r="W27" s="202" t="inlineStr">
        <is>
          <t xml:space="preserve"> UND</t>
        </is>
      </c>
      <c r="X27" s="196" t="inlineStr">
        <is>
          <t>EQUIPAMENTO</t>
        </is>
      </c>
      <c r="Y27" s="192" t="inlineStr">
        <is>
          <t>NA</t>
        </is>
      </c>
      <c r="Z27" s="197" t="inlineStr">
        <is>
          <t xml:space="preserve"> NA</t>
        </is>
      </c>
      <c r="AA27" s="198" t="n">
        <v>45258</v>
      </c>
      <c r="AB27" s="198" t="n">
        <v>46017</v>
      </c>
      <c r="AC27" s="198" t="n">
        <v>45685</v>
      </c>
      <c r="AD27" s="197" t="inlineStr">
        <is>
          <t>NI</t>
        </is>
      </c>
      <c r="AE27" s="197" t="inlineStr">
        <is>
          <t>NI</t>
        </is>
      </c>
      <c r="AF27" s="197" t="inlineStr">
        <is>
          <t>NI</t>
        </is>
      </c>
      <c r="AG27" s="200" t="n">
        <v>299752</v>
      </c>
      <c r="AH27" s="200" t="n">
        <v>0</v>
      </c>
      <c r="AI27" s="198" t="n">
        <v>45162</v>
      </c>
      <c r="AJ27" s="202" t="n">
        <v>8535</v>
      </c>
      <c r="AK27" s="203" t="inlineStr">
        <is>
          <t> </t>
        </is>
      </c>
      <c r="AL27" s="203" t="inlineStr">
        <is>
          <t> </t>
        </is>
      </c>
      <c r="AM27" s="203" t="inlineStr">
        <is>
          <t> </t>
        </is>
      </c>
      <c r="AN27" s="203" t="inlineStr">
        <is>
          <t> </t>
        </is>
      </c>
      <c r="AO27" s="203" t="inlineStr">
        <is>
          <t> </t>
        </is>
      </c>
      <c r="AP27" s="203" t="inlineStr">
        <is>
          <t> </t>
        </is>
      </c>
      <c r="AQ27" s="203" t="inlineStr">
        <is>
          <t> </t>
        </is>
      </c>
      <c r="AR27" s="203" t="inlineStr">
        <is>
          <t> </t>
        </is>
      </c>
      <c r="AS27" s="203" t="inlineStr">
        <is>
          <t> </t>
        </is>
      </c>
      <c r="AT27" s="203" t="inlineStr">
        <is>
          <t> </t>
        </is>
      </c>
      <c r="AU27" s="203" t="inlineStr">
        <is>
          <t> </t>
        </is>
      </c>
      <c r="AV27" s="203" t="inlineStr">
        <is>
          <t> </t>
        </is>
      </c>
      <c r="AW27" s="203" t="inlineStr">
        <is>
          <t> </t>
        </is>
      </c>
      <c r="AX27" s="203" t="inlineStr">
        <is>
          <t> </t>
        </is>
      </c>
      <c r="AY27" s="196" t="inlineStr">
        <is>
          <t>PRESTAÇÃO DE CONTAS ENVIADA PARA ANÁLISE</t>
        </is>
      </c>
      <c r="AZ27" s="196" t="inlineStr">
        <is>
          <t>NI</t>
        </is>
      </c>
      <c r="BA27" s="196" t="inlineStr">
        <is>
          <t>NI</t>
        </is>
      </c>
      <c r="BB27" s="196" t="inlineStr">
        <is>
          <t>NI</t>
        </is>
      </c>
      <c r="BC27" s="198" t="n">
        <v>45685</v>
      </c>
      <c r="BD27" s="358" t="inlineStr">
        <is>
          <t>NI</t>
        </is>
      </c>
      <c r="BE27" s="358" t="inlineStr">
        <is>
          <t>NI</t>
        </is>
      </c>
      <c r="BF27" s="358" t="inlineStr">
        <is>
          <t>Não iniciado</t>
        </is>
      </c>
      <c r="BG27" s="359" t="inlineStr">
        <is>
          <t>NI</t>
        </is>
      </c>
      <c r="BH27" s="358" t="inlineStr">
        <is>
          <t>NI</t>
        </is>
      </c>
      <c r="BI27" s="358" t="inlineStr">
        <is>
          <t>NI</t>
        </is>
      </c>
      <c r="BJ27" s="358" t="inlineStr">
        <is>
          <t>NI</t>
        </is>
      </c>
      <c r="BK27" s="358" t="inlineStr">
        <is>
          <t>NI</t>
        </is>
      </c>
      <c r="BL27" s="360" t="inlineStr">
        <is>
          <t>NI</t>
        </is>
      </c>
      <c r="BM27" s="196" t="n"/>
      <c r="BN27" s="196" t="n"/>
      <c r="BO27" s="196" t="n"/>
      <c r="BP27" s="196" t="n"/>
      <c r="BQ27" s="196" t="n"/>
      <c r="BR27" s="196" t="n"/>
      <c r="BS27" s="196" t="n"/>
      <c r="BT27" s="198" t="n">
        <v>45477</v>
      </c>
      <c r="BU27" s="200" t="n">
        <v>291833</v>
      </c>
    </row>
    <row r="28" ht="60" customHeight="1">
      <c r="A28" s="186" t="inlineStr">
        <is>
          <t>SUDESTE</t>
        </is>
      </c>
      <c r="B28" s="187" t="inlineStr">
        <is>
          <t>SP</t>
        </is>
      </c>
      <c r="C28" s="188" t="inlineStr">
        <is>
          <t>JAU</t>
        </is>
      </c>
      <c r="D28" s="186" t="inlineStr">
        <is>
          <t>FUNDACAO DR AMARAL CARVALHO</t>
        </is>
      </c>
      <c r="E28" s="189" t="inlineStr">
        <is>
          <t>50753755000135</t>
        </is>
      </c>
      <c r="F28" s="188" t="inlineStr">
        <is>
          <t>FUNDACAO DR AMARAL CARVALHO</t>
        </is>
      </c>
      <c r="G28" s="201" t="inlineStr">
        <is>
          <t>2083086</t>
        </is>
      </c>
      <c r="H28" s="190" t="n"/>
      <c r="I28" s="190" t="n"/>
      <c r="J28" s="190" t="inlineStr">
        <is>
          <t>Diagnóstico</t>
        </is>
      </c>
      <c r="K28" s="190" t="inlineStr">
        <is>
          <t>Indireta</t>
        </is>
      </c>
      <c r="L28" s="4" t="inlineStr">
        <is>
          <t>Transferegov/SEI</t>
        </is>
      </c>
      <c r="M28" s="4" t="inlineStr">
        <is>
          <t>Convênio</t>
        </is>
      </c>
      <c r="N28" s="187" t="n">
        <v>2023</v>
      </c>
      <c r="O28" s="187" t="n">
        <v>945693</v>
      </c>
      <c r="P28" s="187" t="n">
        <v>95075323001</v>
      </c>
      <c r="Q28" s="190" t="inlineStr">
        <is>
          <t>25000.124263/2023-39</t>
        </is>
      </c>
      <c r="R28" s="186" t="inlineStr">
        <is>
          <t>CENTRO DE ALTA COMPLEXIDADE EM ONCOLOGIA</t>
        </is>
      </c>
      <c r="S28" s="190" t="inlineStr">
        <is>
          <t>Substituição</t>
        </is>
      </c>
      <c r="T28" s="188" t="inlineStr">
        <is>
          <t>Ultrassom Diagnóstico sem Aplicação Transesofágica</t>
        </is>
      </c>
      <c r="U28" s="190" t="inlineStr">
        <is>
          <t>NA</t>
        </is>
      </c>
      <c r="V28" s="190" t="n">
        <v>1</v>
      </c>
      <c r="W28" s="204" t="inlineStr">
        <is>
          <t xml:space="preserve"> UND</t>
        </is>
      </c>
      <c r="X28" s="190" t="inlineStr">
        <is>
          <t>EQUIPAMENTO</t>
        </is>
      </c>
      <c r="Y28" s="186" t="inlineStr">
        <is>
          <t>011422-Ultrassom Diagnóstico sem Aplicação Transesofágica</t>
        </is>
      </c>
      <c r="Z28" s="4" t="inlineStr">
        <is>
          <t xml:space="preserve"> NA</t>
        </is>
      </c>
      <c r="AA28" s="191" t="n">
        <v>45258</v>
      </c>
      <c r="AB28" s="191" t="n">
        <v>46017</v>
      </c>
      <c r="AC28" s="191" t="n">
        <v>45685</v>
      </c>
      <c r="AD28" s="4" t="inlineStr">
        <is>
          <t>NI</t>
        </is>
      </c>
      <c r="AE28" s="4" t="inlineStr">
        <is>
          <t>NI</t>
        </is>
      </c>
      <c r="AF28" s="4" t="inlineStr">
        <is>
          <t>NI</t>
        </is>
      </c>
      <c r="AG28" s="199" t="n">
        <v>299752</v>
      </c>
      <c r="AH28" s="199" t="inlineStr">
        <is>
          <t>NA</t>
        </is>
      </c>
      <c r="AI28" s="191" t="n">
        <v>45162</v>
      </c>
      <c r="AJ28" s="204" t="n">
        <v>8535</v>
      </c>
      <c r="AK28" s="205" t="inlineStr">
        <is>
          <t> </t>
        </is>
      </c>
      <c r="AL28" s="205" t="inlineStr">
        <is>
          <t> </t>
        </is>
      </c>
      <c r="AM28" s="205" t="inlineStr">
        <is>
          <t> </t>
        </is>
      </c>
      <c r="AN28" s="205" t="inlineStr">
        <is>
          <t> </t>
        </is>
      </c>
      <c r="AO28" s="205" t="inlineStr">
        <is>
          <t> </t>
        </is>
      </c>
      <c r="AP28" s="205" t="inlineStr">
        <is>
          <t> </t>
        </is>
      </c>
      <c r="AQ28" s="205" t="inlineStr">
        <is>
          <t> </t>
        </is>
      </c>
      <c r="AR28" s="205" t="inlineStr">
        <is>
          <t> </t>
        </is>
      </c>
      <c r="AS28" s="205" t="inlineStr">
        <is>
          <t> </t>
        </is>
      </c>
      <c r="AT28" s="205" t="inlineStr">
        <is>
          <t> </t>
        </is>
      </c>
      <c r="AU28" s="205" t="inlineStr">
        <is>
          <t> </t>
        </is>
      </c>
      <c r="AV28" s="205" t="inlineStr">
        <is>
          <t> </t>
        </is>
      </c>
      <c r="AW28" s="205" t="inlineStr">
        <is>
          <t> </t>
        </is>
      </c>
      <c r="AX28" s="205" t="inlineStr">
        <is>
          <t> </t>
        </is>
      </c>
      <c r="AY28" s="190" t="inlineStr">
        <is>
          <t>PRESTAÇÃO DE CONTAS ENVIADA PARA ANÁLISE</t>
        </is>
      </c>
      <c r="AZ28" s="190" t="inlineStr">
        <is>
          <t>NI</t>
        </is>
      </c>
      <c r="BA28" s="190" t="inlineStr">
        <is>
          <t>NI</t>
        </is>
      </c>
      <c r="BB28" s="190" t="inlineStr">
        <is>
          <t>NI</t>
        </is>
      </c>
      <c r="BC28" s="191" t="inlineStr">
        <is>
          <t>NA</t>
        </is>
      </c>
      <c r="BD28" s="4" t="inlineStr">
        <is>
          <t>NI</t>
        </is>
      </c>
      <c r="BE28" s="4" t="inlineStr">
        <is>
          <t>NI</t>
        </is>
      </c>
      <c r="BF28" s="4" t="inlineStr">
        <is>
          <t>Não iniciado</t>
        </is>
      </c>
      <c r="BG28" s="10" t="inlineStr">
        <is>
          <t>NI</t>
        </is>
      </c>
      <c r="BH28" s="4" t="inlineStr">
        <is>
          <t>NI</t>
        </is>
      </c>
      <c r="BI28" s="4" t="inlineStr">
        <is>
          <t>NI</t>
        </is>
      </c>
      <c r="BJ28" s="4" t="inlineStr">
        <is>
          <t>NI</t>
        </is>
      </c>
      <c r="BK28" s="4" t="inlineStr">
        <is>
          <t>NI</t>
        </is>
      </c>
      <c r="BL28" s="143" t="inlineStr">
        <is>
          <t>NI</t>
        </is>
      </c>
      <c r="BM28" s="190" t="n"/>
      <c r="BN28" s="190" t="n"/>
      <c r="BO28" s="190" t="n"/>
      <c r="BP28" s="190" t="n"/>
      <c r="BQ28" s="190" t="n"/>
      <c r="BR28" s="190" t="n"/>
      <c r="BS28" s="190" t="n"/>
      <c r="BT28" s="191" t="inlineStr">
        <is>
          <t>NA</t>
        </is>
      </c>
      <c r="BU28" s="199" t="inlineStr">
        <is>
          <t>NA</t>
        </is>
      </c>
    </row>
    <row r="29" ht="60" customHeight="1">
      <c r="A29" s="192" t="inlineStr">
        <is>
          <t>SUDESTE</t>
        </is>
      </c>
      <c r="B29" s="193" t="inlineStr">
        <is>
          <t>SP</t>
        </is>
      </c>
      <c r="C29" s="194" t="inlineStr">
        <is>
          <t>CAMPINAS</t>
        </is>
      </c>
      <c r="D29" s="192" t="inlineStr">
        <is>
          <t>CENTRO INFANTIL DE INVESTIGACAO HEMAT DR DOMINGOS A BOLDRINI</t>
        </is>
      </c>
      <c r="E29" s="195" t="inlineStr">
        <is>
          <t>50046887000127</t>
        </is>
      </c>
      <c r="F29" s="194" t="inlineStr">
        <is>
          <t>CENTRO INFANTIL DE INVESTIGACAO HEMAT DR DOMINGOS A BOLDRINI</t>
        </is>
      </c>
      <c r="G29" s="264" t="inlineStr">
        <is>
          <t>2081482</t>
        </is>
      </c>
      <c r="H29" s="196" t="n"/>
      <c r="I29" s="196" t="n"/>
      <c r="J29" s="196" t="inlineStr">
        <is>
          <t>Diagnóstico</t>
        </is>
      </c>
      <c r="K29" s="196" t="inlineStr">
        <is>
          <t>Indireta</t>
        </is>
      </c>
      <c r="L29" s="197" t="inlineStr">
        <is>
          <t>Transferegov/SEI</t>
        </is>
      </c>
      <c r="M29" s="197" t="inlineStr">
        <is>
          <t>Convênio</t>
        </is>
      </c>
      <c r="N29" s="193" t="n">
        <v>2023</v>
      </c>
      <c r="O29" s="193" t="n">
        <v>947198</v>
      </c>
      <c r="P29" s="193" t="n">
        <v>95004623003</v>
      </c>
      <c r="Q29" s="196" t="inlineStr">
        <is>
          <t>25000.130351/2023-70</t>
        </is>
      </c>
      <c r="R29" s="192" t="inlineStr">
        <is>
          <t>CENTRO DE ALTA COMPLEXIDADE EM ONCOLOGIA</t>
        </is>
      </c>
      <c r="S29" s="196" t="inlineStr">
        <is>
          <t>Substituição</t>
        </is>
      </c>
      <c r="T29" s="194" t="inlineStr">
        <is>
          <t>Vários</t>
        </is>
      </c>
      <c r="U29" s="196" t="n">
        <v>2</v>
      </c>
      <c r="V29" s="196" t="inlineStr">
        <is>
          <t>NA</t>
        </is>
      </c>
      <c r="W29" s="202" t="inlineStr">
        <is>
          <t xml:space="preserve"> UND</t>
        </is>
      </c>
      <c r="X29" s="196" t="inlineStr">
        <is>
          <t>EQUIPAMENTO</t>
        </is>
      </c>
      <c r="Y29" s="192" t="inlineStr">
        <is>
          <t>NA</t>
        </is>
      </c>
      <c r="Z29" s="197" t="inlineStr">
        <is>
          <t xml:space="preserve"> NA</t>
        </is>
      </c>
      <c r="AA29" s="198" t="n">
        <v>45620</v>
      </c>
      <c r="AB29" s="198" t="n">
        <v>46262</v>
      </c>
      <c r="AC29" s="198" t="n">
        <v>46322</v>
      </c>
      <c r="AD29" s="197" t="inlineStr">
        <is>
          <t>NI</t>
        </is>
      </c>
      <c r="AE29" s="197" t="inlineStr">
        <is>
          <t>NI</t>
        </is>
      </c>
      <c r="AF29" s="197" t="inlineStr">
        <is>
          <t>NI</t>
        </is>
      </c>
      <c r="AG29" s="200" t="n">
        <v>667080</v>
      </c>
      <c r="AH29" s="200" t="n">
        <v>39022</v>
      </c>
      <c r="AI29" s="198" t="n">
        <v>45175</v>
      </c>
      <c r="AJ29" s="202" t="n">
        <v>8535</v>
      </c>
      <c r="AK29" s="203" t="inlineStr">
        <is>
          <t> </t>
        </is>
      </c>
      <c r="AL29" s="203" t="inlineStr">
        <is>
          <t> </t>
        </is>
      </c>
      <c r="AM29" s="203" t="inlineStr">
        <is>
          <t> </t>
        </is>
      </c>
      <c r="AN29" s="203" t="inlineStr">
        <is>
          <t> </t>
        </is>
      </c>
      <c r="AO29" s="203" t="inlineStr">
        <is>
          <t> </t>
        </is>
      </c>
      <c r="AP29" s="203" t="inlineStr">
        <is>
          <t> </t>
        </is>
      </c>
      <c r="AQ29" s="203" t="inlineStr">
        <is>
          <t> </t>
        </is>
      </c>
      <c r="AR29" s="203" t="inlineStr">
        <is>
          <t> </t>
        </is>
      </c>
      <c r="AS29" s="203" t="inlineStr">
        <is>
          <t> </t>
        </is>
      </c>
      <c r="AT29" s="203" t="inlineStr">
        <is>
          <t> </t>
        </is>
      </c>
      <c r="AU29" s="203" t="inlineStr">
        <is>
          <t> </t>
        </is>
      </c>
      <c r="AV29" s="203" t="inlineStr">
        <is>
          <t> </t>
        </is>
      </c>
      <c r="AW29" s="203" t="inlineStr">
        <is>
          <t> </t>
        </is>
      </c>
      <c r="AX29" s="203" t="inlineStr">
        <is>
          <t> </t>
        </is>
      </c>
      <c r="AY29" s="196" t="inlineStr">
        <is>
          <t>EM EXECUÇÃO</t>
        </is>
      </c>
      <c r="AZ29" s="196" t="inlineStr">
        <is>
          <t>NI</t>
        </is>
      </c>
      <c r="BA29" s="196" t="inlineStr">
        <is>
          <t>NI</t>
        </is>
      </c>
      <c r="BB29" s="196" t="inlineStr">
        <is>
          <t>NI</t>
        </is>
      </c>
      <c r="BC29" s="198" t="n">
        <v>45532</v>
      </c>
      <c r="BD29" s="358" t="inlineStr">
        <is>
          <t>NI</t>
        </is>
      </c>
      <c r="BE29" s="358" t="inlineStr">
        <is>
          <t>NI</t>
        </is>
      </c>
      <c r="BF29" s="358" t="inlineStr">
        <is>
          <t>Não iniciado</t>
        </is>
      </c>
      <c r="BG29" s="359" t="inlineStr">
        <is>
          <t>NI</t>
        </is>
      </c>
      <c r="BH29" s="358" t="inlineStr">
        <is>
          <t>NI</t>
        </is>
      </c>
      <c r="BI29" s="358" t="inlineStr">
        <is>
          <t>NI</t>
        </is>
      </c>
      <c r="BJ29" s="358" t="inlineStr">
        <is>
          <t>NI</t>
        </is>
      </c>
      <c r="BK29" s="358" t="inlineStr">
        <is>
          <t>NI</t>
        </is>
      </c>
      <c r="BL29" s="360" t="inlineStr">
        <is>
          <t>NI</t>
        </is>
      </c>
      <c r="BM29" s="196" t="n"/>
      <c r="BN29" s="196" t="n"/>
      <c r="BO29" s="196" t="n"/>
      <c r="BP29" s="196" t="n"/>
      <c r="BQ29" s="196" t="n"/>
      <c r="BR29" s="196" t="n"/>
      <c r="BS29" s="196" t="n"/>
      <c r="BT29" s="198" t="inlineStr">
        <is>
          <t>NA</t>
        </is>
      </c>
      <c r="BU29" s="200" t="n">
        <v>0</v>
      </c>
    </row>
    <row r="30" ht="60" customHeight="1">
      <c r="A30" s="186" t="inlineStr">
        <is>
          <t>SUDESTE</t>
        </is>
      </c>
      <c r="B30" s="187" t="inlineStr">
        <is>
          <t>SP</t>
        </is>
      </c>
      <c r="C30" s="188" t="inlineStr">
        <is>
          <t>CAMPINAS</t>
        </is>
      </c>
      <c r="D30" s="186" t="inlineStr">
        <is>
          <t>CENTRO INFANTIL DE INVESTIGACAO HEMAT DR DOMINGOS A BOLDRINI</t>
        </is>
      </c>
      <c r="E30" s="189" t="inlineStr">
        <is>
          <t>50046887000127</t>
        </is>
      </c>
      <c r="F30" s="188" t="inlineStr">
        <is>
          <t>CENTRO INFANTIL DE INVESTIGACAO HEMAT DR DOMINGOS A BOLDRINI</t>
        </is>
      </c>
      <c r="G30" s="201" t="inlineStr">
        <is>
          <t>2081482</t>
        </is>
      </c>
      <c r="H30" s="190" t="n"/>
      <c r="I30" s="190" t="n"/>
      <c r="J30" s="190" t="inlineStr">
        <is>
          <t>Diagnóstico</t>
        </is>
      </c>
      <c r="K30" s="190" t="inlineStr">
        <is>
          <t>Indireta</t>
        </is>
      </c>
      <c r="L30" s="4" t="inlineStr">
        <is>
          <t>Transferegov/SEI</t>
        </is>
      </c>
      <c r="M30" s="4" t="inlineStr">
        <is>
          <t>Convênio</t>
        </is>
      </c>
      <c r="N30" s="187" t="n">
        <v>2023</v>
      </c>
      <c r="O30" s="187" t="n">
        <v>947198</v>
      </c>
      <c r="P30" s="187" t="n">
        <v>95004623003</v>
      </c>
      <c r="Q30" s="190" t="inlineStr">
        <is>
          <t>25000.130351/2023-70</t>
        </is>
      </c>
      <c r="R30" s="186" t="inlineStr">
        <is>
          <t>CENTRO DE ALTA COMPLEXIDADE EM ONCOLOGIA</t>
        </is>
      </c>
      <c r="S30" s="190" t="inlineStr">
        <is>
          <t>Substituição</t>
        </is>
      </c>
      <c r="T30" s="188" t="inlineStr">
        <is>
          <t>Ultrassom Diagnóstico com Aplicação Transesofágica</t>
        </is>
      </c>
      <c r="U30" s="190" t="inlineStr">
        <is>
          <t>NA</t>
        </is>
      </c>
      <c r="V30" s="190" t="n">
        <v>1</v>
      </c>
      <c r="W30" s="204" t="inlineStr">
        <is>
          <t xml:space="preserve"> UND</t>
        </is>
      </c>
      <c r="X30" s="190" t="inlineStr">
        <is>
          <t>EQUIPAMENTO</t>
        </is>
      </c>
      <c r="Y30" s="186" t="inlineStr">
        <is>
          <t>011423-Ultrassom Diagnóstico sem Aplicação Transesofágica</t>
        </is>
      </c>
      <c r="Z30" s="4" t="inlineStr">
        <is>
          <t xml:space="preserve"> NA</t>
        </is>
      </c>
      <c r="AA30" s="191" t="n">
        <v>45620</v>
      </c>
      <c r="AB30" s="191" t="n">
        <v>46262</v>
      </c>
      <c r="AC30" s="191" t="n">
        <v>46322</v>
      </c>
      <c r="AD30" s="4" t="inlineStr">
        <is>
          <t>NI</t>
        </is>
      </c>
      <c r="AE30" s="4" t="inlineStr">
        <is>
          <t>NI</t>
        </is>
      </c>
      <c r="AF30" s="4" t="inlineStr">
        <is>
          <t>NI</t>
        </is>
      </c>
      <c r="AG30" s="199" t="n">
        <v>667080</v>
      </c>
      <c r="AH30" s="199" t="inlineStr">
        <is>
          <t>NA</t>
        </is>
      </c>
      <c r="AI30" s="191" t="n">
        <v>45175</v>
      </c>
      <c r="AJ30" s="204" t="n">
        <v>8535</v>
      </c>
      <c r="AK30" s="205" t="inlineStr">
        <is>
          <t> </t>
        </is>
      </c>
      <c r="AL30" s="205" t="inlineStr">
        <is>
          <t> </t>
        </is>
      </c>
      <c r="AM30" s="205" t="inlineStr">
        <is>
          <t> </t>
        </is>
      </c>
      <c r="AN30" s="205" t="inlineStr">
        <is>
          <t> </t>
        </is>
      </c>
      <c r="AO30" s="205" t="inlineStr">
        <is>
          <t> </t>
        </is>
      </c>
      <c r="AP30" s="205" t="inlineStr">
        <is>
          <t> </t>
        </is>
      </c>
      <c r="AQ30" s="205" t="inlineStr">
        <is>
          <t> </t>
        </is>
      </c>
      <c r="AR30" s="205" t="inlineStr">
        <is>
          <t> </t>
        </is>
      </c>
      <c r="AS30" s="205" t="inlineStr">
        <is>
          <t> </t>
        </is>
      </c>
      <c r="AT30" s="205" t="inlineStr">
        <is>
          <t> </t>
        </is>
      </c>
      <c r="AU30" s="205" t="inlineStr">
        <is>
          <t> </t>
        </is>
      </c>
      <c r="AV30" s="205" t="inlineStr">
        <is>
          <t> </t>
        </is>
      </c>
      <c r="AW30" s="205" t="inlineStr">
        <is>
          <t> </t>
        </is>
      </c>
      <c r="AX30" s="205" t="inlineStr">
        <is>
          <t> </t>
        </is>
      </c>
      <c r="AY30" s="190" t="inlineStr">
        <is>
          <t>EM EXECUÇÃO</t>
        </is>
      </c>
      <c r="AZ30" s="190" t="inlineStr">
        <is>
          <t>NI</t>
        </is>
      </c>
      <c r="BA30" s="190" t="inlineStr">
        <is>
          <t>NI</t>
        </is>
      </c>
      <c r="BB30" s="190" t="inlineStr">
        <is>
          <t>NI</t>
        </is>
      </c>
      <c r="BC30" s="191" t="inlineStr">
        <is>
          <t>NA</t>
        </is>
      </c>
      <c r="BD30" s="4" t="inlineStr">
        <is>
          <t>NI</t>
        </is>
      </c>
      <c r="BE30" s="4" t="inlineStr">
        <is>
          <t>NI</t>
        </is>
      </c>
      <c r="BF30" s="4" t="inlineStr">
        <is>
          <t>Não iniciado</t>
        </is>
      </c>
      <c r="BG30" s="10" t="inlineStr">
        <is>
          <t>NI</t>
        </is>
      </c>
      <c r="BH30" s="4" t="inlineStr">
        <is>
          <t>NI</t>
        </is>
      </c>
      <c r="BI30" s="4" t="inlineStr">
        <is>
          <t>NI</t>
        </is>
      </c>
      <c r="BJ30" s="4" t="inlineStr">
        <is>
          <t>NI</t>
        </is>
      </c>
      <c r="BK30" s="4" t="inlineStr">
        <is>
          <t>NI</t>
        </is>
      </c>
      <c r="BL30" s="143" t="inlineStr">
        <is>
          <t>NI</t>
        </is>
      </c>
      <c r="BM30" s="190" t="n"/>
      <c r="BN30" s="190" t="n"/>
      <c r="BO30" s="190" t="n"/>
      <c r="BP30" s="190" t="n"/>
      <c r="BQ30" s="190" t="n"/>
      <c r="BR30" s="190" t="n"/>
      <c r="BS30" s="190" t="n"/>
      <c r="BT30" s="191" t="inlineStr">
        <is>
          <t>NA</t>
        </is>
      </c>
      <c r="BU30" s="199" t="inlineStr">
        <is>
          <t>NA</t>
        </is>
      </c>
    </row>
    <row r="31" ht="60" customHeight="1">
      <c r="A31" s="192" t="inlineStr">
        <is>
          <t>SUL</t>
        </is>
      </c>
      <c r="B31" s="193" t="inlineStr">
        <is>
          <t>RS</t>
        </is>
      </c>
      <c r="C31" s="194" t="inlineStr">
        <is>
          <t>BENTO GONCALVES</t>
        </is>
      </c>
      <c r="D31" s="192" t="inlineStr">
        <is>
          <t>ASSOCIACAO DR BARTHOLOMEU TACCHINI</t>
        </is>
      </c>
      <c r="E31" s="195" t="inlineStr">
        <is>
          <t>87547444000120</t>
        </is>
      </c>
      <c r="F31" s="194" t="inlineStr">
        <is>
          <t>ASSOCIACAO DR BARTHOLOMEU TACCHINI</t>
        </is>
      </c>
      <c r="G31" s="264" t="inlineStr">
        <is>
          <t>2241021</t>
        </is>
      </c>
      <c r="H31" s="196" t="n"/>
      <c r="I31" s="196" t="n"/>
      <c r="J31" s="196" t="inlineStr">
        <is>
          <t>Diagnóstico</t>
        </is>
      </c>
      <c r="K31" s="196" t="inlineStr">
        <is>
          <t>Indireta</t>
        </is>
      </c>
      <c r="L31" s="197" t="inlineStr">
        <is>
          <t>Transferegov/SEI</t>
        </is>
      </c>
      <c r="M31" s="197" t="inlineStr">
        <is>
          <t>Convênio</t>
        </is>
      </c>
      <c r="N31" s="193" t="n">
        <v>2023</v>
      </c>
      <c r="O31" s="193" t="n">
        <v>943922</v>
      </c>
      <c r="P31" s="193" t="n">
        <v>98754723001</v>
      </c>
      <c r="Q31" s="196" t="inlineStr">
        <is>
          <t>25000.085944/2023-74</t>
        </is>
      </c>
      <c r="R31" s="192" t="inlineStr">
        <is>
          <t>CENTRO DE ALTA COMPLEXIDADE EM ONCOLOGIA</t>
        </is>
      </c>
      <c r="S31" s="196" t="inlineStr">
        <is>
          <t>Substituição</t>
        </is>
      </c>
      <c r="T31" s="194" t="inlineStr">
        <is>
          <t>Vários</t>
        </is>
      </c>
      <c r="U31" s="196" t="n">
        <v>6</v>
      </c>
      <c r="V31" s="196" t="inlineStr">
        <is>
          <t>NA</t>
        </is>
      </c>
      <c r="W31" s="202" t="inlineStr">
        <is>
          <t xml:space="preserve"> UND</t>
        </is>
      </c>
      <c r="X31" s="196" t="inlineStr">
        <is>
          <t>EQUIPAMENTO</t>
        </is>
      </c>
      <c r="Y31" s="192" t="inlineStr">
        <is>
          <t>NA</t>
        </is>
      </c>
      <c r="Z31" s="197" t="inlineStr">
        <is>
          <t>NA</t>
        </is>
      </c>
      <c r="AA31" s="198" t="n">
        <v>45240</v>
      </c>
      <c r="AB31" s="198" t="n">
        <v>46387</v>
      </c>
      <c r="AC31" s="198" t="n">
        <v>46447</v>
      </c>
      <c r="AD31" s="197" t="inlineStr">
        <is>
          <t>NI</t>
        </is>
      </c>
      <c r="AE31" s="197" t="inlineStr">
        <is>
          <t>NI</t>
        </is>
      </c>
      <c r="AF31" s="197" t="inlineStr">
        <is>
          <t>NI</t>
        </is>
      </c>
      <c r="AG31" s="200" t="n">
        <v>571380</v>
      </c>
      <c r="AH31" s="200" t="n">
        <v>0</v>
      </c>
      <c r="AI31" s="198" t="n">
        <v>45070</v>
      </c>
      <c r="AJ31" s="202" t="n">
        <v>8535</v>
      </c>
      <c r="AK31" s="203" t="inlineStr">
        <is>
          <t> </t>
        </is>
      </c>
      <c r="AL31" s="203" t="inlineStr">
        <is>
          <t> </t>
        </is>
      </c>
      <c r="AM31" s="203" t="inlineStr">
        <is>
          <t> </t>
        </is>
      </c>
      <c r="AN31" s="203" t="inlineStr">
        <is>
          <t> </t>
        </is>
      </c>
      <c r="AO31" s="203" t="inlineStr">
        <is>
          <t> </t>
        </is>
      </c>
      <c r="AP31" s="203" t="inlineStr">
        <is>
          <t> </t>
        </is>
      </c>
      <c r="AQ31" s="203" t="inlineStr">
        <is>
          <t> </t>
        </is>
      </c>
      <c r="AR31" s="203" t="inlineStr">
        <is>
          <t> </t>
        </is>
      </c>
      <c r="AS31" s="203" t="inlineStr">
        <is>
          <t> </t>
        </is>
      </c>
      <c r="AT31" s="203" t="inlineStr">
        <is>
          <t> </t>
        </is>
      </c>
      <c r="AU31" s="203" t="inlineStr">
        <is>
          <t> </t>
        </is>
      </c>
      <c r="AV31" s="203" t="inlineStr">
        <is>
          <t> </t>
        </is>
      </c>
      <c r="AW31" s="203" t="inlineStr">
        <is>
          <t> </t>
        </is>
      </c>
      <c r="AX31" s="203" t="inlineStr">
        <is>
          <t> </t>
        </is>
      </c>
      <c r="AY31" s="196" t="inlineStr">
        <is>
          <t>EM EXECUÇÃO</t>
        </is>
      </c>
      <c r="AZ31" s="196" t="inlineStr">
        <is>
          <t>NI</t>
        </is>
      </c>
      <c r="BA31" s="196" t="inlineStr">
        <is>
          <t>NI</t>
        </is>
      </c>
      <c r="BB31" s="196" t="inlineStr">
        <is>
          <t>NI</t>
        </is>
      </c>
      <c r="BC31" s="198" t="n">
        <v>46387</v>
      </c>
      <c r="BD31" s="358" t="inlineStr">
        <is>
          <t>NI</t>
        </is>
      </c>
      <c r="BE31" s="358" t="inlineStr">
        <is>
          <t>NI</t>
        </is>
      </c>
      <c r="BF31" s="358" t="inlineStr">
        <is>
          <t>Não iniciado</t>
        </is>
      </c>
      <c r="BG31" s="359" t="inlineStr">
        <is>
          <t>NI</t>
        </is>
      </c>
      <c r="BH31" s="358" t="inlineStr">
        <is>
          <t>NI</t>
        </is>
      </c>
      <c r="BI31" s="358" t="inlineStr">
        <is>
          <t>NI</t>
        </is>
      </c>
      <c r="BJ31" s="358" t="inlineStr">
        <is>
          <t>NI</t>
        </is>
      </c>
      <c r="BK31" s="358" t="inlineStr">
        <is>
          <t>NI</t>
        </is>
      </c>
      <c r="BL31" s="360" t="inlineStr">
        <is>
          <t>NI</t>
        </is>
      </c>
      <c r="BM31" s="196" t="n"/>
      <c r="BN31" s="196" t="n"/>
      <c r="BO31" s="196" t="n"/>
      <c r="BP31" s="196" t="n"/>
      <c r="BQ31" s="196" t="n"/>
      <c r="BR31" s="196" t="n"/>
      <c r="BS31" s="196" t="n"/>
      <c r="BT31" s="198" t="n">
        <v>45421</v>
      </c>
      <c r="BU31" s="200" t="n">
        <v>263880</v>
      </c>
    </row>
    <row r="32" ht="60" customHeight="1">
      <c r="A32" s="186" t="inlineStr">
        <is>
          <t>SUL</t>
        </is>
      </c>
      <c r="B32" s="187" t="inlineStr">
        <is>
          <t>RS</t>
        </is>
      </c>
      <c r="C32" s="188" t="inlineStr">
        <is>
          <t>BENTO GONCALVES</t>
        </is>
      </c>
      <c r="D32" s="186" t="inlineStr">
        <is>
          <t>ASSOCIACAO DR BARTHOLOMEU TACCHINI</t>
        </is>
      </c>
      <c r="E32" s="189" t="inlineStr">
        <is>
          <t>87547444000120</t>
        </is>
      </c>
      <c r="F32" s="188" t="inlineStr">
        <is>
          <t>ASSOCIACAO DR BARTHOLOMEU TACCHINI</t>
        </is>
      </c>
      <c r="G32" s="201" t="inlineStr">
        <is>
          <t>2241021</t>
        </is>
      </c>
      <c r="H32" s="190" t="n"/>
      <c r="I32" s="190" t="n"/>
      <c r="J32" s="190" t="inlineStr">
        <is>
          <t>Diagnóstico</t>
        </is>
      </c>
      <c r="K32" s="190" t="inlineStr">
        <is>
          <t>Indireta</t>
        </is>
      </c>
      <c r="L32" s="4" t="inlineStr">
        <is>
          <t>Transferegov/SEI</t>
        </is>
      </c>
      <c r="M32" s="4" t="inlineStr">
        <is>
          <t>Convênio</t>
        </is>
      </c>
      <c r="N32" s="187" t="n">
        <v>2023</v>
      </c>
      <c r="O32" s="187" t="n">
        <v>943922</v>
      </c>
      <c r="P32" s="187" t="n">
        <v>98754723001</v>
      </c>
      <c r="Q32" s="190" t="inlineStr">
        <is>
          <t>25000.085944/2023-74</t>
        </is>
      </c>
      <c r="R32" s="186" t="inlineStr">
        <is>
          <t>CENTRO DE ALTA COMPLEXIDADE EM ONCOLOGIA</t>
        </is>
      </c>
      <c r="S32" s="190" t="inlineStr">
        <is>
          <t>Substituição</t>
        </is>
      </c>
      <c r="T32" s="188" t="inlineStr">
        <is>
          <t>Ultrassom Diagnóstico sem Aplicação Transesofágica</t>
        </is>
      </c>
      <c r="U32" s="190" t="inlineStr">
        <is>
          <t>NA</t>
        </is>
      </c>
      <c r="V32" s="190" t="n">
        <v>1</v>
      </c>
      <c r="W32" s="204" t="inlineStr">
        <is>
          <t xml:space="preserve"> UND</t>
        </is>
      </c>
      <c r="X32" s="190" t="inlineStr">
        <is>
          <t>EQUIPAMENTO</t>
        </is>
      </c>
      <c r="Y32" s="186" t="inlineStr">
        <is>
          <t>011422-Ultrassom Diagnóstico sem Aplicação Transesofágica</t>
        </is>
      </c>
      <c r="Z32" s="4" t="inlineStr">
        <is>
          <t xml:space="preserve"> NA</t>
        </is>
      </c>
      <c r="AA32" s="191" t="n">
        <v>45240</v>
      </c>
      <c r="AB32" s="191" t="n">
        <v>46387</v>
      </c>
      <c r="AC32" s="191" t="n">
        <v>46447</v>
      </c>
      <c r="AD32" s="4" t="inlineStr">
        <is>
          <t>NI</t>
        </is>
      </c>
      <c r="AE32" s="4" t="inlineStr">
        <is>
          <t>NI</t>
        </is>
      </c>
      <c r="AF32" s="4" t="inlineStr">
        <is>
          <t>NI</t>
        </is>
      </c>
      <c r="AG32" s="199" t="n">
        <v>571380</v>
      </c>
      <c r="AH32" s="199" t="inlineStr">
        <is>
          <t>NA</t>
        </is>
      </c>
      <c r="AI32" s="191" t="n">
        <v>45070</v>
      </c>
      <c r="AJ32" s="204" t="n">
        <v>8535</v>
      </c>
      <c r="AK32" s="205" t="inlineStr">
        <is>
          <t> </t>
        </is>
      </c>
      <c r="AL32" s="205" t="inlineStr">
        <is>
          <t> </t>
        </is>
      </c>
      <c r="AM32" s="205" t="inlineStr">
        <is>
          <t> </t>
        </is>
      </c>
      <c r="AN32" s="205" t="inlineStr">
        <is>
          <t> </t>
        </is>
      </c>
      <c r="AO32" s="205" t="inlineStr">
        <is>
          <t> </t>
        </is>
      </c>
      <c r="AP32" s="205" t="inlineStr">
        <is>
          <t> </t>
        </is>
      </c>
      <c r="AQ32" s="205" t="inlineStr">
        <is>
          <t> </t>
        </is>
      </c>
      <c r="AR32" s="205" t="inlineStr">
        <is>
          <t> </t>
        </is>
      </c>
      <c r="AS32" s="205" t="inlineStr">
        <is>
          <t> </t>
        </is>
      </c>
      <c r="AT32" s="205" t="inlineStr">
        <is>
          <t> </t>
        </is>
      </c>
      <c r="AU32" s="205" t="inlineStr">
        <is>
          <t> </t>
        </is>
      </c>
      <c r="AV32" s="205" t="inlineStr">
        <is>
          <t> </t>
        </is>
      </c>
      <c r="AW32" s="205" t="inlineStr">
        <is>
          <t> </t>
        </is>
      </c>
      <c r="AX32" s="205" t="inlineStr">
        <is>
          <t> </t>
        </is>
      </c>
      <c r="AY32" s="190" t="inlineStr">
        <is>
          <t>EM EXECUÇÃO</t>
        </is>
      </c>
      <c r="AZ32" s="190" t="inlineStr">
        <is>
          <t>NI</t>
        </is>
      </c>
      <c r="BA32" s="190" t="inlineStr">
        <is>
          <t>NI</t>
        </is>
      </c>
      <c r="BB32" s="190" t="inlineStr">
        <is>
          <t>NI</t>
        </is>
      </c>
      <c r="BC32" s="191" t="inlineStr">
        <is>
          <t>NA</t>
        </is>
      </c>
      <c r="BD32" s="4" t="inlineStr">
        <is>
          <t>NI</t>
        </is>
      </c>
      <c r="BE32" s="4" t="inlineStr">
        <is>
          <t>NI</t>
        </is>
      </c>
      <c r="BF32" s="4" t="inlineStr">
        <is>
          <t>Não iniciado</t>
        </is>
      </c>
      <c r="BG32" s="10" t="inlineStr">
        <is>
          <t>NI</t>
        </is>
      </c>
      <c r="BH32" s="4" t="inlineStr">
        <is>
          <t>NI</t>
        </is>
      </c>
      <c r="BI32" s="4" t="inlineStr">
        <is>
          <t>NI</t>
        </is>
      </c>
      <c r="BJ32" s="4" t="inlineStr">
        <is>
          <t>NI</t>
        </is>
      </c>
      <c r="BK32" s="4" t="inlineStr">
        <is>
          <t>NI</t>
        </is>
      </c>
      <c r="BL32" s="143" t="inlineStr">
        <is>
          <t>NI</t>
        </is>
      </c>
      <c r="BM32" s="190" t="n"/>
      <c r="BN32" s="190" t="n"/>
      <c r="BO32" s="190" t="n"/>
      <c r="BP32" s="190" t="n"/>
      <c r="BQ32" s="190" t="n"/>
      <c r="BR32" s="190" t="n"/>
      <c r="BS32" s="190" t="n"/>
      <c r="BT32" s="191" t="inlineStr">
        <is>
          <t>NA</t>
        </is>
      </c>
      <c r="BU32" s="199" t="inlineStr">
        <is>
          <t>NA</t>
        </is>
      </c>
    </row>
    <row r="33" ht="60" customHeight="1">
      <c r="A33" s="192" t="inlineStr">
        <is>
          <t>CENTRO-OESTE</t>
        </is>
      </c>
      <c r="B33" s="193" t="inlineStr">
        <is>
          <t>GO</t>
        </is>
      </c>
      <c r="C33" s="194" t="inlineStr">
        <is>
          <t>GOIANIA</t>
        </is>
      </c>
      <c r="D33" s="192" t="inlineStr">
        <is>
          <t>ASSOCIACAO DE COMBATE AO CANCER EM GOIAS</t>
        </is>
      </c>
      <c r="E33" s="195" t="inlineStr">
        <is>
          <t>01585595000157</t>
        </is>
      </c>
      <c r="F33" s="194" t="inlineStr">
        <is>
          <t>ASSOCIACAO DE COMBATE AO CANCER EM GOIAS</t>
        </is>
      </c>
      <c r="G33" s="264" t="inlineStr">
        <is>
          <t>2506815</t>
        </is>
      </c>
      <c r="H33" s="196" t="n"/>
      <c r="I33" s="196" t="n"/>
      <c r="J33" s="192" t="inlineStr">
        <is>
          <t>Diagnóstico e apoio</t>
        </is>
      </c>
      <c r="K33" s="196" t="inlineStr">
        <is>
          <t>Indireta</t>
        </is>
      </c>
      <c r="L33" s="197" t="inlineStr">
        <is>
          <t>Transferegov/SEI</t>
        </is>
      </c>
      <c r="M33" s="197" t="inlineStr">
        <is>
          <t>Convênio</t>
        </is>
      </c>
      <c r="N33" s="193" t="n">
        <v>2023</v>
      </c>
      <c r="O33" s="193" t="n">
        <v>943991</v>
      </c>
      <c r="P33" s="193" t="n">
        <v>90158523001</v>
      </c>
      <c r="Q33" s="196" t="inlineStr">
        <is>
          <t>25000.085327/2023-79</t>
        </is>
      </c>
      <c r="R33" s="192" t="inlineStr">
        <is>
          <t>CENTRO DE ALTA COMPLEXIDADE EM ONCOLOGIA</t>
        </is>
      </c>
      <c r="S33" s="196" t="inlineStr">
        <is>
          <t>Substituição</t>
        </is>
      </c>
      <c r="T33" s="194" t="inlineStr">
        <is>
          <t>Vários</t>
        </is>
      </c>
      <c r="U33" s="196" t="n">
        <v>6</v>
      </c>
      <c r="V33" s="196" t="inlineStr">
        <is>
          <t>NA</t>
        </is>
      </c>
      <c r="W33" s="202" t="inlineStr">
        <is>
          <t>UND</t>
        </is>
      </c>
      <c r="X33" s="196" t="inlineStr">
        <is>
          <t>EQUIPAMENTO</t>
        </is>
      </c>
      <c r="Y33" s="192" t="inlineStr">
        <is>
          <t>NA</t>
        </is>
      </c>
      <c r="Z33" s="197" t="inlineStr">
        <is>
          <t>NA</t>
        </is>
      </c>
      <c r="AA33" s="198" t="n">
        <v>45244</v>
      </c>
      <c r="AB33" s="198" t="n">
        <v>46550</v>
      </c>
      <c r="AC33" s="198" t="n">
        <v>46610</v>
      </c>
      <c r="AD33" s="197" t="inlineStr">
        <is>
          <t>NI</t>
        </is>
      </c>
      <c r="AE33" s="197" t="inlineStr">
        <is>
          <t>NI</t>
        </is>
      </c>
      <c r="AF33" s="197" t="inlineStr">
        <is>
          <t>NI</t>
        </is>
      </c>
      <c r="AG33" s="200" t="n">
        <v>295713</v>
      </c>
      <c r="AH33" s="200" t="n">
        <v>0</v>
      </c>
      <c r="AI33" s="198" t="n">
        <v>45075</v>
      </c>
      <c r="AJ33" s="202" t="n">
        <v>8535</v>
      </c>
      <c r="AK33" s="203" t="n"/>
      <c r="AL33" s="203" t="n"/>
      <c r="AM33" s="203" t="n"/>
      <c r="AN33" s="203" t="n"/>
      <c r="AO33" s="203" t="n"/>
      <c r="AP33" s="203" t="n"/>
      <c r="AQ33" s="203" t="n"/>
      <c r="AR33" s="203" t="n"/>
      <c r="AS33" s="203" t="n"/>
      <c r="AT33" s="203" t="n"/>
      <c r="AU33" s="203" t="n"/>
      <c r="AV33" s="203" t="n"/>
      <c r="AW33" s="203" t="n"/>
      <c r="AX33" s="203" t="n"/>
      <c r="AY33" s="196" t="inlineStr">
        <is>
          <t>EM EXECUÇÃO</t>
        </is>
      </c>
      <c r="AZ33" s="196" t="inlineStr">
        <is>
          <t>NI</t>
        </is>
      </c>
      <c r="BA33" s="196" t="inlineStr">
        <is>
          <t>NI</t>
        </is>
      </c>
      <c r="BB33" s="196" t="inlineStr">
        <is>
          <t>NI</t>
        </is>
      </c>
      <c r="BC33" s="198" t="n">
        <v>46550</v>
      </c>
      <c r="BD33" s="358" t="inlineStr">
        <is>
          <t>NI</t>
        </is>
      </c>
      <c r="BE33" s="358" t="inlineStr">
        <is>
          <t>NI</t>
        </is>
      </c>
      <c r="BF33" s="358" t="inlineStr">
        <is>
          <t>Não iniciado</t>
        </is>
      </c>
      <c r="BG33" s="359" t="inlineStr">
        <is>
          <t>NI</t>
        </is>
      </c>
      <c r="BH33" s="358" t="inlineStr">
        <is>
          <t>NI</t>
        </is>
      </c>
      <c r="BI33" s="358" t="inlineStr">
        <is>
          <t>NI</t>
        </is>
      </c>
      <c r="BJ33" s="358" t="inlineStr">
        <is>
          <t>NI</t>
        </is>
      </c>
      <c r="BK33" s="358" t="inlineStr">
        <is>
          <t>NI</t>
        </is>
      </c>
      <c r="BL33" s="360" t="inlineStr">
        <is>
          <t>NI</t>
        </is>
      </c>
      <c r="BM33" s="196" t="n"/>
      <c r="BN33" s="196" t="n"/>
      <c r="BO33" s="196" t="n"/>
      <c r="BP33" s="196" t="n"/>
      <c r="BQ33" s="196" t="n"/>
      <c r="BR33" s="196" t="n"/>
      <c r="BS33" s="196" t="n"/>
      <c r="BT33" s="198" t="n">
        <v>46010</v>
      </c>
      <c r="BU33" s="200" t="n">
        <v>260793.11</v>
      </c>
    </row>
    <row r="34" ht="60" customHeight="1">
      <c r="A34" s="186" t="inlineStr">
        <is>
          <t>CENTRO-OESTE</t>
        </is>
      </c>
      <c r="B34" s="187" t="inlineStr">
        <is>
          <t>GO</t>
        </is>
      </c>
      <c r="C34" s="188" t="inlineStr">
        <is>
          <t>GOIANIA</t>
        </is>
      </c>
      <c r="D34" s="186" t="inlineStr">
        <is>
          <t>ASSOCIACAO DE COMBATE AO CANCER EM GOIAS</t>
        </is>
      </c>
      <c r="E34" s="189" t="inlineStr">
        <is>
          <t>01585595000157</t>
        </is>
      </c>
      <c r="F34" s="188" t="inlineStr">
        <is>
          <t>ASSOCIACAO DE COMBATE AO CANCER EM GOIAS</t>
        </is>
      </c>
      <c r="G34" s="201" t="inlineStr">
        <is>
          <t>2506815</t>
        </is>
      </c>
      <c r="H34" s="190" t="n"/>
      <c r="I34" s="190" t="n"/>
      <c r="J34" s="190" t="inlineStr">
        <is>
          <t>Diagnóstico</t>
        </is>
      </c>
      <c r="K34" s="190" t="inlineStr">
        <is>
          <t>Indireta</t>
        </is>
      </c>
      <c r="L34" s="4" t="inlineStr">
        <is>
          <t>Transferegov/SEI</t>
        </is>
      </c>
      <c r="M34" s="4" t="inlineStr">
        <is>
          <t>Convênio</t>
        </is>
      </c>
      <c r="N34" s="187" t="n">
        <v>2023</v>
      </c>
      <c r="O34" s="187" t="n">
        <v>943991</v>
      </c>
      <c r="P34" s="187" t="n">
        <v>90158523001</v>
      </c>
      <c r="Q34" s="190" t="inlineStr">
        <is>
          <t>25000.085327/2023-79</t>
        </is>
      </c>
      <c r="R34" s="186" t="inlineStr">
        <is>
          <t>CENTRO DE ALTA COMPLEXIDADE EM ONCOLOGIA</t>
        </is>
      </c>
      <c r="S34" s="190" t="inlineStr">
        <is>
          <t>Substituição</t>
        </is>
      </c>
      <c r="T34" s="188" t="inlineStr">
        <is>
          <t>Ultrassom Diagnóstico sem Aplicação Transesofágica</t>
        </is>
      </c>
      <c r="U34" s="190" t="inlineStr">
        <is>
          <t>NA</t>
        </is>
      </c>
      <c r="V34" s="190" t="n">
        <v>1</v>
      </c>
      <c r="W34" s="204" t="inlineStr">
        <is>
          <t xml:space="preserve"> UND</t>
        </is>
      </c>
      <c r="X34" s="190" t="inlineStr">
        <is>
          <t>EQUIPAMENTO</t>
        </is>
      </c>
      <c r="Y34" s="186" t="inlineStr">
        <is>
          <t>011422-Ultrassom Diagnóstico sem Aplicação Transesofágica</t>
        </is>
      </c>
      <c r="Z34" s="4" t="inlineStr">
        <is>
          <t>NA</t>
        </is>
      </c>
      <c r="AA34" s="191" t="n">
        <v>45244</v>
      </c>
      <c r="AB34" s="191" t="n">
        <v>46550</v>
      </c>
      <c r="AC34" s="191" t="n">
        <v>46610</v>
      </c>
      <c r="AD34" s="4" t="inlineStr">
        <is>
          <t>NI</t>
        </is>
      </c>
      <c r="AE34" s="4" t="inlineStr">
        <is>
          <t>NI</t>
        </is>
      </c>
      <c r="AF34" s="4" t="inlineStr">
        <is>
          <t>NI</t>
        </is>
      </c>
      <c r="AG34" s="199" t="n">
        <v>295713</v>
      </c>
      <c r="AH34" s="199" t="inlineStr">
        <is>
          <t>NA</t>
        </is>
      </c>
      <c r="AI34" s="191" t="n">
        <v>45075</v>
      </c>
      <c r="AJ34" s="204" t="n">
        <v>8535</v>
      </c>
      <c r="AK34" s="205" t="inlineStr">
        <is>
          <t> </t>
        </is>
      </c>
      <c r="AL34" s="205" t="inlineStr">
        <is>
          <t> </t>
        </is>
      </c>
      <c r="AM34" s="205" t="inlineStr">
        <is>
          <t> </t>
        </is>
      </c>
      <c r="AN34" s="205" t="inlineStr">
        <is>
          <t> </t>
        </is>
      </c>
      <c r="AO34" s="205" t="inlineStr">
        <is>
          <t> </t>
        </is>
      </c>
      <c r="AP34" s="205" t="inlineStr">
        <is>
          <t> </t>
        </is>
      </c>
      <c r="AQ34" s="205" t="inlineStr">
        <is>
          <t> </t>
        </is>
      </c>
      <c r="AR34" s="205" t="inlineStr">
        <is>
          <t> </t>
        </is>
      </c>
      <c r="AS34" s="205" t="inlineStr">
        <is>
          <t> </t>
        </is>
      </c>
      <c r="AT34" s="205" t="inlineStr">
        <is>
          <t> </t>
        </is>
      </c>
      <c r="AU34" s="205" t="inlineStr">
        <is>
          <t> </t>
        </is>
      </c>
      <c r="AV34" s="205" t="inlineStr">
        <is>
          <t> </t>
        </is>
      </c>
      <c r="AW34" s="205" t="inlineStr">
        <is>
          <t> </t>
        </is>
      </c>
      <c r="AX34" s="205" t="inlineStr">
        <is>
          <t> </t>
        </is>
      </c>
      <c r="AY34" s="190" t="inlineStr">
        <is>
          <t>EM EXECUÇÃO</t>
        </is>
      </c>
      <c r="AZ34" s="190" t="inlineStr">
        <is>
          <t>NI</t>
        </is>
      </c>
      <c r="BA34" s="190" t="inlineStr">
        <is>
          <t>NI</t>
        </is>
      </c>
      <c r="BB34" s="190" t="inlineStr">
        <is>
          <t>NI</t>
        </is>
      </c>
      <c r="BC34" s="191" t="n">
        <v>46550</v>
      </c>
      <c r="BD34" s="4" t="inlineStr">
        <is>
          <t>NI</t>
        </is>
      </c>
      <c r="BE34" s="4" t="inlineStr">
        <is>
          <t>NI</t>
        </is>
      </c>
      <c r="BF34" s="4" t="inlineStr">
        <is>
          <t>Não iniciado</t>
        </is>
      </c>
      <c r="BG34" s="10" t="inlineStr">
        <is>
          <t>NI</t>
        </is>
      </c>
      <c r="BH34" s="4" t="inlineStr">
        <is>
          <t>NI</t>
        </is>
      </c>
      <c r="BI34" s="4" t="inlineStr">
        <is>
          <t>NI</t>
        </is>
      </c>
      <c r="BJ34" s="4" t="inlineStr">
        <is>
          <t>NI</t>
        </is>
      </c>
      <c r="BK34" s="4" t="inlineStr">
        <is>
          <t>NI</t>
        </is>
      </c>
      <c r="BL34" s="143" t="inlineStr">
        <is>
          <t>NI</t>
        </is>
      </c>
      <c r="BM34" s="190" t="n"/>
      <c r="BN34" s="190" t="n"/>
      <c r="BO34" s="190" t="n"/>
      <c r="BP34" s="190" t="n"/>
      <c r="BQ34" s="190" t="n"/>
      <c r="BR34" s="190" t="n"/>
      <c r="BS34" s="190" t="n"/>
      <c r="BT34" s="191" t="inlineStr">
        <is>
          <t>NA</t>
        </is>
      </c>
      <c r="BU34" s="199" t="inlineStr">
        <is>
          <t>NA</t>
        </is>
      </c>
    </row>
    <row r="35" ht="60" customHeight="1">
      <c r="A35" s="192" t="inlineStr">
        <is>
          <t>SUL</t>
        </is>
      </c>
      <c r="B35" s="193" t="inlineStr">
        <is>
          <t>PR</t>
        </is>
      </c>
      <c r="C35" s="194" t="inlineStr">
        <is>
          <t>CURITIBA</t>
        </is>
      </c>
      <c r="D35" s="192" t="inlineStr">
        <is>
          <t>LIGA PARANAENSE DE COMBATE AO CANCER</t>
        </is>
      </c>
      <c r="E35" s="195" t="inlineStr">
        <is>
          <t>76591049000128</t>
        </is>
      </c>
      <c r="F35" s="194" t="inlineStr">
        <is>
          <t>LIGA PARANAENSE DE COMBATE AO CANCER</t>
        </is>
      </c>
      <c r="G35" s="264" t="inlineStr">
        <is>
          <t>0015644</t>
        </is>
      </c>
      <c r="H35" s="196" t="n"/>
      <c r="I35" s="196" t="n"/>
      <c r="J35" s="192" t="inlineStr">
        <is>
          <t>Diagnóstico e apoio</t>
        </is>
      </c>
      <c r="K35" s="196" t="inlineStr">
        <is>
          <t>Indireta</t>
        </is>
      </c>
      <c r="L35" s="197" t="inlineStr">
        <is>
          <t>Transferegov/SEI</t>
        </is>
      </c>
      <c r="M35" s="197" t="inlineStr">
        <is>
          <t>Convênio</t>
        </is>
      </c>
      <c r="N35" s="193" t="n">
        <v>2023</v>
      </c>
      <c r="O35" s="193" t="n">
        <v>943960</v>
      </c>
      <c r="P35" s="193" t="n">
        <v>97659123003</v>
      </c>
      <c r="Q35" s="196" t="inlineStr">
        <is>
          <t>25000.085867/2023-52</t>
        </is>
      </c>
      <c r="R35" s="192" t="inlineStr">
        <is>
          <t>CENTRO DE ALTA COMPLEXIDADE EM ONCOLOGIA</t>
        </is>
      </c>
      <c r="S35" s="196" t="inlineStr">
        <is>
          <t>Substituição</t>
        </is>
      </c>
      <c r="T35" s="194" t="inlineStr">
        <is>
          <t>Vários</t>
        </is>
      </c>
      <c r="U35" s="196" t="n">
        <v>57</v>
      </c>
      <c r="V35" s="196" t="inlineStr">
        <is>
          <t>NA</t>
        </is>
      </c>
      <c r="W35" s="202" t="inlineStr">
        <is>
          <t>UND</t>
        </is>
      </c>
      <c r="X35" s="196" t="inlineStr">
        <is>
          <t>EQUIPAMENTO</t>
        </is>
      </c>
      <c r="Y35" s="361" t="inlineStr">
        <is>
          <t>NA</t>
        </is>
      </c>
      <c r="Z35" s="197" t="inlineStr">
        <is>
          <t>NA</t>
        </is>
      </c>
      <c r="AA35" s="198" t="n">
        <v>45247</v>
      </c>
      <c r="AB35" s="198" t="n">
        <v>46016</v>
      </c>
      <c r="AC35" s="198" t="n">
        <v>46076</v>
      </c>
      <c r="AD35" s="197" t="inlineStr">
        <is>
          <t>NI</t>
        </is>
      </c>
      <c r="AE35" s="197" t="inlineStr">
        <is>
          <t>NI</t>
        </is>
      </c>
      <c r="AF35" s="197" t="inlineStr">
        <is>
          <t>NI</t>
        </is>
      </c>
      <c r="AG35" s="200" t="n">
        <v>1549463</v>
      </c>
      <c r="AH35" s="200" t="n">
        <v>0</v>
      </c>
      <c r="AI35" s="198" t="n">
        <v>45068</v>
      </c>
      <c r="AJ35" s="202" t="n">
        <v>8535</v>
      </c>
      <c r="AK35" s="203" t="n"/>
      <c r="AL35" s="203" t="n"/>
      <c r="AM35" s="203" t="n"/>
      <c r="AN35" s="203" t="n"/>
      <c r="AO35" s="203" t="n"/>
      <c r="AP35" s="203" t="n"/>
      <c r="AQ35" s="203" t="n"/>
      <c r="AR35" s="203" t="n"/>
      <c r="AS35" s="203" t="n"/>
      <c r="AT35" s="203" t="n"/>
      <c r="AU35" s="203" t="n"/>
      <c r="AV35" s="203" t="n"/>
      <c r="AW35" s="203" t="n"/>
      <c r="AX35" s="203" t="n"/>
      <c r="AY35" s="196" t="inlineStr">
        <is>
          <t>NORMAL</t>
        </is>
      </c>
      <c r="AZ35" s="196" t="inlineStr">
        <is>
          <t>NI</t>
        </is>
      </c>
      <c r="BA35" s="196" t="inlineStr">
        <is>
          <t>NI</t>
        </is>
      </c>
      <c r="BB35" s="196" t="inlineStr">
        <is>
          <t>NI</t>
        </is>
      </c>
      <c r="BC35" s="198" t="n">
        <v>46016</v>
      </c>
      <c r="BD35" s="358" t="inlineStr">
        <is>
          <t>NI</t>
        </is>
      </c>
      <c r="BE35" s="358" t="inlineStr">
        <is>
          <t>NI</t>
        </is>
      </c>
      <c r="BF35" s="358" t="inlineStr">
        <is>
          <t>Não iniciado</t>
        </is>
      </c>
      <c r="BG35" s="359" t="inlineStr">
        <is>
          <t>NI</t>
        </is>
      </c>
      <c r="BH35" s="358" t="inlineStr">
        <is>
          <t>NI</t>
        </is>
      </c>
      <c r="BI35" s="358" t="inlineStr">
        <is>
          <t>NI</t>
        </is>
      </c>
      <c r="BJ35" s="358" t="inlineStr">
        <is>
          <t>NI</t>
        </is>
      </c>
      <c r="BK35" s="358" t="inlineStr">
        <is>
          <t>NI</t>
        </is>
      </c>
      <c r="BL35" s="360" t="inlineStr">
        <is>
          <t>NI</t>
        </is>
      </c>
      <c r="BM35" s="196" t="n"/>
      <c r="BN35" s="196" t="n"/>
      <c r="BO35" s="196" t="n"/>
      <c r="BP35" s="196" t="n"/>
      <c r="BQ35" s="196" t="n"/>
      <c r="BR35" s="196" t="n"/>
      <c r="BS35" s="196" t="n"/>
      <c r="BT35" s="198" t="n">
        <v>45476</v>
      </c>
      <c r="BU35" s="200" t="n">
        <v>1533755.51</v>
      </c>
    </row>
    <row r="36" ht="60" customHeight="1">
      <c r="A36" s="186" t="inlineStr">
        <is>
          <t>SUL</t>
        </is>
      </c>
      <c r="B36" s="187" t="inlineStr">
        <is>
          <t>PR</t>
        </is>
      </c>
      <c r="C36" s="188" t="inlineStr">
        <is>
          <t>CURITIBA</t>
        </is>
      </c>
      <c r="D36" s="186" t="inlineStr">
        <is>
          <t>LIGA PARANAENSE DE COMBATE AO CANCER</t>
        </is>
      </c>
      <c r="E36" s="189" t="inlineStr">
        <is>
          <t>76591049000128</t>
        </is>
      </c>
      <c r="F36" s="188" t="inlineStr">
        <is>
          <t>LIGA PARANAENSE DE COMBATE AO CANCER</t>
        </is>
      </c>
      <c r="G36" s="201" t="inlineStr">
        <is>
          <t>0015644</t>
        </is>
      </c>
      <c r="H36" s="190" t="n"/>
      <c r="I36" s="190" t="n"/>
      <c r="J36" s="190" t="inlineStr">
        <is>
          <t>Diagnóstico</t>
        </is>
      </c>
      <c r="K36" s="190" t="inlineStr">
        <is>
          <t>Indireta</t>
        </is>
      </c>
      <c r="L36" s="4" t="inlineStr">
        <is>
          <t>Transferegov/SEI</t>
        </is>
      </c>
      <c r="M36" s="4" t="inlineStr">
        <is>
          <t>Convênio</t>
        </is>
      </c>
      <c r="N36" s="187" t="n">
        <v>2023</v>
      </c>
      <c r="O36" s="187" t="n">
        <v>943960</v>
      </c>
      <c r="P36" s="187" t="n">
        <v>97659123003</v>
      </c>
      <c r="Q36" s="190" t="inlineStr">
        <is>
          <t>25000.085867/2023-52</t>
        </is>
      </c>
      <c r="R36" s="186" t="inlineStr">
        <is>
          <t>CENTRO DE ALTA COMPLEXIDADE EM ONCOLOGIA</t>
        </is>
      </c>
      <c r="S36" s="190" t="inlineStr">
        <is>
          <t>Substituição</t>
        </is>
      </c>
      <c r="T36" s="188" t="inlineStr">
        <is>
          <t>Ultrassom Diagnóstico sem Aplicação Transesofágica</t>
        </is>
      </c>
      <c r="U36" s="190" t="inlineStr">
        <is>
          <t>NA</t>
        </is>
      </c>
      <c r="V36" s="190" t="n">
        <v>1</v>
      </c>
      <c r="W36" s="204" t="inlineStr">
        <is>
          <t xml:space="preserve"> UND</t>
        </is>
      </c>
      <c r="X36" s="190" t="inlineStr">
        <is>
          <t>EQUIPAMENTO</t>
        </is>
      </c>
      <c r="Y36" s="186" t="inlineStr">
        <is>
          <t>011422-Ultrassom Diagnóstico sem Aplicação Transesofágica</t>
        </is>
      </c>
      <c r="Z36" s="4" t="inlineStr">
        <is>
          <t xml:space="preserve"> NA</t>
        </is>
      </c>
      <c r="AA36" s="191" t="n">
        <v>45247</v>
      </c>
      <c r="AB36" s="191" t="n">
        <v>46016</v>
      </c>
      <c r="AC36" s="191" t="n">
        <v>46076</v>
      </c>
      <c r="AD36" s="4" t="inlineStr">
        <is>
          <t>NI</t>
        </is>
      </c>
      <c r="AE36" s="4" t="inlineStr">
        <is>
          <t>NI</t>
        </is>
      </c>
      <c r="AF36" s="4" t="inlineStr">
        <is>
          <t>NI</t>
        </is>
      </c>
      <c r="AG36" s="199" t="n">
        <v>1549463</v>
      </c>
      <c r="AH36" s="199" t="inlineStr">
        <is>
          <t>NA</t>
        </is>
      </c>
      <c r="AI36" s="191" t="n">
        <v>45068</v>
      </c>
      <c r="AJ36" s="204" t="n">
        <v>8535</v>
      </c>
      <c r="AK36" s="205" t="inlineStr">
        <is>
          <t> </t>
        </is>
      </c>
      <c r="AL36" s="205" t="inlineStr">
        <is>
          <t> </t>
        </is>
      </c>
      <c r="AM36" s="205" t="inlineStr">
        <is>
          <t> </t>
        </is>
      </c>
      <c r="AN36" s="205" t="inlineStr">
        <is>
          <t> </t>
        </is>
      </c>
      <c r="AO36" s="205" t="inlineStr">
        <is>
          <t> </t>
        </is>
      </c>
      <c r="AP36" s="205" t="inlineStr">
        <is>
          <t> </t>
        </is>
      </c>
      <c r="AQ36" s="205" t="inlineStr">
        <is>
          <t> </t>
        </is>
      </c>
      <c r="AR36" s="205" t="inlineStr">
        <is>
          <t> </t>
        </is>
      </c>
      <c r="AS36" s="205" t="inlineStr">
        <is>
          <t> </t>
        </is>
      </c>
      <c r="AT36" s="205" t="inlineStr">
        <is>
          <t> </t>
        </is>
      </c>
      <c r="AU36" s="205" t="inlineStr">
        <is>
          <t> </t>
        </is>
      </c>
      <c r="AV36" s="205" t="inlineStr">
        <is>
          <t> </t>
        </is>
      </c>
      <c r="AW36" s="205" t="inlineStr">
        <is>
          <t> </t>
        </is>
      </c>
      <c r="AX36" s="205" t="inlineStr">
        <is>
          <t> </t>
        </is>
      </c>
      <c r="AY36" s="190" t="inlineStr">
        <is>
          <t>NORMAL</t>
        </is>
      </c>
      <c r="AZ36" s="190" t="inlineStr">
        <is>
          <t>NI</t>
        </is>
      </c>
      <c r="BA36" s="190" t="inlineStr">
        <is>
          <t>NI</t>
        </is>
      </c>
      <c r="BB36" s="190" t="inlineStr">
        <is>
          <t>NI</t>
        </is>
      </c>
      <c r="BC36" s="191" t="n">
        <v>46016</v>
      </c>
      <c r="BD36" s="4" t="inlineStr">
        <is>
          <t>NI</t>
        </is>
      </c>
      <c r="BE36" s="4" t="inlineStr">
        <is>
          <t>NI</t>
        </is>
      </c>
      <c r="BF36" s="4" t="inlineStr">
        <is>
          <t>Não iniciado</t>
        </is>
      </c>
      <c r="BG36" s="10" t="inlineStr">
        <is>
          <t>NI</t>
        </is>
      </c>
      <c r="BH36" s="4" t="inlineStr">
        <is>
          <t>NI</t>
        </is>
      </c>
      <c r="BI36" s="4" t="inlineStr">
        <is>
          <t>NI</t>
        </is>
      </c>
      <c r="BJ36" s="4" t="inlineStr">
        <is>
          <t>NI</t>
        </is>
      </c>
      <c r="BK36" s="4" t="inlineStr">
        <is>
          <t>NI</t>
        </is>
      </c>
      <c r="BL36" s="143" t="inlineStr">
        <is>
          <t>NI</t>
        </is>
      </c>
      <c r="BM36" s="190" t="n"/>
      <c r="BN36" s="190" t="n"/>
      <c r="BO36" s="190" t="n"/>
      <c r="BP36" s="190" t="n"/>
      <c r="BQ36" s="190" t="n"/>
      <c r="BR36" s="190" t="n"/>
      <c r="BS36" s="190" t="n"/>
      <c r="BT36" s="191" t="inlineStr">
        <is>
          <t>NA</t>
        </is>
      </c>
      <c r="BU36" s="199" t="inlineStr">
        <is>
          <t>NA</t>
        </is>
      </c>
    </row>
    <row r="37" ht="60" customHeight="1">
      <c r="A37" s="192" t="inlineStr">
        <is>
          <t>SUL</t>
        </is>
      </c>
      <c r="B37" s="193" t="inlineStr">
        <is>
          <t>PR</t>
        </is>
      </c>
      <c r="C37" s="194" t="inlineStr">
        <is>
          <t>CASCAVEL</t>
        </is>
      </c>
      <c r="D37" s="192" t="inlineStr">
        <is>
          <t>UNIAO OESTE PARANAENSE DE ESTUDOS E COMBATE AO CANCER</t>
        </is>
      </c>
      <c r="E37" s="195" t="inlineStr">
        <is>
          <t>81270548000153</t>
        </is>
      </c>
      <c r="F37" s="194" t="inlineStr">
        <is>
          <t>UNIAO OESTE PARANAENSE DE ESTUDOS E COMBATE AO CANCER</t>
        </is>
      </c>
      <c r="G37" s="264" t="inlineStr">
        <is>
          <t>2740338</t>
        </is>
      </c>
      <c r="H37" s="196" t="n"/>
      <c r="I37" s="196" t="n"/>
      <c r="J37" s="192" t="inlineStr">
        <is>
          <t>Diagnóstico e apoio</t>
        </is>
      </c>
      <c r="K37" s="196" t="inlineStr">
        <is>
          <t>Indireta</t>
        </is>
      </c>
      <c r="L37" s="197" t="inlineStr">
        <is>
          <t>Transferegov/SEI</t>
        </is>
      </c>
      <c r="M37" s="197" t="inlineStr">
        <is>
          <t>Convênio</t>
        </is>
      </c>
      <c r="N37" s="193" t="n">
        <v>2023</v>
      </c>
      <c r="O37" s="193" t="n">
        <v>947285</v>
      </c>
      <c r="P37" s="193" t="n">
        <v>98127023006</v>
      </c>
      <c r="Q37" s="196" t="inlineStr">
        <is>
          <t>25000.125861/2023-25</t>
        </is>
      </c>
      <c r="R37" s="192" t="inlineStr">
        <is>
          <t>CENTRO DE ALTA COMPLEXIDADE EM ONCOLOGIA</t>
        </is>
      </c>
      <c r="S37" s="196" t="inlineStr">
        <is>
          <t>Ampliação</t>
        </is>
      </c>
      <c r="T37" s="194" t="inlineStr">
        <is>
          <t>Vários</t>
        </is>
      </c>
      <c r="U37" s="196" t="n">
        <v>6</v>
      </c>
      <c r="V37" s="196" t="inlineStr">
        <is>
          <t>NA</t>
        </is>
      </c>
      <c r="W37" s="202" t="inlineStr">
        <is>
          <t>UND</t>
        </is>
      </c>
      <c r="X37" s="196" t="inlineStr">
        <is>
          <t>EQUIPAMENTO</t>
        </is>
      </c>
      <c r="Y37" s="192" t="inlineStr">
        <is>
          <t>NA</t>
        </is>
      </c>
      <c r="Z37" s="197" t="inlineStr">
        <is>
          <t>NA</t>
        </is>
      </c>
      <c r="AA37" s="198" t="n">
        <v>45247</v>
      </c>
      <c r="AB37" s="198" t="n">
        <v>46282</v>
      </c>
      <c r="AC37" s="198" t="n">
        <v>46342</v>
      </c>
      <c r="AD37" s="197" t="inlineStr">
        <is>
          <t>NI</t>
        </is>
      </c>
      <c r="AE37" s="197" t="inlineStr">
        <is>
          <t>NI</t>
        </is>
      </c>
      <c r="AF37" s="197" t="inlineStr">
        <is>
          <t>NI</t>
        </is>
      </c>
      <c r="AG37" s="200" t="n">
        <v>500000</v>
      </c>
      <c r="AH37" s="200" t="n">
        <v>0</v>
      </c>
      <c r="AI37" s="198" t="n">
        <v>45152</v>
      </c>
      <c r="AJ37" s="202" t="n">
        <v>8535</v>
      </c>
      <c r="AK37" s="203" t="n"/>
      <c r="AL37" s="203" t="n"/>
      <c r="AM37" s="203" t="n"/>
      <c r="AN37" s="203" t="n"/>
      <c r="AO37" s="203" t="n"/>
      <c r="AP37" s="203" t="n"/>
      <c r="AQ37" s="203" t="n"/>
      <c r="AR37" s="203" t="n"/>
      <c r="AS37" s="203" t="n"/>
      <c r="AT37" s="203" t="n"/>
      <c r="AU37" s="203" t="n"/>
      <c r="AV37" s="203" t="n"/>
      <c r="AW37" s="203" t="n"/>
      <c r="AX37" s="203" t="n"/>
      <c r="AY37" s="196" t="inlineStr">
        <is>
          <t>EM EXECUÇÃO</t>
        </is>
      </c>
      <c r="AZ37" s="196" t="inlineStr">
        <is>
          <t>NI</t>
        </is>
      </c>
      <c r="BA37" s="196" t="inlineStr">
        <is>
          <t>NI</t>
        </is>
      </c>
      <c r="BB37" s="196" t="inlineStr">
        <is>
          <t>NI</t>
        </is>
      </c>
      <c r="BC37" s="198" t="n">
        <v>46282</v>
      </c>
      <c r="BD37" s="358" t="inlineStr">
        <is>
          <t>NI</t>
        </is>
      </c>
      <c r="BE37" s="358" t="inlineStr">
        <is>
          <t>NI</t>
        </is>
      </c>
      <c r="BF37" s="358" t="inlineStr">
        <is>
          <t>Não iniciado</t>
        </is>
      </c>
      <c r="BG37" s="359" t="inlineStr">
        <is>
          <t>NI</t>
        </is>
      </c>
      <c r="BH37" s="358" t="inlineStr">
        <is>
          <t>NI</t>
        </is>
      </c>
      <c r="BI37" s="358" t="inlineStr">
        <is>
          <t>NI</t>
        </is>
      </c>
      <c r="BJ37" s="358" t="inlineStr">
        <is>
          <t>NI</t>
        </is>
      </c>
      <c r="BK37" s="358" t="inlineStr">
        <is>
          <t>NI</t>
        </is>
      </c>
      <c r="BL37" s="360" t="inlineStr">
        <is>
          <t>NI</t>
        </is>
      </c>
      <c r="BM37" s="196" t="n"/>
      <c r="BN37" s="196" t="n"/>
      <c r="BO37" s="196" t="n"/>
      <c r="BP37" s="196" t="n"/>
      <c r="BQ37" s="196" t="n"/>
      <c r="BR37" s="196" t="n"/>
      <c r="BS37" s="196" t="n"/>
      <c r="BT37" s="198" t="n">
        <v>45742</v>
      </c>
      <c r="BU37" s="200" t="n">
        <v>416600</v>
      </c>
    </row>
    <row r="38" ht="60" customHeight="1">
      <c r="A38" s="186" t="inlineStr">
        <is>
          <t>SUL</t>
        </is>
      </c>
      <c r="B38" s="187" t="inlineStr">
        <is>
          <t>PR</t>
        </is>
      </c>
      <c r="C38" s="188" t="inlineStr">
        <is>
          <t>CASCAVEL</t>
        </is>
      </c>
      <c r="D38" s="186" t="inlineStr">
        <is>
          <t>UNIAO OESTE PARANAENSE DE ESTUDOS E COMBATE AO CANCER</t>
        </is>
      </c>
      <c r="E38" s="189" t="inlineStr">
        <is>
          <t>81270548000153</t>
        </is>
      </c>
      <c r="F38" s="188" t="inlineStr">
        <is>
          <t>UNIAO OESTE PARANAENSE DE ESTUDOS E COMBATE AO CANCER</t>
        </is>
      </c>
      <c r="G38" s="201" t="inlineStr">
        <is>
          <t>2740338</t>
        </is>
      </c>
      <c r="H38" s="190" t="n"/>
      <c r="I38" s="190" t="n"/>
      <c r="J38" s="190" t="inlineStr">
        <is>
          <t>Diagnóstico</t>
        </is>
      </c>
      <c r="K38" s="190" t="inlineStr">
        <is>
          <t>Indireta</t>
        </is>
      </c>
      <c r="L38" s="4" t="inlineStr">
        <is>
          <t>Transferegov/SEI</t>
        </is>
      </c>
      <c r="M38" s="4" t="inlineStr">
        <is>
          <t>Convênio</t>
        </is>
      </c>
      <c r="N38" s="187" t="n">
        <v>2023</v>
      </c>
      <c r="O38" s="187" t="n">
        <v>947285</v>
      </c>
      <c r="P38" s="187" t="n">
        <v>98127023006</v>
      </c>
      <c r="Q38" s="190" t="inlineStr">
        <is>
          <t>25000.125861/2023-25</t>
        </is>
      </c>
      <c r="R38" s="186" t="inlineStr">
        <is>
          <t>CENTRO DE ALTA COMPLEXIDADE EM ONCOLOGIA</t>
        </is>
      </c>
      <c r="S38" s="190" t="inlineStr">
        <is>
          <t>Ampliação</t>
        </is>
      </c>
      <c r="T38" s="188" t="inlineStr">
        <is>
          <t>Ultrassom Diagnóstico com Aplicação Transesofágica</t>
        </is>
      </c>
      <c r="U38" s="190" t="inlineStr">
        <is>
          <t>NA</t>
        </is>
      </c>
      <c r="V38" s="190" t="n">
        <v>1</v>
      </c>
      <c r="W38" s="204" t="inlineStr">
        <is>
          <t>UND</t>
        </is>
      </c>
      <c r="X38" s="190" t="inlineStr">
        <is>
          <t>EQUIPAMENTO</t>
        </is>
      </c>
      <c r="Y38" s="186" t="inlineStr">
        <is>
          <t>011423-Ultrassom Diagnóstico com Aplicação Transesofágica</t>
        </is>
      </c>
      <c r="Z38" s="4" t="inlineStr">
        <is>
          <t xml:space="preserve"> NA</t>
        </is>
      </c>
      <c r="AA38" s="191" t="n">
        <v>45247</v>
      </c>
      <c r="AB38" s="191" t="n">
        <v>46282</v>
      </c>
      <c r="AC38" s="191" t="n">
        <v>46342</v>
      </c>
      <c r="AD38" s="4" t="inlineStr">
        <is>
          <t>NI</t>
        </is>
      </c>
      <c r="AE38" s="4" t="inlineStr">
        <is>
          <t>NI</t>
        </is>
      </c>
      <c r="AF38" s="4" t="inlineStr">
        <is>
          <t>NI</t>
        </is>
      </c>
      <c r="AG38" s="199" t="n">
        <v>500000</v>
      </c>
      <c r="AH38" s="199" t="inlineStr">
        <is>
          <t>NA</t>
        </is>
      </c>
      <c r="AI38" s="191" t="n">
        <v>45152</v>
      </c>
      <c r="AJ38" s="204" t="n">
        <v>8535</v>
      </c>
      <c r="AK38" s="205" t="inlineStr">
        <is>
          <t> </t>
        </is>
      </c>
      <c r="AL38" s="205" t="inlineStr">
        <is>
          <t> </t>
        </is>
      </c>
      <c r="AM38" s="205" t="inlineStr">
        <is>
          <t> </t>
        </is>
      </c>
      <c r="AN38" s="205" t="inlineStr">
        <is>
          <t> </t>
        </is>
      </c>
      <c r="AO38" s="205" t="inlineStr">
        <is>
          <t> </t>
        </is>
      </c>
      <c r="AP38" s="205" t="inlineStr">
        <is>
          <t> </t>
        </is>
      </c>
      <c r="AQ38" s="205" t="inlineStr">
        <is>
          <t> </t>
        </is>
      </c>
      <c r="AR38" s="205" t="inlineStr">
        <is>
          <t> </t>
        </is>
      </c>
      <c r="AS38" s="205" t="inlineStr">
        <is>
          <t> </t>
        </is>
      </c>
      <c r="AT38" s="205" t="inlineStr">
        <is>
          <t> </t>
        </is>
      </c>
      <c r="AU38" s="205" t="inlineStr">
        <is>
          <t> </t>
        </is>
      </c>
      <c r="AV38" s="205" t="inlineStr">
        <is>
          <t> </t>
        </is>
      </c>
      <c r="AW38" s="205" t="inlineStr">
        <is>
          <t> </t>
        </is>
      </c>
      <c r="AX38" s="205" t="inlineStr">
        <is>
          <t> </t>
        </is>
      </c>
      <c r="AY38" s="190" t="inlineStr">
        <is>
          <t>EM EXECUÇÃO</t>
        </is>
      </c>
      <c r="AZ38" s="190" t="inlineStr">
        <is>
          <t>NI</t>
        </is>
      </c>
      <c r="BA38" s="190" t="inlineStr">
        <is>
          <t>NI</t>
        </is>
      </c>
      <c r="BB38" s="190" t="inlineStr">
        <is>
          <t>NI</t>
        </is>
      </c>
      <c r="BC38" s="191" t="n">
        <v>46282</v>
      </c>
      <c r="BD38" s="4" t="inlineStr">
        <is>
          <t>NI</t>
        </is>
      </c>
      <c r="BE38" s="4" t="inlineStr">
        <is>
          <t>NI</t>
        </is>
      </c>
      <c r="BF38" s="4" t="inlineStr">
        <is>
          <t>Não iniciado</t>
        </is>
      </c>
      <c r="BG38" s="10" t="inlineStr">
        <is>
          <t>NI</t>
        </is>
      </c>
      <c r="BH38" s="4" t="inlineStr">
        <is>
          <t>NI</t>
        </is>
      </c>
      <c r="BI38" s="4" t="inlineStr">
        <is>
          <t>NI</t>
        </is>
      </c>
      <c r="BJ38" s="4" t="inlineStr">
        <is>
          <t>NI</t>
        </is>
      </c>
      <c r="BK38" s="4" t="inlineStr">
        <is>
          <t>NI</t>
        </is>
      </c>
      <c r="BL38" s="143" t="inlineStr">
        <is>
          <t>NI</t>
        </is>
      </c>
      <c r="BM38" s="190" t="n"/>
      <c r="BN38" s="190" t="n"/>
      <c r="BO38" s="190" t="n"/>
      <c r="BP38" s="190" t="n"/>
      <c r="BQ38" s="190" t="n"/>
      <c r="BR38" s="190" t="n"/>
      <c r="BS38" s="190" t="n"/>
      <c r="BT38" s="191" t="inlineStr">
        <is>
          <t>NA</t>
        </is>
      </c>
      <c r="BU38" s="199" t="inlineStr">
        <is>
          <t>NA</t>
        </is>
      </c>
    </row>
    <row r="39" ht="60" customHeight="1">
      <c r="A39" s="192" t="inlineStr">
        <is>
          <t>SUDESTE</t>
        </is>
      </c>
      <c r="B39" s="193" t="inlineStr">
        <is>
          <t>MG</t>
        </is>
      </c>
      <c r="C39" s="194" t="inlineStr">
        <is>
          <t>MURIAE</t>
        </is>
      </c>
      <c r="D39" s="192" t="inlineStr">
        <is>
          <t>FUNDACAO CRISTIANO VARELLA</t>
        </is>
      </c>
      <c r="E39" s="195" t="inlineStr">
        <is>
          <t>00961315000103</t>
        </is>
      </c>
      <c r="F39" s="194" t="inlineStr">
        <is>
          <t>FUNDACAO CRISTIANO VARELLA</t>
        </is>
      </c>
      <c r="G39" s="264" t="inlineStr">
        <is>
          <t>2195453</t>
        </is>
      </c>
      <c r="H39" s="196" t="n"/>
      <c r="I39" s="196" t="n"/>
      <c r="J39" s="192" t="inlineStr">
        <is>
          <t>Diagnóstico e apoio</t>
        </is>
      </c>
      <c r="K39" s="196" t="inlineStr">
        <is>
          <t>Indireta</t>
        </is>
      </c>
      <c r="L39" s="197" t="inlineStr">
        <is>
          <t>Transferegov/SEI</t>
        </is>
      </c>
      <c r="M39" s="197" t="inlineStr">
        <is>
          <t>Convênio</t>
        </is>
      </c>
      <c r="N39" s="193" t="n">
        <v>2023</v>
      </c>
      <c r="O39" s="193" t="n">
        <v>950115</v>
      </c>
      <c r="P39" s="193" t="n">
        <v>90096123004</v>
      </c>
      <c r="Q39" s="196" t="inlineStr">
        <is>
          <t>25000.177706/2023-94</t>
        </is>
      </c>
      <c r="R39" s="192" t="inlineStr">
        <is>
          <t>CENTRO DE ALTA COMPLEXIDADE EM ONCOLOGIA</t>
        </is>
      </c>
      <c r="S39" s="192" t="inlineStr">
        <is>
          <t>Ampliação e Substituição</t>
        </is>
      </c>
      <c r="T39" s="194" t="inlineStr">
        <is>
          <t>Vários</t>
        </is>
      </c>
      <c r="U39" s="196" t="n">
        <v>10</v>
      </c>
      <c r="V39" s="196" t="inlineStr">
        <is>
          <t>NA</t>
        </is>
      </c>
      <c r="W39" s="202" t="inlineStr">
        <is>
          <t>UND</t>
        </is>
      </c>
      <c r="X39" s="196" t="inlineStr">
        <is>
          <t>EQUIPAMENTO</t>
        </is>
      </c>
      <c r="Y39" s="192" t="inlineStr">
        <is>
          <t>NA</t>
        </is>
      </c>
      <c r="Z39" s="197" t="inlineStr">
        <is>
          <t>NA</t>
        </is>
      </c>
      <c r="AA39" s="198" t="n">
        <v>45265</v>
      </c>
      <c r="AB39" s="198" t="n">
        <v>46275</v>
      </c>
      <c r="AC39" s="198" t="n">
        <v>46090</v>
      </c>
      <c r="AD39" s="197" t="inlineStr">
        <is>
          <t>NI</t>
        </is>
      </c>
      <c r="AE39" s="197" t="inlineStr">
        <is>
          <t>NI</t>
        </is>
      </c>
      <c r="AF39" s="197" t="inlineStr">
        <is>
          <t>NI</t>
        </is>
      </c>
      <c r="AG39" s="200" t="n">
        <v>3215250</v>
      </c>
      <c r="AH39" s="200" t="n">
        <v>0</v>
      </c>
      <c r="AI39" s="198" t="n">
        <v>45251</v>
      </c>
      <c r="AJ39" s="202" t="n">
        <v>8535</v>
      </c>
      <c r="AK39" s="203" t="n"/>
      <c r="AL39" s="203" t="n"/>
      <c r="AM39" s="203" t="n"/>
      <c r="AN39" s="203" t="n"/>
      <c r="AO39" s="203" t="n"/>
      <c r="AP39" s="203" t="n"/>
      <c r="AQ39" s="203" t="n"/>
      <c r="AR39" s="203" t="n"/>
      <c r="AS39" s="203" t="n"/>
      <c r="AT39" s="203" t="n"/>
      <c r="AU39" s="203" t="n"/>
      <c r="AV39" s="203" t="n"/>
      <c r="AW39" s="203" t="n"/>
      <c r="AX39" s="203" t="n"/>
      <c r="AY39" s="196" t="inlineStr">
        <is>
          <t>NORMAL</t>
        </is>
      </c>
      <c r="AZ39" s="196" t="inlineStr">
        <is>
          <t>NI</t>
        </is>
      </c>
      <c r="BA39" s="196" t="inlineStr">
        <is>
          <t>NI</t>
        </is>
      </c>
      <c r="BB39" s="196" t="inlineStr">
        <is>
          <t>NI</t>
        </is>
      </c>
      <c r="BC39" s="198" t="n">
        <v>46275</v>
      </c>
      <c r="BD39" s="358" t="inlineStr">
        <is>
          <t>NI</t>
        </is>
      </c>
      <c r="BE39" s="358" t="inlineStr">
        <is>
          <t>NI</t>
        </is>
      </c>
      <c r="BF39" s="358" t="inlineStr">
        <is>
          <t>Não iniciado</t>
        </is>
      </c>
      <c r="BG39" s="359" t="inlineStr">
        <is>
          <t>NI</t>
        </is>
      </c>
      <c r="BH39" s="358" t="inlineStr">
        <is>
          <t>NI</t>
        </is>
      </c>
      <c r="BI39" s="358" t="inlineStr">
        <is>
          <t>NI</t>
        </is>
      </c>
      <c r="BJ39" s="358" t="inlineStr">
        <is>
          <t>NI</t>
        </is>
      </c>
      <c r="BK39" s="358" t="inlineStr">
        <is>
          <t>NI</t>
        </is>
      </c>
      <c r="BL39" s="360" t="inlineStr">
        <is>
          <t>NI</t>
        </is>
      </c>
      <c r="BM39" s="196" t="n"/>
      <c r="BN39" s="196" t="n"/>
      <c r="BO39" s="196" t="n"/>
      <c r="BP39" s="196" t="n"/>
      <c r="BQ39" s="196" t="n"/>
      <c r="BR39" s="196" t="n"/>
      <c r="BS39" s="196" t="n"/>
      <c r="BT39" s="198" t="n">
        <v>45735</v>
      </c>
      <c r="BU39" s="200" t="n">
        <v>292600</v>
      </c>
    </row>
    <row r="40" ht="60" customHeight="1">
      <c r="A40" s="258" t="inlineStr">
        <is>
          <t>SUDESTE</t>
        </is>
      </c>
      <c r="B40" s="259" t="inlineStr">
        <is>
          <t>MG</t>
        </is>
      </c>
      <c r="C40" s="260" t="inlineStr">
        <is>
          <t>MURIAE</t>
        </is>
      </c>
      <c r="D40" s="258" t="inlineStr">
        <is>
          <t>FUNDACAO CRISTIANO VARELLA</t>
        </is>
      </c>
      <c r="E40" s="261" t="inlineStr">
        <is>
          <t>00961315000103</t>
        </is>
      </c>
      <c r="F40" s="260" t="inlineStr">
        <is>
          <t>FUNDACAO CRISTIANO VARELLA</t>
        </is>
      </c>
      <c r="G40" s="266" t="inlineStr">
        <is>
          <t>2195453</t>
        </is>
      </c>
      <c r="H40" s="206" t="n"/>
      <c r="I40" s="206" t="n"/>
      <c r="J40" s="206" t="inlineStr">
        <is>
          <t>Diagnóstico</t>
        </is>
      </c>
      <c r="K40" s="206" t="inlineStr">
        <is>
          <t>Indireta</t>
        </is>
      </c>
      <c r="L40" s="204" t="inlineStr">
        <is>
          <t>Transferegov/SEI</t>
        </is>
      </c>
      <c r="M40" s="204" t="inlineStr">
        <is>
          <t>Convênio</t>
        </is>
      </c>
      <c r="N40" s="259" t="n">
        <v>2023</v>
      </c>
      <c r="O40" s="259" t="n">
        <v>950115</v>
      </c>
      <c r="P40" s="259" t="n">
        <v>90096123004</v>
      </c>
      <c r="Q40" s="206" t="inlineStr">
        <is>
          <t>25000.177706/2023-94</t>
        </is>
      </c>
      <c r="R40" s="258" t="inlineStr">
        <is>
          <t>CENTRO DE ALTA COMPLEXIDADE EM ONCOLOGIA</t>
        </is>
      </c>
      <c r="S40" s="206" t="inlineStr">
        <is>
          <t>Ampliação</t>
        </is>
      </c>
      <c r="T40" s="260" t="inlineStr">
        <is>
          <t>Tomógrafo Computadorizado (Acima de 16 canais até 80 canais)</t>
        </is>
      </c>
      <c r="U40" s="206" t="inlineStr">
        <is>
          <t>NA</t>
        </is>
      </c>
      <c r="V40" s="206" t="n">
        <v>1</v>
      </c>
      <c r="W40" s="204" t="inlineStr">
        <is>
          <t xml:space="preserve"> UND</t>
        </is>
      </c>
      <c r="X40" s="206" t="inlineStr">
        <is>
          <t>EQUIPAMENTO</t>
        </is>
      </c>
      <c r="Y40" s="258" t="inlineStr">
        <is>
          <t>011805-Tomógrafo Computadorizado (Acima de 16 canais até 80 canais)</t>
        </is>
      </c>
      <c r="Z40" s="204" t="inlineStr">
        <is>
          <t xml:space="preserve"> NA</t>
        </is>
      </c>
      <c r="AA40" s="262" t="n">
        <v>45265</v>
      </c>
      <c r="AB40" s="262" t="n">
        <v>46275</v>
      </c>
      <c r="AC40" s="262" t="n">
        <v>46090</v>
      </c>
      <c r="AD40" s="204" t="inlineStr">
        <is>
          <t>NI</t>
        </is>
      </c>
      <c r="AE40" s="204" t="inlineStr">
        <is>
          <t>NI</t>
        </is>
      </c>
      <c r="AF40" s="204" t="inlineStr">
        <is>
          <t>NI</t>
        </is>
      </c>
      <c r="AG40" s="263" t="n">
        <v>3215250</v>
      </c>
      <c r="AH40" s="263" t="inlineStr">
        <is>
          <t>NA</t>
        </is>
      </c>
      <c r="AI40" s="262" t="n">
        <v>45251</v>
      </c>
      <c r="AJ40" s="204" t="n">
        <v>8535</v>
      </c>
      <c r="AK40" s="205" t="inlineStr">
        <is>
          <t> </t>
        </is>
      </c>
      <c r="AL40" s="205" t="inlineStr">
        <is>
          <t> </t>
        </is>
      </c>
      <c r="AM40" s="205" t="inlineStr">
        <is>
          <t> </t>
        </is>
      </c>
      <c r="AN40" s="205" t="inlineStr">
        <is>
          <t> </t>
        </is>
      </c>
      <c r="AO40" s="205" t="inlineStr">
        <is>
          <t> </t>
        </is>
      </c>
      <c r="AP40" s="205" t="inlineStr">
        <is>
          <t> </t>
        </is>
      </c>
      <c r="AQ40" s="205" t="inlineStr">
        <is>
          <t> </t>
        </is>
      </c>
      <c r="AR40" s="205" t="inlineStr">
        <is>
          <t> </t>
        </is>
      </c>
      <c r="AS40" s="205" t="inlineStr">
        <is>
          <t> </t>
        </is>
      </c>
      <c r="AT40" s="205" t="inlineStr">
        <is>
          <t> </t>
        </is>
      </c>
      <c r="AU40" s="205" t="inlineStr">
        <is>
          <t> </t>
        </is>
      </c>
      <c r="AV40" s="205" t="inlineStr">
        <is>
          <t> </t>
        </is>
      </c>
      <c r="AW40" s="205" t="inlineStr">
        <is>
          <t> </t>
        </is>
      </c>
      <c r="AX40" s="205" t="inlineStr">
        <is>
          <t> </t>
        </is>
      </c>
      <c r="AY40" s="190" t="inlineStr">
        <is>
          <t>NORMAL</t>
        </is>
      </c>
      <c r="AZ40" s="190" t="inlineStr">
        <is>
          <t>NI</t>
        </is>
      </c>
      <c r="BA40" s="190" t="inlineStr">
        <is>
          <t>NI</t>
        </is>
      </c>
      <c r="BB40" s="190" t="inlineStr">
        <is>
          <t>NI</t>
        </is>
      </c>
      <c r="BC40" s="262" t="n">
        <v>46275</v>
      </c>
      <c r="BD40" s="4" t="inlineStr">
        <is>
          <t>NI</t>
        </is>
      </c>
      <c r="BE40" s="4" t="inlineStr">
        <is>
          <t>NI</t>
        </is>
      </c>
      <c r="BF40" s="4" t="inlineStr">
        <is>
          <t>Não iniciado</t>
        </is>
      </c>
      <c r="BG40" s="10" t="inlineStr">
        <is>
          <t>NI</t>
        </is>
      </c>
      <c r="BH40" s="4" t="inlineStr">
        <is>
          <t>NI</t>
        </is>
      </c>
      <c r="BI40" s="4" t="inlineStr">
        <is>
          <t>NI</t>
        </is>
      </c>
      <c r="BJ40" s="4" t="inlineStr">
        <is>
          <t>NI</t>
        </is>
      </c>
      <c r="BK40" s="4" t="inlineStr">
        <is>
          <t>NI</t>
        </is>
      </c>
      <c r="BL40" s="143" t="inlineStr">
        <is>
          <t>NI</t>
        </is>
      </c>
      <c r="BM40" s="206" t="n"/>
      <c r="BN40" s="206" t="n"/>
      <c r="BO40" s="206" t="n"/>
      <c r="BP40" s="206" t="n"/>
      <c r="BQ40" s="206" t="n"/>
      <c r="BR40" s="206" t="n"/>
      <c r="BS40" s="206" t="n"/>
      <c r="BT40" s="191" t="inlineStr">
        <is>
          <t>NA</t>
        </is>
      </c>
      <c r="BU40" s="199" t="inlineStr">
        <is>
          <t>NA</t>
        </is>
      </c>
    </row>
    <row r="41" ht="60" customHeight="1">
      <c r="A41" s="192" t="inlineStr">
        <is>
          <t>SUDESTE</t>
        </is>
      </c>
      <c r="B41" s="193" t="inlineStr">
        <is>
          <t>RJ</t>
        </is>
      </c>
      <c r="C41" s="194" t="inlineStr">
        <is>
          <t>RIO DE JANEIRO</t>
        </is>
      </c>
      <c r="D41" s="192" t="inlineStr">
        <is>
          <t>INSTITUTO ESTADUAL DE HEMATOLOGIA ARTHUR SIQUEIRA CAVALCANTI</t>
        </is>
      </c>
      <c r="E41" s="362" t="inlineStr">
        <is>
          <t>42498717000155</t>
        </is>
      </c>
      <c r="F41" s="192" t="inlineStr">
        <is>
          <t>INSTITUTO ESTADUAL DE HEMATOLOGIA ARTHUR SIQUEIRA CAVALCANTI</t>
        </is>
      </c>
      <c r="G41" s="362" t="inlineStr">
        <is>
          <t>2295067</t>
        </is>
      </c>
      <c r="H41" s="196" t="n"/>
      <c r="I41" s="196" t="n"/>
      <c r="J41" s="192" t="inlineStr">
        <is>
          <t>Diagnóstico e apoio</t>
        </is>
      </c>
      <c r="K41" s="196" t="inlineStr">
        <is>
          <t>Indireta</t>
        </is>
      </c>
      <c r="L41" s="192" t="inlineStr">
        <is>
          <t>SEI</t>
        </is>
      </c>
      <c r="M41" s="196" t="inlineStr">
        <is>
          <t>FAF</t>
        </is>
      </c>
      <c r="N41" s="196" t="n">
        <v>2023</v>
      </c>
      <c r="O41" s="196" t="inlineStr">
        <is>
          <t>NA</t>
        </is>
      </c>
      <c r="P41" s="363" t="inlineStr">
        <is>
          <t>35949791000123030</t>
        </is>
      </c>
      <c r="Q41" s="196" t="n"/>
      <c r="R41" s="192" t="inlineStr">
        <is>
          <t>CENTRO DE ALTA COMPLEXIDADE EM ONCOLOGIA</t>
        </is>
      </c>
      <c r="S41" s="196" t="inlineStr">
        <is>
          <t>Ampliação</t>
        </is>
      </c>
      <c r="T41" s="196" t="inlineStr">
        <is>
          <t>Vários</t>
        </is>
      </c>
      <c r="U41" s="196" t="n">
        <v>38</v>
      </c>
      <c r="V41" s="196" t="inlineStr">
        <is>
          <t>NA</t>
        </is>
      </c>
      <c r="W41" s="196" t="inlineStr">
        <is>
          <t>UND</t>
        </is>
      </c>
      <c r="X41" s="196" t="inlineStr">
        <is>
          <t>EQUIPAMENTO</t>
        </is>
      </c>
      <c r="Y41" s="192" t="inlineStr">
        <is>
          <t>NA</t>
        </is>
      </c>
      <c r="Z41" s="196" t="inlineStr">
        <is>
          <t>NA</t>
        </is>
      </c>
      <c r="AA41" s="198" t="n"/>
      <c r="AB41" s="198" t="n"/>
      <c r="AC41" s="198" t="n"/>
      <c r="AD41" s="196" t="inlineStr">
        <is>
          <t>NI</t>
        </is>
      </c>
      <c r="AE41" s="196" t="inlineStr">
        <is>
          <t>NI</t>
        </is>
      </c>
      <c r="AF41" s="196" t="inlineStr">
        <is>
          <t>NI</t>
        </is>
      </c>
      <c r="AG41" s="200" t="n">
        <v>999453</v>
      </c>
      <c r="AH41" s="200" t="n">
        <v>0</v>
      </c>
      <c r="AI41" s="364" t="n">
        <v>45275</v>
      </c>
      <c r="AJ41" s="196" t="n">
        <v>8535</v>
      </c>
      <c r="AK41" s="196" t="n"/>
      <c r="AL41" s="196" t="n"/>
      <c r="AM41" s="196" t="n"/>
      <c r="AN41" s="196" t="n"/>
      <c r="AO41" s="196" t="n"/>
      <c r="AP41" s="196" t="n"/>
      <c r="AQ41" s="196" t="n"/>
      <c r="AR41" s="196" t="n"/>
      <c r="AS41" s="196" t="n"/>
      <c r="AT41" s="196" t="n"/>
      <c r="AU41" s="196" t="n"/>
      <c r="AV41" s="196" t="n"/>
      <c r="AW41" s="196" t="n"/>
      <c r="AX41" s="196" t="n"/>
      <c r="AY41" s="196" t="inlineStr">
        <is>
          <t>NI</t>
        </is>
      </c>
      <c r="AZ41" s="196" t="inlineStr">
        <is>
          <t>NI</t>
        </is>
      </c>
      <c r="BA41" s="196" t="inlineStr">
        <is>
          <t>NI</t>
        </is>
      </c>
      <c r="BB41" s="196" t="inlineStr">
        <is>
          <t>NI</t>
        </is>
      </c>
      <c r="BC41" s="198" t="n">
        <v>46466</v>
      </c>
      <c r="BD41" s="358" t="inlineStr">
        <is>
          <t>NI</t>
        </is>
      </c>
      <c r="BE41" s="358" t="inlineStr">
        <is>
          <t>NI</t>
        </is>
      </c>
      <c r="BF41" s="358" t="inlineStr">
        <is>
          <t>Não iniciado</t>
        </is>
      </c>
      <c r="BG41" s="359" t="inlineStr">
        <is>
          <t>NI</t>
        </is>
      </c>
      <c r="BH41" s="358" t="inlineStr">
        <is>
          <t>NI</t>
        </is>
      </c>
      <c r="BI41" s="358" t="inlineStr">
        <is>
          <t>NI</t>
        </is>
      </c>
      <c r="BJ41" s="358" t="inlineStr">
        <is>
          <t>NI</t>
        </is>
      </c>
      <c r="BK41" s="358" t="inlineStr">
        <is>
          <t>NI</t>
        </is>
      </c>
      <c r="BL41" s="360" t="inlineStr">
        <is>
          <t>NI</t>
        </is>
      </c>
      <c r="BM41" s="196" t="n"/>
      <c r="BN41" s="196" t="n"/>
      <c r="BO41" s="196" t="n"/>
      <c r="BP41" s="196" t="n"/>
      <c r="BQ41" s="196" t="n"/>
      <c r="BR41" s="196" t="n"/>
      <c r="BS41" s="196" t="n"/>
      <c r="BT41" s="198" t="n">
        <v>45737</v>
      </c>
      <c r="BU41" s="200" t="n">
        <v>999453</v>
      </c>
    </row>
    <row r="42" ht="60" customHeight="1">
      <c r="A42" s="186" t="inlineStr">
        <is>
          <t>SUDESTE</t>
        </is>
      </c>
      <c r="B42" s="187" t="inlineStr">
        <is>
          <t>RJ</t>
        </is>
      </c>
      <c r="C42" s="188" t="inlineStr">
        <is>
          <t>RIO DE JANEIRO</t>
        </is>
      </c>
      <c r="D42" s="186" t="inlineStr">
        <is>
          <t>INSTITUTO ESTADUAL DE HEMATOLOGIA ARTHUR SIQUEIRA CAVALCANTI</t>
        </is>
      </c>
      <c r="E42" s="189" t="inlineStr">
        <is>
          <t>42498717000155</t>
        </is>
      </c>
      <c r="F42" s="188" t="inlineStr">
        <is>
          <t>INSTITUTO ESTADUAL DE HEMATOLOGIA ARTHUR SIQUEIRA CAVALCANTI</t>
        </is>
      </c>
      <c r="G42" s="201" t="inlineStr">
        <is>
          <t>2295067</t>
        </is>
      </c>
      <c r="H42" s="190" t="n"/>
      <c r="I42" s="190" t="n"/>
      <c r="J42" s="190" t="inlineStr">
        <is>
          <t>Diagnóstico</t>
        </is>
      </c>
      <c r="K42" s="190" t="inlineStr">
        <is>
          <t>Indireta</t>
        </is>
      </c>
      <c r="L42" s="4" t="inlineStr">
        <is>
          <t>SEI</t>
        </is>
      </c>
      <c r="M42" s="4" t="inlineStr">
        <is>
          <t>FAF</t>
        </is>
      </c>
      <c r="N42" s="187" t="n">
        <v>2023</v>
      </c>
      <c r="O42" s="187" t="inlineStr">
        <is>
          <t>NA</t>
        </is>
      </c>
      <c r="P42" s="257" t="inlineStr">
        <is>
          <t>35949791000123030</t>
        </is>
      </c>
      <c r="Q42" s="190" t="n"/>
      <c r="R42" s="186" t="inlineStr">
        <is>
          <t>CENTRO DE ALTA COMPLEXIDADE EM ONCOLOGIA</t>
        </is>
      </c>
      <c r="S42" s="190" t="inlineStr">
        <is>
          <t>Ampliação</t>
        </is>
      </c>
      <c r="T42" s="188" t="inlineStr">
        <is>
          <t>Ultrassom Diagnóstico sem Aplicação Transesofágica</t>
        </is>
      </c>
      <c r="U42" s="190" t="inlineStr">
        <is>
          <t>NA</t>
        </is>
      </c>
      <c r="V42" s="190" t="n">
        <v>4</v>
      </c>
      <c r="W42" s="204" t="inlineStr">
        <is>
          <t xml:space="preserve"> UND</t>
        </is>
      </c>
      <c r="X42" s="190" t="inlineStr">
        <is>
          <t>EQUIPAMENTO</t>
        </is>
      </c>
      <c r="Y42" s="186" t="inlineStr">
        <is>
          <t>011422-Ultrassom Diagnóstico sem Aplicação Transesofágica</t>
        </is>
      </c>
      <c r="Z42" s="4" t="inlineStr">
        <is>
          <t xml:space="preserve"> NA</t>
        </is>
      </c>
      <c r="AA42" s="191" t="n"/>
      <c r="AB42" s="191" t="n"/>
      <c r="AC42" s="191" t="n"/>
      <c r="AD42" s="4" t="inlineStr">
        <is>
          <t>NI</t>
        </is>
      </c>
      <c r="AE42" s="4" t="inlineStr">
        <is>
          <t>NI</t>
        </is>
      </c>
      <c r="AF42" s="4" t="inlineStr">
        <is>
          <t>NI</t>
        </is>
      </c>
      <c r="AG42" s="199" t="inlineStr">
        <is>
          <t>NA</t>
        </is>
      </c>
      <c r="AH42" s="199" t="inlineStr">
        <is>
          <t>NA</t>
        </is>
      </c>
      <c r="AI42" s="262" t="n">
        <v>45275</v>
      </c>
      <c r="AJ42" s="204" t="n">
        <v>8535</v>
      </c>
      <c r="AK42" s="205" t="inlineStr">
        <is>
          <t> </t>
        </is>
      </c>
      <c r="AL42" s="205" t="inlineStr">
        <is>
          <t> </t>
        </is>
      </c>
      <c r="AM42" s="205" t="inlineStr">
        <is>
          <t> </t>
        </is>
      </c>
      <c r="AN42" s="205" t="inlineStr">
        <is>
          <t> </t>
        </is>
      </c>
      <c r="AO42" s="205" t="inlineStr">
        <is>
          <t> </t>
        </is>
      </c>
      <c r="AP42" s="205" t="inlineStr">
        <is>
          <t> </t>
        </is>
      </c>
      <c r="AQ42" s="205" t="inlineStr">
        <is>
          <t> </t>
        </is>
      </c>
      <c r="AR42" s="205" t="inlineStr">
        <is>
          <t> </t>
        </is>
      </c>
      <c r="AS42" s="205" t="inlineStr">
        <is>
          <t> </t>
        </is>
      </c>
      <c r="AT42" s="205" t="inlineStr">
        <is>
          <t> </t>
        </is>
      </c>
      <c r="AU42" s="205" t="inlineStr">
        <is>
          <t> </t>
        </is>
      </c>
      <c r="AV42" s="205" t="inlineStr">
        <is>
          <t> </t>
        </is>
      </c>
      <c r="AW42" s="205" t="inlineStr">
        <is>
          <t> </t>
        </is>
      </c>
      <c r="AX42" s="205" t="inlineStr">
        <is>
          <t> </t>
        </is>
      </c>
      <c r="AY42" s="190" t="inlineStr">
        <is>
          <t>NI</t>
        </is>
      </c>
      <c r="AZ42" s="190" t="inlineStr">
        <is>
          <t>NI</t>
        </is>
      </c>
      <c r="BA42" s="190" t="inlineStr">
        <is>
          <t>NI</t>
        </is>
      </c>
      <c r="BB42" s="190" t="inlineStr">
        <is>
          <t>NI</t>
        </is>
      </c>
      <c r="BC42" s="191" t="n">
        <v>46466</v>
      </c>
      <c r="BD42" s="4" t="inlineStr">
        <is>
          <t>NI</t>
        </is>
      </c>
      <c r="BE42" s="4" t="inlineStr">
        <is>
          <t>NI</t>
        </is>
      </c>
      <c r="BF42" s="4" t="inlineStr">
        <is>
          <t>Não iniciado</t>
        </is>
      </c>
      <c r="BG42" s="10" t="inlineStr">
        <is>
          <t>NI</t>
        </is>
      </c>
      <c r="BH42" s="4" t="inlineStr">
        <is>
          <t>NI</t>
        </is>
      </c>
      <c r="BI42" s="4" t="inlineStr">
        <is>
          <t>NI</t>
        </is>
      </c>
      <c r="BJ42" s="4" t="inlineStr">
        <is>
          <t>NI</t>
        </is>
      </c>
      <c r="BK42" s="4" t="inlineStr">
        <is>
          <t>NI</t>
        </is>
      </c>
      <c r="BL42" s="143" t="inlineStr">
        <is>
          <t>NI</t>
        </is>
      </c>
      <c r="BM42" s="190" t="n"/>
      <c r="BN42" s="190" t="n"/>
      <c r="BO42" s="190" t="n"/>
      <c r="BP42" s="190" t="n"/>
      <c r="BQ42" s="190" t="n"/>
      <c r="BR42" s="190" t="n"/>
      <c r="BS42" s="190" t="n"/>
      <c r="BT42" s="191" t="inlineStr">
        <is>
          <t>NA</t>
        </is>
      </c>
      <c r="BU42" s="199" t="inlineStr">
        <is>
          <t>NA</t>
        </is>
      </c>
    </row>
    <row r="43" ht="60" customFormat="1" customHeight="1" s="107">
      <c r="A43" s="211" t="inlineStr">
        <is>
          <t>SUL</t>
        </is>
      </c>
      <c r="B43" s="211" t="inlineStr">
        <is>
          <t>PR</t>
        </is>
      </c>
      <c r="C43" s="211" t="inlineStr">
        <is>
          <t>LONDRINA</t>
        </is>
      </c>
      <c r="D43" s="211" t="inlineStr">
        <is>
          <t>INSTITUTO DE CANCER DE LONDRINA</t>
        </is>
      </c>
      <c r="E43" s="214" t="inlineStr">
        <is>
          <t>78633088000176</t>
        </is>
      </c>
      <c r="F43" s="215" t="inlineStr">
        <is>
          <t>INSTITUTO DE CANCER DE LONDRINA</t>
        </is>
      </c>
      <c r="G43" s="216" t="n">
        <v>2577623</v>
      </c>
      <c r="H43" s="217" t="inlineStr">
        <is>
          <t>-23.31</t>
        </is>
      </c>
      <c r="I43" s="218" t="n">
        <v>-51163</v>
      </c>
      <c r="J43" s="211" t="inlineStr">
        <is>
          <t> </t>
        </is>
      </c>
      <c r="K43" s="211" t="inlineStr">
        <is>
          <t>Indireta</t>
        </is>
      </c>
      <c r="L43" s="211" t="inlineStr">
        <is>
          <t>Transferegov/SEI</t>
        </is>
      </c>
      <c r="M43" s="211" t="inlineStr">
        <is>
          <t>Convênio</t>
        </is>
      </c>
      <c r="N43" s="219" t="n">
        <v>2024</v>
      </c>
      <c r="O43" s="220" t="inlineStr">
        <is>
          <t>971765</t>
        </is>
      </c>
      <c r="P43" s="221" t="inlineStr">
        <is>
          <t>97863324007</t>
        </is>
      </c>
      <c r="Q43" s="214" t="inlineStr">
        <is>
          <t>25000.185747/2024-35</t>
        </is>
      </c>
      <c r="R43" s="211" t="inlineStr">
        <is>
          <t>REDE DE ATENÇÃO À PESSOA COM DOENÇAS CRÔNICAS - HOSPITAL HABILITADO NA ALTA COMPLEXIDADE EM ONCOLOGIA</t>
        </is>
      </c>
      <c r="S43" s="211" t="n"/>
      <c r="T43" s="211" t="inlineStr">
        <is>
          <t>Ressonância nuclear magnética 1.5 T</t>
        </is>
      </c>
      <c r="U43" s="211" t="inlineStr">
        <is>
          <t xml:space="preserve"> 1</t>
        </is>
      </c>
      <c r="V43" s="211" t="inlineStr">
        <is>
          <t xml:space="preserve"> NA</t>
        </is>
      </c>
      <c r="W43" s="211" t="inlineStr">
        <is>
          <t xml:space="preserve"> UND</t>
        </is>
      </c>
      <c r="X43" s="211" t="inlineStr">
        <is>
          <t>EQUIPAMENTO</t>
        </is>
      </c>
      <c r="Y43" s="211" t="inlineStr">
        <is>
          <t xml:space="preserve"> NA</t>
        </is>
      </c>
      <c r="Z43" s="211" t="inlineStr">
        <is>
          <t xml:space="preserve"> NA</t>
        </is>
      </c>
      <c r="AA43" s="222" t="inlineStr">
        <is>
          <t> </t>
        </is>
      </c>
      <c r="AB43" s="222" t="inlineStr">
        <is>
          <t> </t>
        </is>
      </c>
      <c r="AC43" s="222" t="inlineStr">
        <is>
          <t> </t>
        </is>
      </c>
      <c r="AD43" s="211" t="inlineStr">
        <is>
          <t>NI</t>
        </is>
      </c>
      <c r="AE43" s="211" t="inlineStr">
        <is>
          <t>NI</t>
        </is>
      </c>
      <c r="AF43" s="211" t="inlineStr">
        <is>
          <t>NI</t>
        </is>
      </c>
      <c r="AG43" s="223" t="n">
        <v>3999345</v>
      </c>
      <c r="AH43" s="223" t="n">
        <v>655</v>
      </c>
      <c r="AI43" s="222" t="inlineStr">
        <is>
          <t> </t>
        </is>
      </c>
      <c r="AJ43" s="211" t="n">
        <v>8535</v>
      </c>
      <c r="AK43" s="223" t="inlineStr">
        <is>
          <t> </t>
        </is>
      </c>
      <c r="AL43" s="223" t="inlineStr">
        <is>
          <t> </t>
        </is>
      </c>
      <c r="AM43" s="223" t="inlineStr">
        <is>
          <t> </t>
        </is>
      </c>
      <c r="AN43" s="223" t="inlineStr">
        <is>
          <t> </t>
        </is>
      </c>
      <c r="AO43" s="223" t="inlineStr">
        <is>
          <t> </t>
        </is>
      </c>
      <c r="AP43" s="223" t="inlineStr">
        <is>
          <t> </t>
        </is>
      </c>
      <c r="AQ43" s="223" t="inlineStr">
        <is>
          <t> </t>
        </is>
      </c>
      <c r="AR43" s="223" t="inlineStr">
        <is>
          <t> </t>
        </is>
      </c>
      <c r="AS43" s="223" t="inlineStr">
        <is>
          <t> </t>
        </is>
      </c>
      <c r="AT43" s="223" t="inlineStr">
        <is>
          <t> </t>
        </is>
      </c>
      <c r="AU43" s="223" t="inlineStr">
        <is>
          <t> </t>
        </is>
      </c>
      <c r="AV43" s="223" t="inlineStr">
        <is>
          <t> </t>
        </is>
      </c>
      <c r="AW43" s="223" t="inlineStr">
        <is>
          <t> </t>
        </is>
      </c>
      <c r="AX43" s="223" t="inlineStr">
        <is>
          <t> </t>
        </is>
      </c>
      <c r="AY43" s="210" t="inlineStr">
        <is>
          <t>EM EXECUÇÃO</t>
        </is>
      </c>
      <c r="AZ43" s="210" t="inlineStr">
        <is>
          <t>NI</t>
        </is>
      </c>
      <c r="BA43" s="210" t="inlineStr">
        <is>
          <t>NI</t>
        </is>
      </c>
      <c r="BB43" s="210" t="inlineStr">
        <is>
          <t>NI</t>
        </is>
      </c>
      <c r="BC43" s="224" t="inlineStr">
        <is>
          <t>NA</t>
        </is>
      </c>
      <c r="BD43" s="211" t="inlineStr">
        <is>
          <t>NA</t>
        </is>
      </c>
      <c r="BE43" s="211" t="inlineStr">
        <is>
          <t>NA</t>
        </is>
      </c>
      <c r="BF43" s="211" t="inlineStr">
        <is>
          <t>NA</t>
        </is>
      </c>
      <c r="BG43" s="225" t="inlineStr">
        <is>
          <t>NA</t>
        </is>
      </c>
      <c r="BH43" s="211" t="inlineStr">
        <is>
          <t>NA</t>
        </is>
      </c>
      <c r="BI43" s="211" t="inlineStr">
        <is>
          <t>NA</t>
        </is>
      </c>
      <c r="BJ43" s="211" t="inlineStr">
        <is>
          <t>NA</t>
        </is>
      </c>
      <c r="BK43" s="211" t="inlineStr">
        <is>
          <t>NA</t>
        </is>
      </c>
      <c r="BL43" s="219" t="inlineStr">
        <is>
          <t>NA</t>
        </is>
      </c>
      <c r="BM43" s="811" t="n"/>
      <c r="BN43" s="811" t="n"/>
      <c r="BO43" s="811" t="n"/>
      <c r="BP43" s="811" t="n"/>
      <c r="BQ43" s="811" t="n"/>
      <c r="BR43" s="811" t="n"/>
      <c r="BS43" s="811" t="n"/>
      <c r="BT43" s="222" t="inlineStr">
        <is>
          <t>NA</t>
        </is>
      </c>
      <c r="BU43" s="223" t="inlineStr">
        <is>
          <t>NA</t>
        </is>
      </c>
      <c r="BV43" s="808" t="n"/>
      <c r="BW43" s="808" t="n"/>
      <c r="BX43" s="808" t="n"/>
      <c r="BY43" s="808" t="n"/>
      <c r="BZ43" s="808" t="n"/>
      <c r="CA43" s="808" t="n"/>
      <c r="CB43" s="808" t="n"/>
      <c r="CC43" s="808" t="n"/>
      <c r="CD43" s="808" t="n"/>
      <c r="CE43" s="808" t="n"/>
      <c r="CF43" s="808" t="n"/>
      <c r="CG43" s="808" t="n"/>
      <c r="CH43" s="808" t="n"/>
      <c r="CI43" s="808" t="n"/>
      <c r="CJ43" s="808" t="n"/>
      <c r="CK43" s="808" t="n"/>
      <c r="CL43" s="808" t="n"/>
      <c r="CM43" s="808" t="n"/>
      <c r="CN43" s="808" t="n"/>
      <c r="CO43" s="808" t="n"/>
      <c r="CP43" s="808" t="n"/>
      <c r="CQ43" s="808" t="n"/>
      <c r="CR43" s="808" t="n"/>
      <c r="CS43" s="808" t="n"/>
      <c r="CT43" s="808" t="n"/>
    </row>
    <row r="44" ht="60" customFormat="1" customHeight="1" s="237">
      <c r="A44" s="28" t="inlineStr">
        <is>
          <t>SUL</t>
        </is>
      </c>
      <c r="B44" s="28" t="inlineStr">
        <is>
          <t>RS</t>
        </is>
      </c>
      <c r="C44" s="28" t="inlineStr">
        <is>
          <t>IJUI</t>
        </is>
      </c>
      <c r="D44" s="28" t="inlineStr">
        <is>
          <t>ASSOCIACAO HOSPITAL DE CARIDADE IJUI</t>
        </is>
      </c>
      <c r="E44" s="85" t="inlineStr">
        <is>
          <t>90730508000138</t>
        </is>
      </c>
      <c r="F44" s="226" t="inlineStr">
        <is>
          <t>ASSOCIACAO HOSPITAL DE CARIDADE IJUI</t>
        </is>
      </c>
      <c r="G44" s="227" t="n">
        <v>2261057</v>
      </c>
      <c r="H44" s="228" t="n">
        <v>-2.8393854323905e+16</v>
      </c>
      <c r="I44" s="229" t="n">
        <v>-5391008377075190</v>
      </c>
      <c r="J44" s="28" t="inlineStr">
        <is>
          <t> </t>
        </is>
      </c>
      <c r="K44" s="28" t="inlineStr">
        <is>
          <t>Indireta</t>
        </is>
      </c>
      <c r="L44" s="28" t="inlineStr">
        <is>
          <t>Transferegov/SEI</t>
        </is>
      </c>
      <c r="M44" s="28" t="inlineStr">
        <is>
          <t>Convênio</t>
        </is>
      </c>
      <c r="N44" s="230" t="n">
        <v>2024</v>
      </c>
      <c r="O44" s="231" t="inlineStr">
        <is>
          <t xml:space="preserve"> NI</t>
        </is>
      </c>
      <c r="P44" s="232" t="inlineStr">
        <is>
          <t>99073024011</t>
        </is>
      </c>
      <c r="Q44" s="231" t="inlineStr">
        <is>
          <t>25000.117607/2024-34</t>
        </is>
      </c>
      <c r="R44" s="28" t="inlineStr">
        <is>
          <t>REDE DE ATENÇÃO À PESSOA COM DOENÇAS CRÔNICAS - HOSPITAL HABILITADO NA ALTA COMPLEXIDADE EM ONCOLOGIA</t>
        </is>
      </c>
      <c r="S44" s="28" t="n"/>
      <c r="T44" s="28" t="inlineStr">
        <is>
          <t>Tomógrafo</t>
        </is>
      </c>
      <c r="U44" s="28" t="inlineStr">
        <is>
          <t xml:space="preserve"> 1</t>
        </is>
      </c>
      <c r="V44" s="28" t="inlineStr">
        <is>
          <t xml:space="preserve"> NA</t>
        </is>
      </c>
      <c r="W44" s="28" t="inlineStr">
        <is>
          <t xml:space="preserve"> UND</t>
        </is>
      </c>
      <c r="X44" s="28" t="inlineStr">
        <is>
          <t>EQUIPAMENTO</t>
        </is>
      </c>
      <c r="Y44" s="28" t="inlineStr">
        <is>
          <t xml:space="preserve"> NA</t>
        </is>
      </c>
      <c r="Z44" s="211" t="inlineStr">
        <is>
          <t xml:space="preserve"> NA</t>
        </is>
      </c>
      <c r="AA44" s="102" t="inlineStr">
        <is>
          <t> </t>
        </is>
      </c>
      <c r="AB44" s="102" t="inlineStr">
        <is>
          <t> </t>
        </is>
      </c>
      <c r="AC44" s="102" t="inlineStr">
        <is>
          <t> </t>
        </is>
      </c>
      <c r="AD44" s="211" t="inlineStr">
        <is>
          <t>NI</t>
        </is>
      </c>
      <c r="AE44" s="211" t="inlineStr">
        <is>
          <t>NI</t>
        </is>
      </c>
      <c r="AF44" s="211" t="inlineStr">
        <is>
          <t>NI</t>
        </is>
      </c>
      <c r="AG44" s="223" t="n"/>
      <c r="AH44" s="223" t="n"/>
      <c r="AI44" s="102" t="inlineStr">
        <is>
          <t> </t>
        </is>
      </c>
      <c r="AJ44" s="28" t="n">
        <v>8535</v>
      </c>
      <c r="AK44" s="233" t="inlineStr">
        <is>
          <t> </t>
        </is>
      </c>
      <c r="AL44" s="233" t="inlineStr">
        <is>
          <t> </t>
        </is>
      </c>
      <c r="AM44" s="233" t="inlineStr">
        <is>
          <t> </t>
        </is>
      </c>
      <c r="AN44" s="233" t="inlineStr">
        <is>
          <t> </t>
        </is>
      </c>
      <c r="AO44" s="233" t="inlineStr">
        <is>
          <t> </t>
        </is>
      </c>
      <c r="AP44" s="233" t="inlineStr">
        <is>
          <t> </t>
        </is>
      </c>
      <c r="AQ44" s="233" t="inlineStr">
        <is>
          <t> </t>
        </is>
      </c>
      <c r="AR44" s="233" t="inlineStr">
        <is>
          <t> </t>
        </is>
      </c>
      <c r="AS44" s="233" t="inlineStr">
        <is>
          <t> </t>
        </is>
      </c>
      <c r="AT44" s="233" t="inlineStr">
        <is>
          <t> </t>
        </is>
      </c>
      <c r="AU44" s="233" t="inlineStr">
        <is>
          <t> </t>
        </is>
      </c>
      <c r="AV44" s="233" t="inlineStr">
        <is>
          <t> </t>
        </is>
      </c>
      <c r="AW44" s="233" t="inlineStr">
        <is>
          <t> </t>
        </is>
      </c>
      <c r="AX44" s="233" t="inlineStr">
        <is>
          <t> </t>
        </is>
      </c>
      <c r="AY44" s="210" t="inlineStr">
        <is>
          <t>NI</t>
        </is>
      </c>
      <c r="AZ44" s="210" t="inlineStr">
        <is>
          <t>NI</t>
        </is>
      </c>
      <c r="BA44" s="210" t="inlineStr">
        <is>
          <t>NI</t>
        </is>
      </c>
      <c r="BB44" s="210" t="inlineStr">
        <is>
          <t>NI</t>
        </is>
      </c>
      <c r="BC44" s="234" t="inlineStr">
        <is>
          <t>NA</t>
        </is>
      </c>
      <c r="BD44" s="28" t="inlineStr">
        <is>
          <t>NA</t>
        </is>
      </c>
      <c r="BE44" s="28" t="inlineStr">
        <is>
          <t>NA</t>
        </is>
      </c>
      <c r="BF44" s="28" t="inlineStr">
        <is>
          <t>NA</t>
        </is>
      </c>
      <c r="BG44" s="235" t="inlineStr">
        <is>
          <t>NA</t>
        </is>
      </c>
      <c r="BH44" s="28" t="inlineStr">
        <is>
          <t>NA</t>
        </is>
      </c>
      <c r="BI44" s="28" t="inlineStr">
        <is>
          <t>NA</t>
        </is>
      </c>
      <c r="BJ44" s="28" t="inlineStr">
        <is>
          <t>NA</t>
        </is>
      </c>
      <c r="BK44" s="28" t="inlineStr">
        <is>
          <t>NA</t>
        </is>
      </c>
      <c r="BL44" s="230" t="inlineStr">
        <is>
          <t>NA</t>
        </is>
      </c>
      <c r="BM44" s="93" t="n"/>
      <c r="BN44" s="93" t="n"/>
      <c r="BO44" s="93" t="n"/>
      <c r="BP44" s="93" t="n"/>
      <c r="BQ44" s="93" t="n"/>
      <c r="BR44" s="93" t="n"/>
      <c r="BS44" s="93" t="n"/>
      <c r="BT44" s="236" t="n"/>
      <c r="BU44" s="223" t="n"/>
    </row>
    <row r="45" ht="60" customFormat="1" customHeight="1" s="237">
      <c r="A45" s="28" t="inlineStr">
        <is>
          <t>SUL</t>
        </is>
      </c>
      <c r="B45" s="28" t="inlineStr">
        <is>
          <t>RS</t>
        </is>
      </c>
      <c r="C45" s="28" t="inlineStr">
        <is>
          <t>PASSO FUNDO</t>
        </is>
      </c>
      <c r="D45" s="28" t="inlineStr">
        <is>
          <t>ASSOCIACAO HOSPITALAR BENEFICENTE SAO VICENTE DE PAULO</t>
        </is>
      </c>
      <c r="E45" s="85" t="inlineStr">
        <is>
          <t>92021062000106</t>
        </is>
      </c>
      <c r="F45" s="226" t="inlineStr">
        <is>
          <t xml:space="preserve">ASSOCIACAO HOSPITALAR BENEFICENTE SAO VICENTE DE PAULO </t>
        </is>
      </c>
      <c r="G45" s="227" t="n">
        <v>2246988</v>
      </c>
      <c r="H45" s="228" t="n">
        <v>-2825925650784890</v>
      </c>
      <c r="I45" s="229" t="n">
        <v>-5241424798965450</v>
      </c>
      <c r="J45" s="28" t="inlineStr">
        <is>
          <t> </t>
        </is>
      </c>
      <c r="K45" s="28" t="inlineStr">
        <is>
          <t>Indireta</t>
        </is>
      </c>
      <c r="L45" s="28" t="inlineStr">
        <is>
          <t>Transferegov/SEI</t>
        </is>
      </c>
      <c r="M45" s="28" t="inlineStr">
        <is>
          <t>Convênio</t>
        </is>
      </c>
      <c r="N45" s="28" t="n">
        <v>2024</v>
      </c>
      <c r="O45" s="238" t="inlineStr">
        <is>
          <t xml:space="preserve"> NI</t>
        </is>
      </c>
      <c r="P45" s="85" t="inlineStr">
        <is>
          <t>99202124002</t>
        </is>
      </c>
      <c r="Q45" s="85" t="inlineStr">
        <is>
          <t>25000.117614/2024-36</t>
        </is>
      </c>
      <c r="R45" s="28" t="inlineStr">
        <is>
          <t>REDE DE ATENÇÃO À PESSOA COM DOENÇAS CRÔNICAS - HOSPITAL HABILITADO NA ALTA COMPLEXIDADE EM ONCOLOGIA</t>
        </is>
      </c>
      <c r="S45" s="28" t="n"/>
      <c r="T45" s="28" t="inlineStr">
        <is>
          <t>Ultrassom diagnóstico sem aplicação trasesofágica</t>
        </is>
      </c>
      <c r="U45" s="28" t="inlineStr">
        <is>
          <t xml:space="preserve"> 1</t>
        </is>
      </c>
      <c r="V45" s="28" t="inlineStr">
        <is>
          <t xml:space="preserve"> NA</t>
        </is>
      </c>
      <c r="W45" s="28" t="inlineStr">
        <is>
          <t xml:space="preserve"> UND</t>
        </is>
      </c>
      <c r="X45" s="28" t="inlineStr">
        <is>
          <t>EQUIPAMENTO</t>
        </is>
      </c>
      <c r="Y45" s="28" t="inlineStr">
        <is>
          <t xml:space="preserve"> NA</t>
        </is>
      </c>
      <c r="Z45" s="211" t="inlineStr">
        <is>
          <t xml:space="preserve"> NA</t>
        </is>
      </c>
      <c r="AA45" s="102" t="inlineStr">
        <is>
          <t> </t>
        </is>
      </c>
      <c r="AB45" s="102" t="inlineStr">
        <is>
          <t> </t>
        </is>
      </c>
      <c r="AC45" s="102" t="inlineStr">
        <is>
          <t> </t>
        </is>
      </c>
      <c r="AD45" s="211" t="inlineStr">
        <is>
          <t>NI</t>
        </is>
      </c>
      <c r="AE45" s="211" t="inlineStr">
        <is>
          <t>NI</t>
        </is>
      </c>
      <c r="AF45" s="211" t="inlineStr">
        <is>
          <t>NI</t>
        </is>
      </c>
      <c r="AG45" s="223" t="n"/>
      <c r="AH45" s="223" t="n"/>
      <c r="AI45" s="102" t="inlineStr">
        <is>
          <t> </t>
        </is>
      </c>
      <c r="AJ45" s="28" t="n">
        <v>8535</v>
      </c>
      <c r="AK45" s="233" t="inlineStr">
        <is>
          <t> </t>
        </is>
      </c>
      <c r="AL45" s="233" t="inlineStr">
        <is>
          <t> </t>
        </is>
      </c>
      <c r="AM45" s="233" t="inlineStr">
        <is>
          <t> </t>
        </is>
      </c>
      <c r="AN45" s="233" t="inlineStr">
        <is>
          <t> </t>
        </is>
      </c>
      <c r="AO45" s="233" t="inlineStr">
        <is>
          <t> </t>
        </is>
      </c>
      <c r="AP45" s="233" t="inlineStr">
        <is>
          <t> </t>
        </is>
      </c>
      <c r="AQ45" s="233" t="inlineStr">
        <is>
          <t> </t>
        </is>
      </c>
      <c r="AR45" s="233" t="inlineStr">
        <is>
          <t> </t>
        </is>
      </c>
      <c r="AS45" s="233" t="inlineStr">
        <is>
          <t> </t>
        </is>
      </c>
      <c r="AT45" s="233" t="inlineStr">
        <is>
          <t> </t>
        </is>
      </c>
      <c r="AU45" s="233" t="inlineStr">
        <is>
          <t> </t>
        </is>
      </c>
      <c r="AV45" s="233" t="inlineStr">
        <is>
          <t> </t>
        </is>
      </c>
      <c r="AW45" s="233" t="inlineStr">
        <is>
          <t> </t>
        </is>
      </c>
      <c r="AX45" s="233" t="inlineStr">
        <is>
          <t> </t>
        </is>
      </c>
      <c r="AY45" s="210" t="inlineStr">
        <is>
          <t>NI</t>
        </is>
      </c>
      <c r="AZ45" s="210" t="inlineStr">
        <is>
          <t>NI</t>
        </is>
      </c>
      <c r="BA45" s="210" t="inlineStr">
        <is>
          <t>NI</t>
        </is>
      </c>
      <c r="BB45" s="210" t="inlineStr">
        <is>
          <t>NI</t>
        </is>
      </c>
      <c r="BC45" s="234" t="inlineStr">
        <is>
          <t>NA</t>
        </is>
      </c>
      <c r="BD45" s="28" t="inlineStr">
        <is>
          <t>NA</t>
        </is>
      </c>
      <c r="BE45" s="28" t="inlineStr">
        <is>
          <t>NA</t>
        </is>
      </c>
      <c r="BF45" s="28" t="inlineStr">
        <is>
          <t>NA</t>
        </is>
      </c>
      <c r="BG45" s="235" t="inlineStr">
        <is>
          <t>NA</t>
        </is>
      </c>
      <c r="BH45" s="28" t="inlineStr">
        <is>
          <t>NA</t>
        </is>
      </c>
      <c r="BI45" s="28" t="inlineStr">
        <is>
          <t>NA</t>
        </is>
      </c>
      <c r="BJ45" s="28" t="inlineStr">
        <is>
          <t>NA</t>
        </is>
      </c>
      <c r="BK45" s="28" t="inlineStr">
        <is>
          <t>NA</t>
        </is>
      </c>
      <c r="BL45" s="230" t="inlineStr">
        <is>
          <t>NA</t>
        </is>
      </c>
      <c r="BM45" s="93" t="n"/>
      <c r="BN45" s="93" t="n"/>
      <c r="BO45" s="93" t="n"/>
      <c r="BP45" s="93" t="n"/>
      <c r="BQ45" s="93" t="n"/>
      <c r="BR45" s="93" t="n"/>
      <c r="BS45" s="93" t="n"/>
      <c r="BT45" s="102" t="n"/>
      <c r="BU45" s="223" t="n"/>
    </row>
    <row r="46" ht="60" customFormat="1" customHeight="1" s="107">
      <c r="A46" s="211" t="inlineStr">
        <is>
          <t>NORDESTE</t>
        </is>
      </c>
      <c r="B46" s="211" t="inlineStr">
        <is>
          <t>BA</t>
        </is>
      </c>
      <c r="C46" s="211" t="inlineStr">
        <is>
          <t>SALVADOR</t>
        </is>
      </c>
      <c r="D46" s="211" t="inlineStr">
        <is>
          <t>GRUPO DE APOIO A CRIANCA COM CANCER - BAHIA</t>
        </is>
      </c>
      <c r="E46" s="220" t="inlineStr">
        <is>
          <t>32605917000106</t>
        </is>
      </c>
      <c r="F46" s="239" t="inlineStr">
        <is>
          <t>GRUPO DE APOIO A CRIANCA COM CANCER BAHIA</t>
        </is>
      </c>
      <c r="G46" s="240" t="n">
        <v>3966445</v>
      </c>
      <c r="H46" s="241" t="n">
        <v>-129366815</v>
      </c>
      <c r="I46" s="218" t="n">
        <v>-384245897</v>
      </c>
      <c r="J46" s="211" t="inlineStr">
        <is>
          <t> </t>
        </is>
      </c>
      <c r="K46" s="211" t="inlineStr">
        <is>
          <t>Indireta</t>
        </is>
      </c>
      <c r="L46" s="211" t="inlineStr">
        <is>
          <t>Transferegov/SEI</t>
        </is>
      </c>
      <c r="M46" s="211" t="inlineStr">
        <is>
          <t>Convênio</t>
        </is>
      </c>
      <c r="N46" s="211" t="n">
        <v>2024</v>
      </c>
      <c r="O46" s="242" t="inlineStr">
        <is>
          <t>972703</t>
        </is>
      </c>
      <c r="P46" s="214" t="inlineStr">
        <is>
          <t>93260524003</t>
        </is>
      </c>
      <c r="Q46" s="221" t="inlineStr">
        <is>
          <t>25000.193585/2024-17</t>
        </is>
      </c>
      <c r="R46" s="211" t="inlineStr">
        <is>
          <t>REDE DE ATENÇÃO À PESSOA COM DOENÇAS CRÔNICAS - AMBULATÓRIO PARA DIAGNÓSTICO EM ONCOLOGIA</t>
        </is>
      </c>
      <c r="S46" s="211" t="n"/>
      <c r="T46" s="211" t="inlineStr">
        <is>
          <t> </t>
        </is>
      </c>
      <c r="U46" s="211" t="inlineStr">
        <is>
          <t xml:space="preserve"> 3</t>
        </is>
      </c>
      <c r="V46" s="211" t="inlineStr">
        <is>
          <t xml:space="preserve"> NA</t>
        </is>
      </c>
      <c r="W46" s="211" t="inlineStr">
        <is>
          <t xml:space="preserve"> UND</t>
        </is>
      </c>
      <c r="X46" s="211" t="inlineStr">
        <is>
          <t>EQUIPAMENTO</t>
        </is>
      </c>
      <c r="Y46" s="211" t="inlineStr">
        <is>
          <t xml:space="preserve"> NA</t>
        </is>
      </c>
      <c r="Z46" s="211" t="inlineStr">
        <is>
          <t xml:space="preserve"> NA</t>
        </is>
      </c>
      <c r="AA46" s="222" t="inlineStr">
        <is>
          <t> </t>
        </is>
      </c>
      <c r="AB46" s="222" t="inlineStr">
        <is>
          <t> </t>
        </is>
      </c>
      <c r="AC46" s="222" t="inlineStr">
        <is>
          <t> </t>
        </is>
      </c>
      <c r="AD46" s="211" t="inlineStr">
        <is>
          <t>NI</t>
        </is>
      </c>
      <c r="AE46" s="211" t="inlineStr">
        <is>
          <t>NI</t>
        </is>
      </c>
      <c r="AF46" s="211" t="inlineStr">
        <is>
          <t>NI</t>
        </is>
      </c>
      <c r="AG46" s="223" t="n">
        <v>20</v>
      </c>
      <c r="AH46" s="223" t="n">
        <v>0</v>
      </c>
      <c r="AI46" s="222" t="inlineStr">
        <is>
          <t> </t>
        </is>
      </c>
      <c r="AJ46" s="211" t="n">
        <v>8535</v>
      </c>
      <c r="AK46" s="223" t="inlineStr">
        <is>
          <t> </t>
        </is>
      </c>
      <c r="AL46" s="223" t="inlineStr">
        <is>
          <t> </t>
        </is>
      </c>
      <c r="AM46" s="223" t="inlineStr">
        <is>
          <t> </t>
        </is>
      </c>
      <c r="AN46" s="223" t="inlineStr">
        <is>
          <t> </t>
        </is>
      </c>
      <c r="AO46" s="223" t="inlineStr">
        <is>
          <t> </t>
        </is>
      </c>
      <c r="AP46" s="223" t="inlineStr">
        <is>
          <t> </t>
        </is>
      </c>
      <c r="AQ46" s="223" t="inlineStr">
        <is>
          <t> </t>
        </is>
      </c>
      <c r="AR46" s="223" t="inlineStr">
        <is>
          <t> </t>
        </is>
      </c>
      <c r="AS46" s="223" t="inlineStr">
        <is>
          <t> </t>
        </is>
      </c>
      <c r="AT46" s="223" t="inlineStr">
        <is>
          <t> </t>
        </is>
      </c>
      <c r="AU46" s="223" t="inlineStr">
        <is>
          <t> </t>
        </is>
      </c>
      <c r="AV46" s="223" t="inlineStr">
        <is>
          <t> </t>
        </is>
      </c>
      <c r="AW46" s="223" t="inlineStr">
        <is>
          <t> </t>
        </is>
      </c>
      <c r="AX46" s="223" t="inlineStr">
        <is>
          <t> </t>
        </is>
      </c>
      <c r="AY46" s="210" t="inlineStr">
        <is>
          <t>EM EXECUÇÃO</t>
        </is>
      </c>
      <c r="AZ46" s="210" t="inlineStr">
        <is>
          <t>NI</t>
        </is>
      </c>
      <c r="BA46" s="210" t="inlineStr">
        <is>
          <t>NI</t>
        </is>
      </c>
      <c r="BB46" s="210" t="inlineStr">
        <is>
          <t>NI</t>
        </is>
      </c>
      <c r="BC46" s="224" t="inlineStr">
        <is>
          <t>NA</t>
        </is>
      </c>
      <c r="BD46" s="211" t="inlineStr">
        <is>
          <t>NA</t>
        </is>
      </c>
      <c r="BE46" s="211" t="inlineStr">
        <is>
          <t>NA</t>
        </is>
      </c>
      <c r="BF46" s="211" t="inlineStr">
        <is>
          <t>NA</t>
        </is>
      </c>
      <c r="BG46" s="225" t="inlineStr">
        <is>
          <t>NA</t>
        </is>
      </c>
      <c r="BH46" s="211" t="inlineStr">
        <is>
          <t>NA</t>
        </is>
      </c>
      <c r="BI46" s="211" t="inlineStr">
        <is>
          <t>NA</t>
        </is>
      </c>
      <c r="BJ46" s="211" t="inlineStr">
        <is>
          <t>NA</t>
        </is>
      </c>
      <c r="BK46" s="211" t="inlineStr">
        <is>
          <t>NA</t>
        </is>
      </c>
      <c r="BL46" s="219" t="inlineStr">
        <is>
          <t>NA</t>
        </is>
      </c>
      <c r="BM46" s="811" t="n"/>
      <c r="BN46" s="811" t="n"/>
      <c r="BO46" s="811" t="n"/>
      <c r="BP46" s="811" t="n"/>
      <c r="BQ46" s="811" t="n"/>
      <c r="BR46" s="811" t="n"/>
      <c r="BS46" s="811" t="n"/>
      <c r="BT46" s="222" t="inlineStr">
        <is>
          <t>NA</t>
        </is>
      </c>
      <c r="BU46" s="223" t="n">
        <v>0</v>
      </c>
      <c r="BV46" s="808" t="n"/>
      <c r="BW46" s="808" t="n"/>
      <c r="BX46" s="808" t="n"/>
      <c r="BY46" s="808" t="n"/>
      <c r="BZ46" s="808" t="n"/>
      <c r="CA46" s="808" t="n"/>
      <c r="CB46" s="808" t="n"/>
      <c r="CC46" s="808" t="n"/>
      <c r="CD46" s="808" t="n"/>
      <c r="CE46" s="808" t="n"/>
      <c r="CF46" s="808" t="n"/>
      <c r="CG46" s="808" t="n"/>
      <c r="CH46" s="808" t="n"/>
      <c r="CI46" s="808" t="n"/>
      <c r="CJ46" s="808" t="n"/>
      <c r="CK46" s="808" t="n"/>
      <c r="CL46" s="808" t="n"/>
      <c r="CM46" s="808" t="n"/>
      <c r="CN46" s="808" t="n"/>
      <c r="CO46" s="808" t="n"/>
      <c r="CP46" s="808" t="n"/>
      <c r="CQ46" s="808" t="n"/>
      <c r="CR46" s="808" t="n"/>
      <c r="CS46" s="808" t="n"/>
      <c r="CT46" s="808" t="n"/>
    </row>
    <row r="47" ht="60" customFormat="1" customHeight="1" s="107">
      <c r="A47" s="211" t="inlineStr">
        <is>
          <t>NORDESTE</t>
        </is>
      </c>
      <c r="B47" s="211" t="inlineStr">
        <is>
          <t>BA</t>
        </is>
      </c>
      <c r="C47" s="211" t="inlineStr">
        <is>
          <t>SALVADOR</t>
        </is>
      </c>
      <c r="D47" s="211" t="inlineStr">
        <is>
          <t>LIGA BAHIANA CONTRA O CANCER</t>
        </is>
      </c>
      <c r="E47" s="214" t="inlineStr">
        <is>
          <t>15180961000100</t>
        </is>
      </c>
      <c r="F47" s="239" t="inlineStr">
        <is>
          <t xml:space="preserve">LIGA BAHIANA CONTRA O CANCER </t>
        </is>
      </c>
      <c r="G47" s="240" t="n">
        <v>3786</v>
      </c>
      <c r="H47" s="241" t="n">
        <v>-129861396</v>
      </c>
      <c r="I47" s="218" t="n">
        <v>-384923837</v>
      </c>
      <c r="J47" s="211" t="inlineStr">
        <is>
          <t> </t>
        </is>
      </c>
      <c r="K47" s="211" t="inlineStr">
        <is>
          <t>Indireta</t>
        </is>
      </c>
      <c r="L47" s="211" t="inlineStr">
        <is>
          <t>Transferegov/SEI</t>
        </is>
      </c>
      <c r="M47" s="211" t="inlineStr">
        <is>
          <t>Convênio</t>
        </is>
      </c>
      <c r="N47" s="211" t="n">
        <v>2024</v>
      </c>
      <c r="O47" s="242" t="inlineStr">
        <is>
          <t>969171</t>
        </is>
      </c>
      <c r="P47" s="214" t="inlineStr">
        <is>
          <t>91518024002</t>
        </is>
      </c>
      <c r="Q47" s="221" t="inlineStr">
        <is>
          <t>25000.136789/2024-42</t>
        </is>
      </c>
      <c r="R47" s="211" t="inlineStr">
        <is>
          <t>REDE DE ATENÇÃO À PESSOA COM DOENÇAS CRÔNICAS - HOSPITAL HABILITADO NA ALTA COMPLEXIDADE EM ONCOLOGIA</t>
        </is>
      </c>
      <c r="S47" s="211" t="n"/>
      <c r="T47" s="211" t="inlineStr">
        <is>
          <t> </t>
        </is>
      </c>
      <c r="U47" s="211" t="inlineStr">
        <is>
          <t xml:space="preserve"> 2</t>
        </is>
      </c>
      <c r="V47" s="211" t="inlineStr">
        <is>
          <t xml:space="preserve"> NA</t>
        </is>
      </c>
      <c r="W47" s="211" t="inlineStr">
        <is>
          <t xml:space="preserve"> UND</t>
        </is>
      </c>
      <c r="X47" s="211" t="inlineStr">
        <is>
          <t>EQUIPAMENTO</t>
        </is>
      </c>
      <c r="Y47" s="211" t="inlineStr">
        <is>
          <t xml:space="preserve"> NA</t>
        </is>
      </c>
      <c r="Z47" s="211" t="inlineStr">
        <is>
          <t xml:space="preserve"> NA</t>
        </is>
      </c>
      <c r="AA47" s="222" t="inlineStr">
        <is>
          <t> </t>
        </is>
      </c>
      <c r="AB47" s="222" t="inlineStr">
        <is>
          <t> </t>
        </is>
      </c>
      <c r="AC47" s="222" t="inlineStr">
        <is>
          <t> </t>
        </is>
      </c>
      <c r="AD47" s="211" t="inlineStr">
        <is>
          <t>NI</t>
        </is>
      </c>
      <c r="AE47" s="211" t="inlineStr">
        <is>
          <t>NI</t>
        </is>
      </c>
      <c r="AF47" s="211" t="inlineStr">
        <is>
          <t>NI</t>
        </is>
      </c>
      <c r="AG47" s="223" t="n">
        <v>1100000</v>
      </c>
      <c r="AH47" s="223" t="n">
        <v>44464</v>
      </c>
      <c r="AI47" s="222" t="inlineStr">
        <is>
          <t> </t>
        </is>
      </c>
      <c r="AJ47" s="211" t="n">
        <v>8535</v>
      </c>
      <c r="AK47" s="223" t="inlineStr">
        <is>
          <t> </t>
        </is>
      </c>
      <c r="AL47" s="223" t="inlineStr">
        <is>
          <t> </t>
        </is>
      </c>
      <c r="AM47" s="223" t="inlineStr">
        <is>
          <t> </t>
        </is>
      </c>
      <c r="AN47" s="223" t="inlineStr">
        <is>
          <t> </t>
        </is>
      </c>
      <c r="AO47" s="223" t="inlineStr">
        <is>
          <t> </t>
        </is>
      </c>
      <c r="AP47" s="223" t="inlineStr">
        <is>
          <t> </t>
        </is>
      </c>
      <c r="AQ47" s="223" t="inlineStr">
        <is>
          <t> </t>
        </is>
      </c>
      <c r="AR47" s="223" t="inlineStr">
        <is>
          <t> </t>
        </is>
      </c>
      <c r="AS47" s="223" t="inlineStr">
        <is>
          <t> </t>
        </is>
      </c>
      <c r="AT47" s="223" t="inlineStr">
        <is>
          <t> </t>
        </is>
      </c>
      <c r="AU47" s="223" t="inlineStr">
        <is>
          <t> </t>
        </is>
      </c>
      <c r="AV47" s="223" t="inlineStr">
        <is>
          <t> </t>
        </is>
      </c>
      <c r="AW47" s="223" t="inlineStr">
        <is>
          <t> </t>
        </is>
      </c>
      <c r="AX47" s="223" t="inlineStr">
        <is>
          <t> </t>
        </is>
      </c>
      <c r="AY47" s="210" t="inlineStr">
        <is>
          <t>EM EXECUÇÃO</t>
        </is>
      </c>
      <c r="AZ47" s="210" t="inlineStr">
        <is>
          <t>NI</t>
        </is>
      </c>
      <c r="BA47" s="210" t="inlineStr">
        <is>
          <t>NI</t>
        </is>
      </c>
      <c r="BB47" s="210" t="inlineStr">
        <is>
          <t>NI</t>
        </is>
      </c>
      <c r="BC47" s="224" t="inlineStr">
        <is>
          <t>NA</t>
        </is>
      </c>
      <c r="BD47" s="211" t="inlineStr">
        <is>
          <t>NA</t>
        </is>
      </c>
      <c r="BE47" s="211" t="inlineStr">
        <is>
          <t>NA</t>
        </is>
      </c>
      <c r="BF47" s="211" t="inlineStr">
        <is>
          <t>NA</t>
        </is>
      </c>
      <c r="BG47" s="225" t="inlineStr">
        <is>
          <t>NA</t>
        </is>
      </c>
      <c r="BH47" s="211" t="inlineStr">
        <is>
          <t>NA</t>
        </is>
      </c>
      <c r="BI47" s="211" t="inlineStr">
        <is>
          <t>NA</t>
        </is>
      </c>
      <c r="BJ47" s="211" t="inlineStr">
        <is>
          <t>NA</t>
        </is>
      </c>
      <c r="BK47" s="211" t="inlineStr">
        <is>
          <t>NA</t>
        </is>
      </c>
      <c r="BL47" s="219" t="inlineStr">
        <is>
          <t>NA</t>
        </is>
      </c>
      <c r="BM47" s="811" t="n"/>
      <c r="BN47" s="811" t="n"/>
      <c r="BO47" s="811" t="n"/>
      <c r="BP47" s="811" t="n"/>
      <c r="BQ47" s="811" t="n"/>
      <c r="BR47" s="811" t="n"/>
      <c r="BS47" s="811" t="n"/>
      <c r="BT47" s="222" t="n">
        <v>45960</v>
      </c>
      <c r="BU47" s="223" t="n">
        <v>930270.76</v>
      </c>
      <c r="BV47" s="808" t="n"/>
      <c r="BW47" s="808" t="n"/>
      <c r="BX47" s="808" t="n"/>
      <c r="BY47" s="808" t="n"/>
      <c r="BZ47" s="808" t="n"/>
      <c r="CA47" s="808" t="n"/>
      <c r="CB47" s="808" t="n"/>
      <c r="CC47" s="808" t="n"/>
      <c r="CD47" s="808" t="n"/>
      <c r="CE47" s="808" t="n"/>
      <c r="CF47" s="808" t="n"/>
      <c r="CG47" s="808" t="n"/>
      <c r="CH47" s="808" t="n"/>
      <c r="CI47" s="808" t="n"/>
      <c r="CJ47" s="808" t="n"/>
      <c r="CK47" s="808" t="n"/>
      <c r="CL47" s="808" t="n"/>
      <c r="CM47" s="808" t="n"/>
      <c r="CN47" s="808" t="n"/>
      <c r="CO47" s="808" t="n"/>
      <c r="CP47" s="808" t="n"/>
      <c r="CQ47" s="808" t="n"/>
      <c r="CR47" s="808" t="n"/>
      <c r="CS47" s="808" t="n"/>
      <c r="CT47" s="808" t="n"/>
    </row>
    <row r="48" ht="60" customFormat="1" customHeight="1" s="107">
      <c r="A48" s="211" t="inlineStr">
        <is>
          <t>CENTRO-OESTE</t>
        </is>
      </c>
      <c r="B48" s="211" t="inlineStr">
        <is>
          <t>DF</t>
        </is>
      </c>
      <c r="C48" s="211" t="inlineStr">
        <is>
          <t>BRASILIA</t>
        </is>
      </c>
      <c r="D48" s="211" t="inlineStr">
        <is>
          <t>INSTITUTO HOSPITAL DE BASE DO DISTRITO FEDERAL -IHBDF</t>
        </is>
      </c>
      <c r="E48" s="214" t="inlineStr">
        <is>
          <t>28481233000172</t>
        </is>
      </c>
      <c r="F48" s="239" t="inlineStr">
        <is>
          <t xml:space="preserve"> HOSPITAL DE BASE DO DISTRITO FEDERAL</t>
        </is>
      </c>
      <c r="G48" s="240" t="n">
        <v>10456</v>
      </c>
      <c r="H48" s="241" t="n">
        <v>-15800653</v>
      </c>
      <c r="I48" s="218" t="n">
        <v>-47888283</v>
      </c>
      <c r="J48" s="211" t="inlineStr">
        <is>
          <t> </t>
        </is>
      </c>
      <c r="K48" s="211" t="inlineStr">
        <is>
          <t>Indireta</t>
        </is>
      </c>
      <c r="L48" s="211" t="inlineStr">
        <is>
          <t>Transferegov/SEI</t>
        </is>
      </c>
      <c r="M48" s="211" t="inlineStr">
        <is>
          <t>Convênio</t>
        </is>
      </c>
      <c r="N48" s="211" t="n">
        <v>2024</v>
      </c>
      <c r="O48" s="220" t="inlineStr">
        <is>
          <t>970345</t>
        </is>
      </c>
      <c r="P48" s="220" t="inlineStr">
        <is>
          <t>92848124018</t>
        </is>
      </c>
      <c r="Q48" s="220" t="inlineStr">
        <is>
          <t>25000.164426/2024-05</t>
        </is>
      </c>
      <c r="R48" s="211" t="inlineStr">
        <is>
          <t>REDE DE ATENÇÃO À PESSOA COM DOENÇAS CRÔNICAS - HOSPITAL HABILITADO NA ALTA COMPLEXIDADE EM ONCOLOGIA</t>
        </is>
      </c>
      <c r="S48" s="211" t="n"/>
      <c r="T48" s="211" t="inlineStr">
        <is>
          <t> </t>
        </is>
      </c>
      <c r="U48" s="211" t="inlineStr">
        <is>
          <t xml:space="preserve"> 33</t>
        </is>
      </c>
      <c r="V48" s="211" t="inlineStr">
        <is>
          <t xml:space="preserve"> NA</t>
        </is>
      </c>
      <c r="W48" s="211" t="inlineStr">
        <is>
          <t xml:space="preserve"> UND</t>
        </is>
      </c>
      <c r="X48" s="211" t="inlineStr">
        <is>
          <t>EQUIPAMENTO</t>
        </is>
      </c>
      <c r="Y48" s="211" t="inlineStr">
        <is>
          <t xml:space="preserve"> NA</t>
        </is>
      </c>
      <c r="Z48" s="211" t="inlineStr">
        <is>
          <t xml:space="preserve"> NA</t>
        </is>
      </c>
      <c r="AA48" s="222" t="inlineStr">
        <is>
          <t> </t>
        </is>
      </c>
      <c r="AB48" s="222" t="inlineStr">
        <is>
          <t> </t>
        </is>
      </c>
      <c r="AC48" s="222" t="inlineStr">
        <is>
          <t> </t>
        </is>
      </c>
      <c r="AD48" s="211" t="inlineStr">
        <is>
          <t>NI</t>
        </is>
      </c>
      <c r="AE48" s="211" t="inlineStr">
        <is>
          <t>NI</t>
        </is>
      </c>
      <c r="AF48" s="211" t="inlineStr">
        <is>
          <t>NI</t>
        </is>
      </c>
      <c r="AG48" s="223" t="n">
        <v>844472</v>
      </c>
      <c r="AH48" s="223" t="n">
        <v>0</v>
      </c>
      <c r="AI48" s="222" t="inlineStr">
        <is>
          <t> </t>
        </is>
      </c>
      <c r="AJ48" s="211" t="n">
        <v>8535</v>
      </c>
      <c r="AK48" s="223" t="inlineStr">
        <is>
          <t> </t>
        </is>
      </c>
      <c r="AL48" s="223" t="inlineStr">
        <is>
          <t> </t>
        </is>
      </c>
      <c r="AM48" s="223" t="inlineStr">
        <is>
          <t> </t>
        </is>
      </c>
      <c r="AN48" s="223" t="inlineStr">
        <is>
          <t> </t>
        </is>
      </c>
      <c r="AO48" s="223" t="inlineStr">
        <is>
          <t> </t>
        </is>
      </c>
      <c r="AP48" s="223" t="inlineStr">
        <is>
          <t> </t>
        </is>
      </c>
      <c r="AQ48" s="223" t="inlineStr">
        <is>
          <t> </t>
        </is>
      </c>
      <c r="AR48" s="223" t="inlineStr">
        <is>
          <t> </t>
        </is>
      </c>
      <c r="AS48" s="223" t="inlineStr">
        <is>
          <t> </t>
        </is>
      </c>
      <c r="AT48" s="223" t="inlineStr">
        <is>
          <t> </t>
        </is>
      </c>
      <c r="AU48" s="223" t="inlineStr">
        <is>
          <t> </t>
        </is>
      </c>
      <c r="AV48" s="223" t="inlineStr">
        <is>
          <t> </t>
        </is>
      </c>
      <c r="AW48" s="223" t="inlineStr">
        <is>
          <t> </t>
        </is>
      </c>
      <c r="AX48" s="223" t="inlineStr">
        <is>
          <t> </t>
        </is>
      </c>
      <c r="AY48" s="210" t="inlineStr">
        <is>
          <t>EM EXECUÇÃO</t>
        </is>
      </c>
      <c r="AZ48" s="210" t="inlineStr">
        <is>
          <t>NI</t>
        </is>
      </c>
      <c r="BA48" s="210" t="inlineStr">
        <is>
          <t>NI</t>
        </is>
      </c>
      <c r="BB48" s="210" t="inlineStr">
        <is>
          <t>NI</t>
        </is>
      </c>
      <c r="BC48" s="224" t="inlineStr">
        <is>
          <t>NA</t>
        </is>
      </c>
      <c r="BD48" s="211" t="inlineStr">
        <is>
          <t>NA</t>
        </is>
      </c>
      <c r="BE48" s="211" t="inlineStr">
        <is>
          <t>NA</t>
        </is>
      </c>
      <c r="BF48" s="211" t="inlineStr">
        <is>
          <t>NA</t>
        </is>
      </c>
      <c r="BG48" s="225" t="inlineStr">
        <is>
          <t>NA</t>
        </is>
      </c>
      <c r="BH48" s="211" t="inlineStr">
        <is>
          <t>NA</t>
        </is>
      </c>
      <c r="BI48" s="211" t="inlineStr">
        <is>
          <t>NA</t>
        </is>
      </c>
      <c r="BJ48" s="211" t="inlineStr">
        <is>
          <t>NA</t>
        </is>
      </c>
      <c r="BK48" s="211" t="inlineStr">
        <is>
          <t>NA</t>
        </is>
      </c>
      <c r="BL48" s="219" t="inlineStr">
        <is>
          <t>NA</t>
        </is>
      </c>
      <c r="BM48" s="811" t="n"/>
      <c r="BN48" s="811" t="n"/>
      <c r="BO48" s="811" t="n"/>
      <c r="BP48" s="811" t="n"/>
      <c r="BQ48" s="811" t="n"/>
      <c r="BR48" s="811" t="n"/>
      <c r="BS48" s="811" t="n"/>
      <c r="BT48" s="222" t="inlineStr">
        <is>
          <t>NA</t>
        </is>
      </c>
      <c r="BU48" s="223" t="n">
        <v>0</v>
      </c>
      <c r="BV48" s="808" t="n"/>
      <c r="BW48" s="808" t="n"/>
      <c r="BX48" s="808" t="n"/>
      <c r="BY48" s="808" t="n"/>
      <c r="BZ48" s="808" t="n"/>
      <c r="CA48" s="808" t="n"/>
      <c r="CB48" s="808" t="n"/>
      <c r="CC48" s="808" t="n"/>
      <c r="CD48" s="808" t="n"/>
      <c r="CE48" s="808" t="n"/>
      <c r="CF48" s="808" t="n"/>
      <c r="CG48" s="808" t="n"/>
      <c r="CH48" s="808" t="n"/>
      <c r="CI48" s="808" t="n"/>
      <c r="CJ48" s="808" t="n"/>
      <c r="CK48" s="808" t="n"/>
      <c r="CL48" s="808" t="n"/>
      <c r="CM48" s="808" t="n"/>
      <c r="CN48" s="808" t="n"/>
      <c r="CO48" s="808" t="n"/>
      <c r="CP48" s="808" t="n"/>
      <c r="CQ48" s="808" t="n"/>
      <c r="CR48" s="808" t="n"/>
      <c r="CS48" s="808" t="n"/>
      <c r="CT48" s="808" t="n"/>
    </row>
    <row r="49" ht="60" customFormat="1" customHeight="1" s="107">
      <c r="A49" s="211" t="inlineStr">
        <is>
          <t>CENTRO-OESTE</t>
        </is>
      </c>
      <c r="B49" s="211" t="inlineStr">
        <is>
          <t>GO</t>
        </is>
      </c>
      <c r="C49" s="211" t="inlineStr">
        <is>
          <t>GOIANIA</t>
        </is>
      </c>
      <c r="D49" s="211" t="inlineStr">
        <is>
          <t>ASSOCIACAO DE COMBATE AO CANCER EM GOIAS</t>
        </is>
      </c>
      <c r="E49" s="214" t="inlineStr">
        <is>
          <t>01585595000157</t>
        </is>
      </c>
      <c r="F49" s="239" t="inlineStr">
        <is>
          <t>ASSOCIACAO DE COMBATE AO CANCER EM GOIAS</t>
        </is>
      </c>
      <c r="G49" s="240" t="n">
        <v>2506815</v>
      </c>
      <c r="H49" s="241" t="n">
        <v>-1667692335</v>
      </c>
      <c r="I49" s="218" t="n">
        <v>-4924687768345400</v>
      </c>
      <c r="J49" s="211" t="inlineStr">
        <is>
          <t> </t>
        </is>
      </c>
      <c r="K49" s="211" t="inlineStr">
        <is>
          <t>Indireta</t>
        </is>
      </c>
      <c r="L49" s="211" t="inlineStr">
        <is>
          <t>Transferegov/SEI</t>
        </is>
      </c>
      <c r="M49" s="211" t="inlineStr">
        <is>
          <t>Convênio</t>
        </is>
      </c>
      <c r="N49" s="211" t="n">
        <v>2024</v>
      </c>
      <c r="O49" s="220" t="inlineStr">
        <is>
          <t>967733</t>
        </is>
      </c>
      <c r="P49" s="214" t="inlineStr">
        <is>
          <t>90158524002</t>
        </is>
      </c>
      <c r="Q49" s="220" t="inlineStr">
        <is>
          <t>25000.082257/2024-88</t>
        </is>
      </c>
      <c r="R49" s="211" t="inlineStr">
        <is>
          <t>REDE DE ATENÇÃO À PESSOA COM DOENÇAS CRÔNICAS - HOSPITAL HABILITADO NA ALTA COMPLEXIDADE EM ONCOLOGIA</t>
        </is>
      </c>
      <c r="S49" s="211" t="n"/>
      <c r="T49" s="211" t="inlineStr">
        <is>
          <t> </t>
        </is>
      </c>
      <c r="U49" s="211" t="inlineStr">
        <is>
          <t xml:space="preserve"> 27</t>
        </is>
      </c>
      <c r="V49" s="211" t="inlineStr">
        <is>
          <t xml:space="preserve"> NA</t>
        </is>
      </c>
      <c r="W49" s="211" t="inlineStr">
        <is>
          <t xml:space="preserve"> UND</t>
        </is>
      </c>
      <c r="X49" s="211" t="inlineStr">
        <is>
          <t>EQUIPAMENTO</t>
        </is>
      </c>
      <c r="Y49" s="211" t="inlineStr">
        <is>
          <t xml:space="preserve"> NA</t>
        </is>
      </c>
      <c r="Z49" s="211" t="inlineStr">
        <is>
          <t xml:space="preserve"> NA</t>
        </is>
      </c>
      <c r="AA49" s="222" t="inlineStr">
        <is>
          <t> </t>
        </is>
      </c>
      <c r="AB49" s="222" t="inlineStr">
        <is>
          <t> </t>
        </is>
      </c>
      <c r="AC49" s="222" t="inlineStr">
        <is>
          <t> </t>
        </is>
      </c>
      <c r="AD49" s="211" t="inlineStr">
        <is>
          <t>NI</t>
        </is>
      </c>
      <c r="AE49" s="211" t="inlineStr">
        <is>
          <t>NI</t>
        </is>
      </c>
      <c r="AF49" s="211" t="inlineStr">
        <is>
          <t>NI</t>
        </is>
      </c>
      <c r="AG49" s="223" t="n">
        <v>1144091</v>
      </c>
      <c r="AH49" s="223" t="n">
        <v>0</v>
      </c>
      <c r="AI49" s="222" t="inlineStr">
        <is>
          <t> </t>
        </is>
      </c>
      <c r="AJ49" s="211" t="n">
        <v>8535</v>
      </c>
      <c r="AK49" s="223" t="inlineStr">
        <is>
          <t> </t>
        </is>
      </c>
      <c r="AL49" s="223" t="inlineStr">
        <is>
          <t> </t>
        </is>
      </c>
      <c r="AM49" s="223" t="inlineStr">
        <is>
          <t> </t>
        </is>
      </c>
      <c r="AN49" s="223" t="inlineStr">
        <is>
          <t> </t>
        </is>
      </c>
      <c r="AO49" s="223" t="inlineStr">
        <is>
          <t> </t>
        </is>
      </c>
      <c r="AP49" s="223" t="inlineStr">
        <is>
          <t> </t>
        </is>
      </c>
      <c r="AQ49" s="223" t="inlineStr">
        <is>
          <t> </t>
        </is>
      </c>
      <c r="AR49" s="223" t="inlineStr">
        <is>
          <t> </t>
        </is>
      </c>
      <c r="AS49" s="223" t="inlineStr">
        <is>
          <t> </t>
        </is>
      </c>
      <c r="AT49" s="223" t="inlineStr">
        <is>
          <t> </t>
        </is>
      </c>
      <c r="AU49" s="223" t="inlineStr">
        <is>
          <t> </t>
        </is>
      </c>
      <c r="AV49" s="223" t="inlineStr">
        <is>
          <t> </t>
        </is>
      </c>
      <c r="AW49" s="223" t="inlineStr">
        <is>
          <t> </t>
        </is>
      </c>
      <c r="AX49" s="223" t="inlineStr">
        <is>
          <t> </t>
        </is>
      </c>
      <c r="AY49" s="210" t="inlineStr">
        <is>
          <t>EM EXECUÇÃO</t>
        </is>
      </c>
      <c r="AZ49" s="210" t="inlineStr">
        <is>
          <t>NI</t>
        </is>
      </c>
      <c r="BA49" s="210" t="inlineStr">
        <is>
          <t>NI</t>
        </is>
      </c>
      <c r="BB49" s="210" t="inlineStr">
        <is>
          <t>NI</t>
        </is>
      </c>
      <c r="BC49" s="224" t="inlineStr">
        <is>
          <t>NA</t>
        </is>
      </c>
      <c r="BD49" s="211" t="inlineStr">
        <is>
          <t>NA</t>
        </is>
      </c>
      <c r="BE49" s="211" t="inlineStr">
        <is>
          <t>NA</t>
        </is>
      </c>
      <c r="BF49" s="211" t="inlineStr">
        <is>
          <t>NA</t>
        </is>
      </c>
      <c r="BG49" s="225" t="inlineStr">
        <is>
          <t>NA</t>
        </is>
      </c>
      <c r="BH49" s="211" t="inlineStr">
        <is>
          <t>NA</t>
        </is>
      </c>
      <c r="BI49" s="211" t="inlineStr">
        <is>
          <t>NA</t>
        </is>
      </c>
      <c r="BJ49" s="211" t="inlineStr">
        <is>
          <t>NA</t>
        </is>
      </c>
      <c r="BK49" s="211" t="inlineStr">
        <is>
          <t>NA</t>
        </is>
      </c>
      <c r="BL49" s="219" t="inlineStr">
        <is>
          <t>NA</t>
        </is>
      </c>
      <c r="BM49" s="811" t="n"/>
      <c r="BN49" s="811" t="n"/>
      <c r="BO49" s="811" t="n"/>
      <c r="BP49" s="811" t="n"/>
      <c r="BQ49" s="811" t="n"/>
      <c r="BR49" s="811" t="n"/>
      <c r="BS49" s="811" t="n"/>
      <c r="BT49" s="222" t="inlineStr">
        <is>
          <t>NA</t>
        </is>
      </c>
      <c r="BU49" s="223" t="n">
        <v>0</v>
      </c>
      <c r="BV49" s="808" t="n"/>
      <c r="BW49" s="808" t="n"/>
      <c r="BX49" s="808" t="n"/>
      <c r="BY49" s="808" t="n"/>
      <c r="BZ49" s="808" t="n"/>
      <c r="CA49" s="808" t="n"/>
      <c r="CB49" s="808" t="n"/>
      <c r="CC49" s="808" t="n"/>
      <c r="CD49" s="808" t="n"/>
      <c r="CE49" s="808" t="n"/>
      <c r="CF49" s="808" t="n"/>
      <c r="CG49" s="808" t="n"/>
      <c r="CH49" s="808" t="n"/>
      <c r="CI49" s="808" t="n"/>
      <c r="CJ49" s="808" t="n"/>
      <c r="CK49" s="808" t="n"/>
      <c r="CL49" s="808" t="n"/>
      <c r="CM49" s="808" t="n"/>
      <c r="CN49" s="808" t="n"/>
      <c r="CO49" s="808" t="n"/>
      <c r="CP49" s="808" t="n"/>
      <c r="CQ49" s="808" t="n"/>
      <c r="CR49" s="808" t="n"/>
      <c r="CS49" s="808" t="n"/>
      <c r="CT49" s="808" t="n"/>
    </row>
    <row r="50" ht="60" customFormat="1" customHeight="1" s="107">
      <c r="A50" s="211" t="inlineStr">
        <is>
          <t>CENTRO-OESTE</t>
        </is>
      </c>
      <c r="B50" s="211" t="inlineStr">
        <is>
          <t>GO</t>
        </is>
      </c>
      <c r="C50" s="211" t="inlineStr">
        <is>
          <t>GOIANIA</t>
        </is>
      </c>
      <c r="D50" s="211" t="inlineStr">
        <is>
          <t>ASSOCIACAO DE COMBATE AO CANCER EM GOIAS</t>
        </is>
      </c>
      <c r="E50" s="214" t="inlineStr">
        <is>
          <t>01585595000157</t>
        </is>
      </c>
      <c r="F50" s="239" t="inlineStr">
        <is>
          <t>ASSOCIACAO DE COMBATE AO CANCER EM GOIAS</t>
        </is>
      </c>
      <c r="G50" s="240" t="n">
        <v>2506815</v>
      </c>
      <c r="H50" s="241" t="n">
        <v>-1667692335</v>
      </c>
      <c r="I50" s="218" t="n">
        <v>-4924687768345400</v>
      </c>
      <c r="J50" s="211" t="inlineStr">
        <is>
          <t> </t>
        </is>
      </c>
      <c r="K50" s="211" t="inlineStr">
        <is>
          <t>Indireta</t>
        </is>
      </c>
      <c r="L50" s="211" t="inlineStr">
        <is>
          <t>Transferegov/SEI</t>
        </is>
      </c>
      <c r="M50" s="211" t="inlineStr">
        <is>
          <t>Convênio</t>
        </is>
      </c>
      <c r="N50" s="211" t="n">
        <v>2024</v>
      </c>
      <c r="O50" s="220" t="inlineStr">
        <is>
          <t>970347</t>
        </is>
      </c>
      <c r="P50" s="214" t="inlineStr">
        <is>
          <t>90158524004</t>
        </is>
      </c>
      <c r="Q50" s="220" t="inlineStr">
        <is>
          <t>25000.164395/2024-84</t>
        </is>
      </c>
      <c r="R50" s="211" t="inlineStr">
        <is>
          <t>REDE DE ATENÇÃO À PESSOA COM DOENÇAS CRÔNICAS - HOSPITAL HABILITADO NA ALTA COMPLEXIDADE EM ONCOLOGIA</t>
        </is>
      </c>
      <c r="S50" s="211" t="n"/>
      <c r="T50" s="211" t="inlineStr">
        <is>
          <t> </t>
        </is>
      </c>
      <c r="U50" s="211" t="inlineStr">
        <is>
          <t xml:space="preserve"> 13</t>
        </is>
      </c>
      <c r="V50" s="211" t="inlineStr">
        <is>
          <t xml:space="preserve"> NA</t>
        </is>
      </c>
      <c r="W50" s="211" t="inlineStr">
        <is>
          <t xml:space="preserve"> UND</t>
        </is>
      </c>
      <c r="X50" s="211" t="inlineStr">
        <is>
          <t>EQUIPAMENTO</t>
        </is>
      </c>
      <c r="Y50" s="211" t="inlineStr">
        <is>
          <t xml:space="preserve"> NA</t>
        </is>
      </c>
      <c r="Z50" s="211" t="inlineStr">
        <is>
          <t xml:space="preserve"> NA</t>
        </is>
      </c>
      <c r="AA50" s="222" t="inlineStr">
        <is>
          <t> </t>
        </is>
      </c>
      <c r="AB50" s="222" t="inlineStr">
        <is>
          <t> </t>
        </is>
      </c>
      <c r="AC50" s="222" t="inlineStr">
        <is>
          <t> </t>
        </is>
      </c>
      <c r="AD50" s="211" t="inlineStr">
        <is>
          <t>NI</t>
        </is>
      </c>
      <c r="AE50" s="211" t="inlineStr">
        <is>
          <t>NI</t>
        </is>
      </c>
      <c r="AF50" s="211" t="inlineStr">
        <is>
          <t>NI</t>
        </is>
      </c>
      <c r="AG50" s="223" t="n">
        <v>500000</v>
      </c>
      <c r="AH50" s="223" t="n">
        <v>0</v>
      </c>
      <c r="AI50" s="222" t="inlineStr">
        <is>
          <t> </t>
        </is>
      </c>
      <c r="AJ50" s="211" t="n">
        <v>8535</v>
      </c>
      <c r="AK50" s="223" t="inlineStr">
        <is>
          <t> </t>
        </is>
      </c>
      <c r="AL50" s="223" t="inlineStr">
        <is>
          <t> </t>
        </is>
      </c>
      <c r="AM50" s="223" t="inlineStr">
        <is>
          <t> </t>
        </is>
      </c>
      <c r="AN50" s="223" t="inlineStr">
        <is>
          <t> </t>
        </is>
      </c>
      <c r="AO50" s="223" t="inlineStr">
        <is>
          <t> </t>
        </is>
      </c>
      <c r="AP50" s="223" t="inlineStr">
        <is>
          <t> </t>
        </is>
      </c>
      <c r="AQ50" s="223" t="inlineStr">
        <is>
          <t> </t>
        </is>
      </c>
      <c r="AR50" s="223" t="inlineStr">
        <is>
          <t> </t>
        </is>
      </c>
      <c r="AS50" s="223" t="inlineStr">
        <is>
          <t> </t>
        </is>
      </c>
      <c r="AT50" s="223" t="inlineStr">
        <is>
          <t> </t>
        </is>
      </c>
      <c r="AU50" s="223" t="inlineStr">
        <is>
          <t> </t>
        </is>
      </c>
      <c r="AV50" s="223" t="inlineStr">
        <is>
          <t> </t>
        </is>
      </c>
      <c r="AW50" s="223" t="inlineStr">
        <is>
          <t> </t>
        </is>
      </c>
      <c r="AX50" s="223" t="inlineStr">
        <is>
          <t> </t>
        </is>
      </c>
      <c r="AY50" s="210" t="inlineStr">
        <is>
          <t>EM EXECUÇÃO</t>
        </is>
      </c>
      <c r="AZ50" s="210" t="inlineStr">
        <is>
          <t>NI</t>
        </is>
      </c>
      <c r="BA50" s="210" t="inlineStr">
        <is>
          <t>NI</t>
        </is>
      </c>
      <c r="BB50" s="210" t="inlineStr">
        <is>
          <t>NI</t>
        </is>
      </c>
      <c r="BC50" s="224" t="inlineStr">
        <is>
          <t>NA</t>
        </is>
      </c>
      <c r="BD50" s="211" t="inlineStr">
        <is>
          <t>NA</t>
        </is>
      </c>
      <c r="BE50" s="211" t="inlineStr">
        <is>
          <t>NA</t>
        </is>
      </c>
      <c r="BF50" s="211" t="inlineStr">
        <is>
          <t>NA</t>
        </is>
      </c>
      <c r="BG50" s="225" t="inlineStr">
        <is>
          <t>NA</t>
        </is>
      </c>
      <c r="BH50" s="211" t="inlineStr">
        <is>
          <t>NA</t>
        </is>
      </c>
      <c r="BI50" s="211" t="inlineStr">
        <is>
          <t>NA</t>
        </is>
      </c>
      <c r="BJ50" s="211" t="inlineStr">
        <is>
          <t>NA</t>
        </is>
      </c>
      <c r="BK50" s="211" t="inlineStr">
        <is>
          <t>NA</t>
        </is>
      </c>
      <c r="BL50" s="219" t="inlineStr">
        <is>
          <t>NA</t>
        </is>
      </c>
      <c r="BM50" s="811" t="n"/>
      <c r="BN50" s="811" t="n"/>
      <c r="BO50" s="811" t="n"/>
      <c r="BP50" s="811" t="n"/>
      <c r="BQ50" s="811" t="n"/>
      <c r="BR50" s="811" t="n"/>
      <c r="BS50" s="811" t="n"/>
      <c r="BT50" s="222" t="inlineStr">
        <is>
          <t>NA</t>
        </is>
      </c>
      <c r="BU50" s="223" t="n">
        <v>0</v>
      </c>
      <c r="BV50" s="808" t="n"/>
      <c r="BW50" s="808" t="n"/>
      <c r="BX50" s="808" t="n"/>
      <c r="BY50" s="808" t="n"/>
      <c r="BZ50" s="808" t="n"/>
      <c r="CA50" s="808" t="n"/>
      <c r="CB50" s="808" t="n"/>
      <c r="CC50" s="808" t="n"/>
      <c r="CD50" s="808" t="n"/>
      <c r="CE50" s="808" t="n"/>
      <c r="CF50" s="808" t="n"/>
      <c r="CG50" s="808" t="n"/>
      <c r="CH50" s="808" t="n"/>
      <c r="CI50" s="808" t="n"/>
      <c r="CJ50" s="808" t="n"/>
      <c r="CK50" s="808" t="n"/>
      <c r="CL50" s="808" t="n"/>
      <c r="CM50" s="808" t="n"/>
      <c r="CN50" s="808" t="n"/>
      <c r="CO50" s="808" t="n"/>
      <c r="CP50" s="808" t="n"/>
      <c r="CQ50" s="808" t="n"/>
      <c r="CR50" s="808" t="n"/>
      <c r="CS50" s="808" t="n"/>
      <c r="CT50" s="808" t="n"/>
    </row>
    <row r="51" ht="60" customFormat="1" customHeight="1" s="107">
      <c r="A51" s="211" t="inlineStr">
        <is>
          <t>NORDESTE</t>
        </is>
      </c>
      <c r="B51" s="211" t="inlineStr">
        <is>
          <t>PB</t>
        </is>
      </c>
      <c r="C51" s="211" t="inlineStr">
        <is>
          <t>JOAO PESSOA</t>
        </is>
      </c>
      <c r="D51" s="211" t="inlineStr">
        <is>
          <t>FUNDACAO NAPOLEAO LAUREANO</t>
        </is>
      </c>
      <c r="E51" s="214" t="inlineStr">
        <is>
          <t>09112236000194</t>
        </is>
      </c>
      <c r="F51" s="239" t="inlineStr">
        <is>
          <t>FUNDACAO NAPOLEAO LAUREANO</t>
        </is>
      </c>
      <c r="G51" s="240" t="n">
        <v>2399741</v>
      </c>
      <c r="H51" s="241" t="n">
        <v>-71705407</v>
      </c>
      <c r="I51" s="218" t="n">
        <v>-348851019</v>
      </c>
      <c r="J51" s="211" t="inlineStr">
        <is>
          <t> </t>
        </is>
      </c>
      <c r="K51" s="211" t="inlineStr">
        <is>
          <t>Indireta</t>
        </is>
      </c>
      <c r="L51" s="211" t="inlineStr">
        <is>
          <t>Transferegov/SEI</t>
        </is>
      </c>
      <c r="M51" s="211" t="inlineStr">
        <is>
          <t>Convênio</t>
        </is>
      </c>
      <c r="N51" s="211" t="n">
        <v>2024</v>
      </c>
      <c r="O51" s="220" t="inlineStr">
        <is>
          <t>970368</t>
        </is>
      </c>
      <c r="P51" s="214" t="inlineStr">
        <is>
          <t>90911224009</t>
        </is>
      </c>
      <c r="Q51" s="220" t="inlineStr">
        <is>
          <t>25000.164415/2024-17</t>
        </is>
      </c>
      <c r="R51" s="211" t="inlineStr">
        <is>
          <t>REDE DE ATENÇÃO À PESSOA COM DOENÇAS CRÔNICAS - HOSPITAL HABILITADO NA ALTA COMPLEXIDADE EM ONCOLOGIA</t>
        </is>
      </c>
      <c r="S51" s="211" t="n"/>
      <c r="T51" s="211" t="inlineStr">
        <is>
          <t> </t>
        </is>
      </c>
      <c r="U51" s="211" t="inlineStr">
        <is>
          <t xml:space="preserve"> 3</t>
        </is>
      </c>
      <c r="V51" s="211" t="inlineStr">
        <is>
          <t xml:space="preserve"> NA</t>
        </is>
      </c>
      <c r="W51" s="211" t="inlineStr">
        <is>
          <t xml:space="preserve"> UND</t>
        </is>
      </c>
      <c r="X51" s="211" t="inlineStr">
        <is>
          <t>EQUIPAMENTO</t>
        </is>
      </c>
      <c r="Y51" s="211" t="inlineStr">
        <is>
          <t xml:space="preserve"> NA</t>
        </is>
      </c>
      <c r="Z51" s="211" t="inlineStr">
        <is>
          <t xml:space="preserve"> NA</t>
        </is>
      </c>
      <c r="AA51" s="222" t="inlineStr">
        <is>
          <t> </t>
        </is>
      </c>
      <c r="AB51" s="222" t="inlineStr">
        <is>
          <t> </t>
        </is>
      </c>
      <c r="AC51" s="222" t="inlineStr">
        <is>
          <t> </t>
        </is>
      </c>
      <c r="AD51" s="211" t="inlineStr">
        <is>
          <t>NI</t>
        </is>
      </c>
      <c r="AE51" s="211" t="inlineStr">
        <is>
          <t>NI</t>
        </is>
      </c>
      <c r="AF51" s="211" t="inlineStr">
        <is>
          <t>NI</t>
        </is>
      </c>
      <c r="AG51" s="223" t="n">
        <v>1143989</v>
      </c>
      <c r="AH51" s="223" t="n">
        <v>12896</v>
      </c>
      <c r="AI51" s="222" t="inlineStr">
        <is>
          <t> </t>
        </is>
      </c>
      <c r="AJ51" s="211" t="n">
        <v>8535</v>
      </c>
      <c r="AK51" s="223" t="inlineStr">
        <is>
          <t> </t>
        </is>
      </c>
      <c r="AL51" s="223" t="inlineStr">
        <is>
          <t> </t>
        </is>
      </c>
      <c r="AM51" s="223" t="inlineStr">
        <is>
          <t> </t>
        </is>
      </c>
      <c r="AN51" s="223" t="inlineStr">
        <is>
          <t> </t>
        </is>
      </c>
      <c r="AO51" s="223" t="inlineStr">
        <is>
          <t> </t>
        </is>
      </c>
      <c r="AP51" s="223" t="inlineStr">
        <is>
          <t> </t>
        </is>
      </c>
      <c r="AQ51" s="223" t="inlineStr">
        <is>
          <t> </t>
        </is>
      </c>
      <c r="AR51" s="223" t="inlineStr">
        <is>
          <t> </t>
        </is>
      </c>
      <c r="AS51" s="223" t="inlineStr">
        <is>
          <t> </t>
        </is>
      </c>
      <c r="AT51" s="223" t="inlineStr">
        <is>
          <t> </t>
        </is>
      </c>
      <c r="AU51" s="223" t="inlineStr">
        <is>
          <t> </t>
        </is>
      </c>
      <c r="AV51" s="223" t="inlineStr">
        <is>
          <t> </t>
        </is>
      </c>
      <c r="AW51" s="223" t="inlineStr">
        <is>
          <t> </t>
        </is>
      </c>
      <c r="AX51" s="223" t="inlineStr">
        <is>
          <t> </t>
        </is>
      </c>
      <c r="AY51" s="210" t="inlineStr">
        <is>
          <t>EM EXECUÇÃO</t>
        </is>
      </c>
      <c r="AZ51" s="210" t="inlineStr">
        <is>
          <t>NI</t>
        </is>
      </c>
      <c r="BA51" s="210" t="inlineStr">
        <is>
          <t>NI</t>
        </is>
      </c>
      <c r="BB51" s="210" t="inlineStr">
        <is>
          <t>NI</t>
        </is>
      </c>
      <c r="BC51" s="224" t="inlineStr">
        <is>
          <t>NA</t>
        </is>
      </c>
      <c r="BD51" s="211" t="inlineStr">
        <is>
          <t>NA</t>
        </is>
      </c>
      <c r="BE51" s="211" t="inlineStr">
        <is>
          <t>NA</t>
        </is>
      </c>
      <c r="BF51" s="211" t="inlineStr">
        <is>
          <t>NA</t>
        </is>
      </c>
      <c r="BG51" s="225" t="inlineStr">
        <is>
          <t>NA</t>
        </is>
      </c>
      <c r="BH51" s="211" t="inlineStr">
        <is>
          <t>NA</t>
        </is>
      </c>
      <c r="BI51" s="211" t="inlineStr">
        <is>
          <t>NA</t>
        </is>
      </c>
      <c r="BJ51" s="211" t="inlineStr">
        <is>
          <t>NA</t>
        </is>
      </c>
      <c r="BK51" s="211" t="inlineStr">
        <is>
          <t>NA</t>
        </is>
      </c>
      <c r="BL51" s="219" t="inlineStr">
        <is>
          <t>NA</t>
        </is>
      </c>
      <c r="BM51" s="811" t="n"/>
      <c r="BN51" s="811" t="n"/>
      <c r="BO51" s="811" t="n"/>
      <c r="BP51" s="811" t="n"/>
      <c r="BQ51" s="811" t="n"/>
      <c r="BR51" s="811" t="n"/>
      <c r="BS51" s="811" t="n"/>
      <c r="BT51" s="222" t="n">
        <v>45840</v>
      </c>
      <c r="BU51" s="223" t="n">
        <v>1025934</v>
      </c>
      <c r="BV51" s="808" t="n"/>
      <c r="BW51" s="808" t="n"/>
      <c r="BX51" s="808" t="n"/>
      <c r="BY51" s="808" t="n"/>
      <c r="BZ51" s="808" t="n"/>
      <c r="CA51" s="808" t="n"/>
      <c r="CB51" s="808" t="n"/>
      <c r="CC51" s="808" t="n"/>
      <c r="CD51" s="808" t="n"/>
      <c r="CE51" s="808" t="n"/>
      <c r="CF51" s="808" t="n"/>
      <c r="CG51" s="808" t="n"/>
      <c r="CH51" s="808" t="n"/>
      <c r="CI51" s="808" t="n"/>
      <c r="CJ51" s="808" t="n"/>
      <c r="CK51" s="808" t="n"/>
      <c r="CL51" s="808" t="n"/>
      <c r="CM51" s="808" t="n"/>
      <c r="CN51" s="808" t="n"/>
      <c r="CO51" s="808" t="n"/>
      <c r="CP51" s="808" t="n"/>
      <c r="CQ51" s="808" t="n"/>
      <c r="CR51" s="808" t="n"/>
      <c r="CS51" s="808" t="n"/>
      <c r="CT51" s="808" t="n"/>
    </row>
    <row r="52" ht="60" customFormat="1" customHeight="1" s="107">
      <c r="A52" s="211" t="inlineStr">
        <is>
          <t>NORDESTE</t>
        </is>
      </c>
      <c r="B52" s="211" t="inlineStr">
        <is>
          <t>PE</t>
        </is>
      </c>
      <c r="C52" s="211" t="inlineStr">
        <is>
          <t>RECIFE</t>
        </is>
      </c>
      <c r="D52" s="211" t="inlineStr">
        <is>
          <t>SOCIEDADE PERNAMBUCANA DE COMBATE AO CANCER</t>
        </is>
      </c>
      <c r="E52" s="214" t="inlineStr">
        <is>
          <t>10894988000133</t>
        </is>
      </c>
      <c r="F52" s="239" t="inlineStr">
        <is>
          <t xml:space="preserve"> SOCIEDADE PERNAMBUCANA DO COMBATE AO CANCER</t>
        </is>
      </c>
      <c r="G52" s="240" t="n">
        <v>582</v>
      </c>
      <c r="H52" s="241" t="n">
        <v>-8041297817982740</v>
      </c>
      <c r="I52" s="218" t="n">
        <v>-3487337350845330</v>
      </c>
      <c r="J52" s="211" t="inlineStr">
        <is>
          <t> </t>
        </is>
      </c>
      <c r="K52" s="211" t="inlineStr">
        <is>
          <t>Indireta</t>
        </is>
      </c>
      <c r="L52" s="211" t="inlineStr">
        <is>
          <t>Transferegov/SEI</t>
        </is>
      </c>
      <c r="M52" s="211" t="inlineStr">
        <is>
          <t>Convênio</t>
        </is>
      </c>
      <c r="N52" s="211" t="n">
        <v>2024</v>
      </c>
      <c r="O52" s="220" t="inlineStr">
        <is>
          <t>959480</t>
        </is>
      </c>
      <c r="P52" s="220" t="inlineStr">
        <is>
          <t>91089424001</t>
        </is>
      </c>
      <c r="Q52" s="214" t="inlineStr">
        <is>
          <t>25000.065677/2024-08</t>
        </is>
      </c>
      <c r="R52" s="211" t="inlineStr">
        <is>
          <t>REDE DE ATENÇÃO À PESSOA COM DOENÇAS CRÔNICAS - HOSPITAL HABILITADO NA ALTA COMPLEXIDADE EM ONCOLOGIA</t>
        </is>
      </c>
      <c r="S52" s="211" t="n"/>
      <c r="T52" s="211" t="inlineStr">
        <is>
          <t> </t>
        </is>
      </c>
      <c r="U52" s="211" t="inlineStr">
        <is>
          <t xml:space="preserve"> 39</t>
        </is>
      </c>
      <c r="V52" s="211" t="inlineStr">
        <is>
          <t xml:space="preserve"> NA</t>
        </is>
      </c>
      <c r="W52" s="211" t="inlineStr">
        <is>
          <t xml:space="preserve"> UND</t>
        </is>
      </c>
      <c r="X52" s="211" t="inlineStr">
        <is>
          <t>EQUIPAMENTO</t>
        </is>
      </c>
      <c r="Y52" s="211" t="inlineStr">
        <is>
          <t xml:space="preserve"> NA</t>
        </is>
      </c>
      <c r="Z52" s="211" t="inlineStr">
        <is>
          <t xml:space="preserve"> NA</t>
        </is>
      </c>
      <c r="AA52" s="222" t="inlineStr">
        <is>
          <t> </t>
        </is>
      </c>
      <c r="AB52" s="222" t="inlineStr">
        <is>
          <t> </t>
        </is>
      </c>
      <c r="AC52" s="222" t="inlineStr">
        <is>
          <t> </t>
        </is>
      </c>
      <c r="AD52" s="211" t="inlineStr">
        <is>
          <t>NI</t>
        </is>
      </c>
      <c r="AE52" s="211" t="inlineStr">
        <is>
          <t>NI</t>
        </is>
      </c>
      <c r="AF52" s="211" t="inlineStr">
        <is>
          <t>NI</t>
        </is>
      </c>
      <c r="AG52" s="223" t="n">
        <v>599874</v>
      </c>
      <c r="AH52" s="223" t="n">
        <v>0</v>
      </c>
      <c r="AI52" s="222" t="inlineStr">
        <is>
          <t> </t>
        </is>
      </c>
      <c r="AJ52" s="211" t="n">
        <v>8535</v>
      </c>
      <c r="AK52" s="223" t="inlineStr">
        <is>
          <t> </t>
        </is>
      </c>
      <c r="AL52" s="223" t="inlineStr">
        <is>
          <t> </t>
        </is>
      </c>
      <c r="AM52" s="223" t="inlineStr">
        <is>
          <t> </t>
        </is>
      </c>
      <c r="AN52" s="223" t="inlineStr">
        <is>
          <t> </t>
        </is>
      </c>
      <c r="AO52" s="223" t="inlineStr">
        <is>
          <t> </t>
        </is>
      </c>
      <c r="AP52" s="223" t="inlineStr">
        <is>
          <t> </t>
        </is>
      </c>
      <c r="AQ52" s="223" t="inlineStr">
        <is>
          <t> </t>
        </is>
      </c>
      <c r="AR52" s="223" t="inlineStr">
        <is>
          <t> </t>
        </is>
      </c>
      <c r="AS52" s="223" t="inlineStr">
        <is>
          <t> </t>
        </is>
      </c>
      <c r="AT52" s="223" t="inlineStr">
        <is>
          <t> </t>
        </is>
      </c>
      <c r="AU52" s="223" t="inlineStr">
        <is>
          <t> </t>
        </is>
      </c>
      <c r="AV52" s="223" t="inlineStr">
        <is>
          <t> </t>
        </is>
      </c>
      <c r="AW52" s="223" t="inlineStr">
        <is>
          <t> </t>
        </is>
      </c>
      <c r="AX52" s="223" t="inlineStr">
        <is>
          <t> </t>
        </is>
      </c>
      <c r="AY52" s="210" t="inlineStr">
        <is>
          <t>PRESTAÇÃO DE CONTAS ENVIADA PARA ANÁLISE</t>
        </is>
      </c>
      <c r="AZ52" s="210" t="inlineStr">
        <is>
          <t>NI</t>
        </is>
      </c>
      <c r="BA52" s="210" t="inlineStr">
        <is>
          <t>NI</t>
        </is>
      </c>
      <c r="BB52" s="210" t="inlineStr">
        <is>
          <t>NI</t>
        </is>
      </c>
      <c r="BC52" s="224" t="inlineStr">
        <is>
          <t>NA</t>
        </is>
      </c>
      <c r="BD52" s="211" t="inlineStr">
        <is>
          <t>NA</t>
        </is>
      </c>
      <c r="BE52" s="211" t="inlineStr">
        <is>
          <t>NA</t>
        </is>
      </c>
      <c r="BF52" s="211" t="inlineStr">
        <is>
          <t>NA</t>
        </is>
      </c>
      <c r="BG52" s="225" t="inlineStr">
        <is>
          <t>NA</t>
        </is>
      </c>
      <c r="BH52" s="211" t="inlineStr">
        <is>
          <t>NA</t>
        </is>
      </c>
      <c r="BI52" s="211" t="inlineStr">
        <is>
          <t>NA</t>
        </is>
      </c>
      <c r="BJ52" s="211" t="inlineStr">
        <is>
          <t>NA</t>
        </is>
      </c>
      <c r="BK52" s="211" t="inlineStr">
        <is>
          <t>NA</t>
        </is>
      </c>
      <c r="BL52" s="219" t="inlineStr">
        <is>
          <t>NA</t>
        </is>
      </c>
      <c r="BM52" s="811" t="n"/>
      <c r="BN52" s="811" t="n"/>
      <c r="BO52" s="811" t="n"/>
      <c r="BP52" s="811" t="n"/>
      <c r="BQ52" s="811" t="n"/>
      <c r="BR52" s="811" t="n"/>
      <c r="BS52" s="811" t="n"/>
      <c r="BT52" s="222" t="n">
        <v>45919</v>
      </c>
      <c r="BU52" s="223" t="n">
        <v>5600</v>
      </c>
      <c r="BV52" s="808" t="n"/>
      <c r="BW52" s="808" t="n"/>
      <c r="BX52" s="808" t="n"/>
      <c r="BY52" s="808" t="n"/>
      <c r="BZ52" s="808" t="n"/>
      <c r="CA52" s="808" t="n"/>
      <c r="CB52" s="808" t="n"/>
      <c r="CC52" s="808" t="n"/>
      <c r="CD52" s="808" t="n"/>
      <c r="CE52" s="808" t="n"/>
      <c r="CF52" s="808" t="n"/>
      <c r="CG52" s="808" t="n"/>
      <c r="CH52" s="808" t="n"/>
      <c r="CI52" s="808" t="n"/>
      <c r="CJ52" s="808" t="n"/>
      <c r="CK52" s="808" t="n"/>
      <c r="CL52" s="808" t="n"/>
      <c r="CM52" s="808" t="n"/>
      <c r="CN52" s="808" t="n"/>
      <c r="CO52" s="808" t="n"/>
      <c r="CP52" s="808" t="n"/>
      <c r="CQ52" s="808" t="n"/>
      <c r="CR52" s="808" t="n"/>
      <c r="CS52" s="808" t="n"/>
      <c r="CT52" s="808" t="n"/>
    </row>
    <row r="53" ht="60" customFormat="1" customHeight="1" s="107">
      <c r="A53" s="211" t="inlineStr">
        <is>
          <t>NORDESTE</t>
        </is>
      </c>
      <c r="B53" s="211" t="inlineStr">
        <is>
          <t>PE</t>
        </is>
      </c>
      <c r="C53" s="211" t="inlineStr">
        <is>
          <t>RECIFE</t>
        </is>
      </c>
      <c r="D53" s="211" t="inlineStr">
        <is>
          <t>SOCIEDADE PERNAMBUCANA DE COMBATE AO CANCER</t>
        </is>
      </c>
      <c r="E53" s="214" t="inlineStr">
        <is>
          <t>10894988000133</t>
        </is>
      </c>
      <c r="F53" s="215" t="inlineStr">
        <is>
          <t xml:space="preserve"> SOCIEDADE PERNAMBUCANA DO COMBATE AO CANCER</t>
        </is>
      </c>
      <c r="G53" s="216" t="n">
        <v>582</v>
      </c>
      <c r="H53" s="241" t="n">
        <v>-8041297817982740</v>
      </c>
      <c r="I53" s="218" t="n">
        <v>-3487337350845330</v>
      </c>
      <c r="J53" s="211" t="inlineStr">
        <is>
          <t> </t>
        </is>
      </c>
      <c r="K53" s="211" t="inlineStr">
        <is>
          <t>Indireta</t>
        </is>
      </c>
      <c r="L53" s="211" t="inlineStr">
        <is>
          <t>Transferegov/SEI</t>
        </is>
      </c>
      <c r="M53" s="211" t="inlineStr">
        <is>
          <t>Convênio</t>
        </is>
      </c>
      <c r="N53" s="211" t="n">
        <v>2024</v>
      </c>
      <c r="O53" s="220" t="inlineStr">
        <is>
          <t>961296</t>
        </is>
      </c>
      <c r="P53" s="214" t="inlineStr">
        <is>
          <t>91089424007</t>
        </is>
      </c>
      <c r="Q53" s="214" t="inlineStr">
        <is>
          <t>25000.077596/2024-42</t>
        </is>
      </c>
      <c r="R53" s="211" t="inlineStr">
        <is>
          <t>REDE DE ATENÇÃO À PESSOA COM DOENÇAS CRÔNICAS - HOSPITAL HABILITADO NA ALTA COMPLEXIDADE EM ONCOLOGIA</t>
        </is>
      </c>
      <c r="S53" s="211" t="n"/>
      <c r="T53" s="211" t="inlineStr">
        <is>
          <t> </t>
        </is>
      </c>
      <c r="U53" s="211" t="inlineStr">
        <is>
          <t xml:space="preserve"> 19</t>
        </is>
      </c>
      <c r="V53" s="211" t="inlineStr">
        <is>
          <t xml:space="preserve"> NA</t>
        </is>
      </c>
      <c r="W53" s="211" t="inlineStr">
        <is>
          <t xml:space="preserve"> UND</t>
        </is>
      </c>
      <c r="X53" s="211" t="inlineStr">
        <is>
          <t>EQUIPAMENTO</t>
        </is>
      </c>
      <c r="Y53" s="211" t="inlineStr">
        <is>
          <t xml:space="preserve"> NA</t>
        </is>
      </c>
      <c r="Z53" s="211" t="inlineStr">
        <is>
          <t xml:space="preserve"> NA</t>
        </is>
      </c>
      <c r="AA53" s="222" t="inlineStr">
        <is>
          <t> </t>
        </is>
      </c>
      <c r="AB53" s="222" t="inlineStr">
        <is>
          <t> </t>
        </is>
      </c>
      <c r="AC53" s="222" t="inlineStr">
        <is>
          <t> </t>
        </is>
      </c>
      <c r="AD53" s="211" t="inlineStr">
        <is>
          <t>NI</t>
        </is>
      </c>
      <c r="AE53" s="211" t="inlineStr">
        <is>
          <t>NI</t>
        </is>
      </c>
      <c r="AF53" s="211" t="inlineStr">
        <is>
          <t>NI</t>
        </is>
      </c>
      <c r="AG53" s="223" t="n">
        <v>20</v>
      </c>
      <c r="AH53" s="223" t="n">
        <v>71</v>
      </c>
      <c r="AI53" s="222" t="inlineStr">
        <is>
          <t> </t>
        </is>
      </c>
      <c r="AJ53" s="211" t="n">
        <v>8535</v>
      </c>
      <c r="AK53" s="223" t="inlineStr">
        <is>
          <t> </t>
        </is>
      </c>
      <c r="AL53" s="223" t="inlineStr">
        <is>
          <t> </t>
        </is>
      </c>
      <c r="AM53" s="223" t="inlineStr">
        <is>
          <t> </t>
        </is>
      </c>
      <c r="AN53" s="223" t="inlineStr">
        <is>
          <t> </t>
        </is>
      </c>
      <c r="AO53" s="223" t="inlineStr">
        <is>
          <t> </t>
        </is>
      </c>
      <c r="AP53" s="223" t="inlineStr">
        <is>
          <t> </t>
        </is>
      </c>
      <c r="AQ53" s="223" t="inlineStr">
        <is>
          <t> </t>
        </is>
      </c>
      <c r="AR53" s="223" t="inlineStr">
        <is>
          <t> </t>
        </is>
      </c>
      <c r="AS53" s="223" t="inlineStr">
        <is>
          <t> </t>
        </is>
      </c>
      <c r="AT53" s="223" t="inlineStr">
        <is>
          <t> </t>
        </is>
      </c>
      <c r="AU53" s="223" t="inlineStr">
        <is>
          <t> </t>
        </is>
      </c>
      <c r="AV53" s="223" t="inlineStr">
        <is>
          <t> </t>
        </is>
      </c>
      <c r="AW53" s="223" t="inlineStr">
        <is>
          <t> </t>
        </is>
      </c>
      <c r="AX53" s="223" t="inlineStr">
        <is>
          <t> </t>
        </is>
      </c>
      <c r="AY53" s="210" t="inlineStr">
        <is>
          <t>PRESTAÇÃO DE CONTAS ENVIADA PARA ANÁLISE</t>
        </is>
      </c>
      <c r="AZ53" s="210" t="inlineStr">
        <is>
          <t>NI</t>
        </is>
      </c>
      <c r="BA53" s="210" t="inlineStr">
        <is>
          <t>NI</t>
        </is>
      </c>
      <c r="BB53" s="210" t="inlineStr">
        <is>
          <t>NI</t>
        </is>
      </c>
      <c r="BC53" s="224" t="inlineStr">
        <is>
          <t>NA</t>
        </is>
      </c>
      <c r="BD53" s="211" t="inlineStr">
        <is>
          <t>NA</t>
        </is>
      </c>
      <c r="BE53" s="211" t="inlineStr">
        <is>
          <t>NA</t>
        </is>
      </c>
      <c r="BF53" s="211" t="inlineStr">
        <is>
          <t>NA</t>
        </is>
      </c>
      <c r="BG53" s="225" t="inlineStr">
        <is>
          <t>NA</t>
        </is>
      </c>
      <c r="BH53" s="211" t="inlineStr">
        <is>
          <t>NA</t>
        </is>
      </c>
      <c r="BI53" s="211" t="inlineStr">
        <is>
          <t>NA</t>
        </is>
      </c>
      <c r="BJ53" s="211" t="inlineStr">
        <is>
          <t>NA</t>
        </is>
      </c>
      <c r="BK53" s="211" t="inlineStr">
        <is>
          <t>NA</t>
        </is>
      </c>
      <c r="BL53" s="219" t="inlineStr">
        <is>
          <t>NA</t>
        </is>
      </c>
      <c r="BM53" s="811" t="n"/>
      <c r="BN53" s="811" t="n"/>
      <c r="BO53" s="811" t="n"/>
      <c r="BP53" s="811" t="n"/>
      <c r="BQ53" s="811" t="n"/>
      <c r="BR53" s="811" t="n"/>
      <c r="BS53" s="811" t="n"/>
      <c r="BT53" s="222" t="n">
        <v>45947</v>
      </c>
      <c r="BU53" s="223" t="n">
        <v>197368.93</v>
      </c>
      <c r="BV53" s="808" t="n"/>
      <c r="BW53" s="808" t="n"/>
      <c r="BX53" s="808" t="n"/>
      <c r="BY53" s="808" t="n"/>
      <c r="BZ53" s="808" t="n"/>
      <c r="CA53" s="808" t="n"/>
      <c r="CB53" s="808" t="n"/>
      <c r="CC53" s="808" t="n"/>
      <c r="CD53" s="808" t="n"/>
      <c r="CE53" s="808" t="n"/>
      <c r="CF53" s="808" t="n"/>
      <c r="CG53" s="808" t="n"/>
      <c r="CH53" s="808" t="n"/>
      <c r="CI53" s="808" t="n"/>
      <c r="CJ53" s="808" t="n"/>
      <c r="CK53" s="808" t="n"/>
      <c r="CL53" s="808" t="n"/>
      <c r="CM53" s="808" t="n"/>
      <c r="CN53" s="808" t="n"/>
      <c r="CO53" s="808" t="n"/>
      <c r="CP53" s="808" t="n"/>
      <c r="CQ53" s="808" t="n"/>
      <c r="CR53" s="808" t="n"/>
      <c r="CS53" s="808" t="n"/>
      <c r="CT53" s="808" t="n"/>
    </row>
    <row r="54" ht="60" customFormat="1" customHeight="1" s="107">
      <c r="A54" s="211" t="inlineStr">
        <is>
          <t>NORDESTE</t>
        </is>
      </c>
      <c r="B54" s="211" t="inlineStr">
        <is>
          <t>PE</t>
        </is>
      </c>
      <c r="C54" s="211" t="inlineStr">
        <is>
          <t>RECIFE</t>
        </is>
      </c>
      <c r="D54" s="211" t="inlineStr">
        <is>
          <t>SOCIEDADE PERNAMBUCANA DE COMBATE AO CANCER</t>
        </is>
      </c>
      <c r="E54" s="214" t="inlineStr">
        <is>
          <t>10894988000133</t>
        </is>
      </c>
      <c r="F54" s="215" t="inlineStr">
        <is>
          <t>SOCIEDADE PERNAMBUCANA DO COMBATE AO CANCER</t>
        </is>
      </c>
      <c r="G54" s="216" t="n">
        <v>582</v>
      </c>
      <c r="H54" s="241" t="n">
        <v>-8041297817982740</v>
      </c>
      <c r="I54" s="218" t="n">
        <v>-3487337350845330</v>
      </c>
      <c r="J54" s="211" t="inlineStr">
        <is>
          <t> </t>
        </is>
      </c>
      <c r="K54" s="211" t="inlineStr">
        <is>
          <t>Indireta</t>
        </is>
      </c>
      <c r="L54" s="211" t="inlineStr">
        <is>
          <t>Transferegov/SEI</t>
        </is>
      </c>
      <c r="M54" s="211" t="inlineStr">
        <is>
          <t>Convênio</t>
        </is>
      </c>
      <c r="N54" s="211" t="n">
        <v>2024</v>
      </c>
      <c r="O54" s="220" t="inlineStr">
        <is>
          <t>962432</t>
        </is>
      </c>
      <c r="P54" s="214" t="inlineStr">
        <is>
          <t>91089424008</t>
        </is>
      </c>
      <c r="Q54" s="214" t="inlineStr">
        <is>
          <t>25000.082284/2024-51</t>
        </is>
      </c>
      <c r="R54" s="211" t="inlineStr">
        <is>
          <t>REDE DE ATENÇÃO À PESSOA COM DOENÇAS CRÔNICAS - HOSPITAL HABILITADO NA ALTA COMPLEXIDADE EM ONCOLOGIA</t>
        </is>
      </c>
      <c r="S54" s="211" t="n"/>
      <c r="T54" s="211" t="inlineStr">
        <is>
          <t> </t>
        </is>
      </c>
      <c r="U54" s="211" t="inlineStr">
        <is>
          <t xml:space="preserve"> 14</t>
        </is>
      </c>
      <c r="V54" s="211" t="inlineStr">
        <is>
          <t xml:space="preserve"> NA</t>
        </is>
      </c>
      <c r="W54" s="211" t="inlineStr">
        <is>
          <t xml:space="preserve"> UND</t>
        </is>
      </c>
      <c r="X54" s="211" t="inlineStr">
        <is>
          <t>EQUIPAMENTO</t>
        </is>
      </c>
      <c r="Y54" s="211" t="inlineStr">
        <is>
          <t xml:space="preserve"> NA</t>
        </is>
      </c>
      <c r="Z54" s="211" t="inlineStr">
        <is>
          <t xml:space="preserve"> NA</t>
        </is>
      </c>
      <c r="AA54" s="222" t="inlineStr">
        <is>
          <t> </t>
        </is>
      </c>
      <c r="AB54" s="222" t="inlineStr">
        <is>
          <t> </t>
        </is>
      </c>
      <c r="AC54" s="222" t="inlineStr">
        <is>
          <t> </t>
        </is>
      </c>
      <c r="AD54" s="211" t="inlineStr">
        <is>
          <t>NI</t>
        </is>
      </c>
      <c r="AE54" s="211" t="inlineStr">
        <is>
          <t>NI</t>
        </is>
      </c>
      <c r="AF54" s="211" t="inlineStr">
        <is>
          <t>NI</t>
        </is>
      </c>
      <c r="AG54" s="223" t="n">
        <v>250000</v>
      </c>
      <c r="AH54" s="223" t="n">
        <v>1268</v>
      </c>
      <c r="AI54" s="222" t="inlineStr">
        <is>
          <t> </t>
        </is>
      </c>
      <c r="AJ54" s="211" t="n">
        <v>8535</v>
      </c>
      <c r="AK54" s="223" t="inlineStr">
        <is>
          <t> </t>
        </is>
      </c>
      <c r="AL54" s="223" t="inlineStr">
        <is>
          <t> </t>
        </is>
      </c>
      <c r="AM54" s="223" t="inlineStr">
        <is>
          <t> </t>
        </is>
      </c>
      <c r="AN54" s="223" t="inlineStr">
        <is>
          <t> </t>
        </is>
      </c>
      <c r="AO54" s="223" t="inlineStr">
        <is>
          <t> </t>
        </is>
      </c>
      <c r="AP54" s="223" t="inlineStr">
        <is>
          <t> </t>
        </is>
      </c>
      <c r="AQ54" s="223" t="inlineStr">
        <is>
          <t> </t>
        </is>
      </c>
      <c r="AR54" s="223" t="inlineStr">
        <is>
          <t> </t>
        </is>
      </c>
      <c r="AS54" s="223" t="inlineStr">
        <is>
          <t> </t>
        </is>
      </c>
      <c r="AT54" s="223" t="inlineStr">
        <is>
          <t> </t>
        </is>
      </c>
      <c r="AU54" s="223" t="inlineStr">
        <is>
          <t> </t>
        </is>
      </c>
      <c r="AV54" s="223" t="inlineStr">
        <is>
          <t> </t>
        </is>
      </c>
      <c r="AW54" s="223" t="inlineStr">
        <is>
          <t> </t>
        </is>
      </c>
      <c r="AX54" s="223" t="inlineStr">
        <is>
          <t> </t>
        </is>
      </c>
      <c r="AY54" s="210" t="inlineStr">
        <is>
          <t>PRESTAÇÃO DE CONTAS ENVIADA PARA ANÁLISE</t>
        </is>
      </c>
      <c r="AZ54" s="210" t="inlineStr">
        <is>
          <t>NI</t>
        </is>
      </c>
      <c r="BA54" s="210" t="inlineStr">
        <is>
          <t>NI</t>
        </is>
      </c>
      <c r="BB54" s="210" t="inlineStr">
        <is>
          <t>NI</t>
        </is>
      </c>
      <c r="BC54" s="224" t="inlineStr">
        <is>
          <t>NA</t>
        </is>
      </c>
      <c r="BD54" s="211" t="inlineStr">
        <is>
          <t>NA</t>
        </is>
      </c>
      <c r="BE54" s="211" t="inlineStr">
        <is>
          <t>NA</t>
        </is>
      </c>
      <c r="BF54" s="211" t="inlineStr">
        <is>
          <t>NA</t>
        </is>
      </c>
      <c r="BG54" s="225" t="inlineStr">
        <is>
          <t>NA</t>
        </is>
      </c>
      <c r="BH54" s="211" t="inlineStr">
        <is>
          <t>NA</t>
        </is>
      </c>
      <c r="BI54" s="211" t="inlineStr">
        <is>
          <t>NA</t>
        </is>
      </c>
      <c r="BJ54" s="211" t="inlineStr">
        <is>
          <t>NA</t>
        </is>
      </c>
      <c r="BK54" s="211" t="inlineStr">
        <is>
          <t>NA</t>
        </is>
      </c>
      <c r="BL54" s="219" t="inlineStr">
        <is>
          <t>NA</t>
        </is>
      </c>
      <c r="BM54" s="811" t="n"/>
      <c r="BN54" s="811" t="n"/>
      <c r="BO54" s="811" t="n"/>
      <c r="BP54" s="811" t="n"/>
      <c r="BQ54" s="811" t="n"/>
      <c r="BR54" s="811" t="n"/>
      <c r="BS54" s="811" t="n"/>
      <c r="BT54" s="222" t="n">
        <v>45946</v>
      </c>
      <c r="BU54" s="223" t="n">
        <v>250000</v>
      </c>
      <c r="BV54" s="808" t="n"/>
      <c r="BW54" s="808" t="n"/>
      <c r="BX54" s="808" t="n"/>
      <c r="BY54" s="808" t="n"/>
      <c r="BZ54" s="808" t="n"/>
      <c r="CA54" s="808" t="n"/>
      <c r="CB54" s="808" t="n"/>
      <c r="CC54" s="808" t="n"/>
      <c r="CD54" s="808" t="n"/>
      <c r="CE54" s="808" t="n"/>
      <c r="CF54" s="808" t="n"/>
      <c r="CG54" s="808" t="n"/>
      <c r="CH54" s="808" t="n"/>
      <c r="CI54" s="808" t="n"/>
      <c r="CJ54" s="808" t="n"/>
      <c r="CK54" s="808" t="n"/>
      <c r="CL54" s="808" t="n"/>
      <c r="CM54" s="808" t="n"/>
      <c r="CN54" s="808" t="n"/>
      <c r="CO54" s="808" t="n"/>
      <c r="CP54" s="808" t="n"/>
      <c r="CQ54" s="808" t="n"/>
      <c r="CR54" s="808" t="n"/>
      <c r="CS54" s="808" t="n"/>
      <c r="CT54" s="808" t="n"/>
    </row>
    <row r="55" ht="60" customFormat="1" customHeight="1" s="107">
      <c r="A55" s="211" t="inlineStr">
        <is>
          <t>SUL</t>
        </is>
      </c>
      <c r="B55" s="211" t="inlineStr">
        <is>
          <t>PR</t>
        </is>
      </c>
      <c r="C55" s="211" t="inlineStr">
        <is>
          <t>ARAPONGAS</t>
        </is>
      </c>
      <c r="D55" s="211" t="inlineStr">
        <is>
          <t>ASSOCIACAO NORTE PARANAENSE DE COMBATE AO CANCER</t>
        </is>
      </c>
      <c r="E55" s="214" t="inlineStr">
        <is>
          <t>04169712000190</t>
        </is>
      </c>
      <c r="F55" s="215" t="inlineStr">
        <is>
          <t>ASSOCIACAO NORTE PARANANENSE DE COMBATE AO CANCER</t>
        </is>
      </c>
      <c r="G55" s="216" t="n">
        <v>2576341</v>
      </c>
      <c r="H55" s="241" t="n">
        <v>-2.33891764062539e+16</v>
      </c>
      <c r="I55" s="218" t="n">
        <v>-5.14495968818664e+16</v>
      </c>
      <c r="J55" s="211" t="inlineStr">
        <is>
          <t> </t>
        </is>
      </c>
      <c r="K55" s="211" t="inlineStr">
        <is>
          <t>Indireta</t>
        </is>
      </c>
      <c r="L55" s="211" t="inlineStr">
        <is>
          <t>Transferegov/SEI</t>
        </is>
      </c>
      <c r="M55" s="211" t="inlineStr">
        <is>
          <t>Convênio</t>
        </is>
      </c>
      <c r="N55" s="211" t="n">
        <v>2024</v>
      </c>
      <c r="O55" s="220" t="inlineStr">
        <is>
          <t>972728</t>
        </is>
      </c>
      <c r="P55" s="214" t="inlineStr">
        <is>
          <t>90416924013</t>
        </is>
      </c>
      <c r="Q55" s="214" t="inlineStr">
        <is>
          <t>25000.193573/2024-84</t>
        </is>
      </c>
      <c r="R55" s="211" t="inlineStr">
        <is>
          <t>REDE DE ATENÇÃO À PESSOA COM DOENÇAS CRÔNICAS - HOSPITAL HABILITADO NA ALTA COMPLEXIDADE EM ONCOLOGIA</t>
        </is>
      </c>
      <c r="S55" s="211" t="n"/>
      <c r="T55" s="211" t="inlineStr">
        <is>
          <t> </t>
        </is>
      </c>
      <c r="U55" s="211" t="inlineStr">
        <is>
          <t xml:space="preserve"> 24</t>
        </is>
      </c>
      <c r="V55" s="211" t="inlineStr">
        <is>
          <t xml:space="preserve"> NA</t>
        </is>
      </c>
      <c r="W55" s="211" t="inlineStr">
        <is>
          <t xml:space="preserve"> UND</t>
        </is>
      </c>
      <c r="X55" s="211" t="inlineStr">
        <is>
          <t>EQUIPAMENTO</t>
        </is>
      </c>
      <c r="Y55" s="211" t="inlineStr">
        <is>
          <t xml:space="preserve"> NA</t>
        </is>
      </c>
      <c r="Z55" s="211" t="inlineStr">
        <is>
          <t xml:space="preserve"> NA</t>
        </is>
      </c>
      <c r="AA55" s="222" t="inlineStr">
        <is>
          <t> </t>
        </is>
      </c>
      <c r="AB55" s="222" t="inlineStr">
        <is>
          <t> </t>
        </is>
      </c>
      <c r="AC55" s="222" t="inlineStr">
        <is>
          <t> </t>
        </is>
      </c>
      <c r="AD55" s="211" t="inlineStr">
        <is>
          <t>NI</t>
        </is>
      </c>
      <c r="AE55" s="211" t="inlineStr">
        <is>
          <t>NI</t>
        </is>
      </c>
      <c r="AF55" s="211" t="inlineStr">
        <is>
          <t>NI</t>
        </is>
      </c>
      <c r="AG55" s="223" t="n">
        <v>500000</v>
      </c>
      <c r="AH55" s="223" t="n">
        <v>354</v>
      </c>
      <c r="AI55" s="222" t="inlineStr">
        <is>
          <t> </t>
        </is>
      </c>
      <c r="AJ55" s="211" t="n">
        <v>8535</v>
      </c>
      <c r="AK55" s="223" t="inlineStr">
        <is>
          <t> </t>
        </is>
      </c>
      <c r="AL55" s="223" t="inlineStr">
        <is>
          <t> </t>
        </is>
      </c>
      <c r="AM55" s="223" t="inlineStr">
        <is>
          <t> </t>
        </is>
      </c>
      <c r="AN55" s="223" t="inlineStr">
        <is>
          <t> </t>
        </is>
      </c>
      <c r="AO55" s="223" t="inlineStr">
        <is>
          <t> </t>
        </is>
      </c>
      <c r="AP55" s="223" t="inlineStr">
        <is>
          <t> </t>
        </is>
      </c>
      <c r="AQ55" s="223" t="inlineStr">
        <is>
          <t> </t>
        </is>
      </c>
      <c r="AR55" s="223" t="inlineStr">
        <is>
          <t> </t>
        </is>
      </c>
      <c r="AS55" s="223" t="inlineStr">
        <is>
          <t> </t>
        </is>
      </c>
      <c r="AT55" s="223" t="inlineStr">
        <is>
          <t> </t>
        </is>
      </c>
      <c r="AU55" s="223" t="inlineStr">
        <is>
          <t> </t>
        </is>
      </c>
      <c r="AV55" s="223" t="inlineStr">
        <is>
          <t> </t>
        </is>
      </c>
      <c r="AW55" s="223" t="inlineStr">
        <is>
          <t> </t>
        </is>
      </c>
      <c r="AX55" s="223" t="inlineStr">
        <is>
          <t> </t>
        </is>
      </c>
      <c r="AY55" s="210" t="inlineStr">
        <is>
          <t>EM EXECUÇÃO</t>
        </is>
      </c>
      <c r="AZ55" s="210" t="inlineStr">
        <is>
          <t>NI</t>
        </is>
      </c>
      <c r="BA55" s="210" t="inlineStr">
        <is>
          <t>NI</t>
        </is>
      </c>
      <c r="BB55" s="210" t="inlineStr">
        <is>
          <t>NI</t>
        </is>
      </c>
      <c r="BC55" s="224" t="inlineStr">
        <is>
          <t>NA</t>
        </is>
      </c>
      <c r="BD55" s="211" t="inlineStr">
        <is>
          <t>NA</t>
        </is>
      </c>
      <c r="BE55" s="211" t="inlineStr">
        <is>
          <t>NA</t>
        </is>
      </c>
      <c r="BF55" s="211" t="inlineStr">
        <is>
          <t>NA</t>
        </is>
      </c>
      <c r="BG55" s="225" t="inlineStr">
        <is>
          <t>NA</t>
        </is>
      </c>
      <c r="BH55" s="211" t="inlineStr">
        <is>
          <t>NA</t>
        </is>
      </c>
      <c r="BI55" s="211" t="inlineStr">
        <is>
          <t>NA</t>
        </is>
      </c>
      <c r="BJ55" s="211" t="inlineStr">
        <is>
          <t>NA</t>
        </is>
      </c>
      <c r="BK55" s="211" t="inlineStr">
        <is>
          <t>NA</t>
        </is>
      </c>
      <c r="BL55" s="219" t="inlineStr">
        <is>
          <t>NA</t>
        </is>
      </c>
      <c r="BM55" s="811" t="n"/>
      <c r="BN55" s="811" t="n"/>
      <c r="BO55" s="811" t="n"/>
      <c r="BP55" s="811" t="n"/>
      <c r="BQ55" s="811" t="n"/>
      <c r="BR55" s="811" t="n"/>
      <c r="BS55" s="811" t="n"/>
      <c r="BT55" s="222" t="n">
        <v>45855</v>
      </c>
      <c r="BU55" s="223" t="n">
        <v>248378.43</v>
      </c>
      <c r="BV55" s="808" t="n"/>
      <c r="BW55" s="808" t="n"/>
      <c r="BX55" s="808" t="n"/>
      <c r="BY55" s="808" t="n"/>
      <c r="BZ55" s="808" t="n"/>
      <c r="CA55" s="808" t="n"/>
      <c r="CB55" s="808" t="n"/>
      <c r="CC55" s="808" t="n"/>
      <c r="CD55" s="808" t="n"/>
      <c r="CE55" s="808" t="n"/>
      <c r="CF55" s="808" t="n"/>
      <c r="CG55" s="808" t="n"/>
      <c r="CH55" s="808" t="n"/>
      <c r="CI55" s="808" t="n"/>
      <c r="CJ55" s="808" t="n"/>
      <c r="CK55" s="808" t="n"/>
      <c r="CL55" s="808" t="n"/>
      <c r="CM55" s="808" t="n"/>
      <c r="CN55" s="808" t="n"/>
      <c r="CO55" s="808" t="n"/>
      <c r="CP55" s="808" t="n"/>
      <c r="CQ55" s="808" t="n"/>
      <c r="CR55" s="808" t="n"/>
      <c r="CS55" s="808" t="n"/>
      <c r="CT55" s="808" t="n"/>
    </row>
    <row r="56" ht="60" customFormat="1" customHeight="1" s="107">
      <c r="A56" s="211" t="inlineStr">
        <is>
          <t>SUL</t>
        </is>
      </c>
      <c r="B56" s="211" t="inlineStr">
        <is>
          <t>PR</t>
        </is>
      </c>
      <c r="C56" s="211" t="inlineStr">
        <is>
          <t>CASCAVEL</t>
        </is>
      </c>
      <c r="D56" s="211" t="inlineStr">
        <is>
          <t>UNIAO OESTE PARANAENSE DE ESTUDOS E COMBATE AO CANCER</t>
        </is>
      </c>
      <c r="E56" s="214" t="inlineStr">
        <is>
          <t>81270548000153</t>
        </is>
      </c>
      <c r="F56" s="215" t="inlineStr">
        <is>
          <t xml:space="preserve">UNIAO OESTE PARANAENSE DE ESTUDOS E COMBATE AO CANCER </t>
        </is>
      </c>
      <c r="G56" s="216" t="n">
        <v>2740338</v>
      </c>
      <c r="H56" s="241" t="n">
        <v>-24970836</v>
      </c>
      <c r="I56" s="218" t="n">
        <v>-53498274</v>
      </c>
      <c r="J56" s="211" t="inlineStr">
        <is>
          <t> </t>
        </is>
      </c>
      <c r="K56" s="211" t="inlineStr">
        <is>
          <t>Indireta</t>
        </is>
      </c>
      <c r="L56" s="211" t="inlineStr">
        <is>
          <t>Transferegov/SEI</t>
        </is>
      </c>
      <c r="M56" s="211" t="inlineStr">
        <is>
          <t>Convênio</t>
        </is>
      </c>
      <c r="N56" s="211" t="n">
        <v>2024</v>
      </c>
      <c r="O56" s="220" t="inlineStr">
        <is>
          <t>970463</t>
        </is>
      </c>
      <c r="P56" s="214" t="inlineStr">
        <is>
          <t>98127024009</t>
        </is>
      </c>
      <c r="Q56" s="214" t="inlineStr">
        <is>
          <t>25000.164437/2024-87</t>
        </is>
      </c>
      <c r="R56" s="211" t="inlineStr">
        <is>
          <t>REDE DE ATENÇÃO À PESSOA COM DOENÇAS CRÔNICAS - HOSPITAL HABILITADO NA ALTA COMPLEXIDADE EM ONCOLOGIA</t>
        </is>
      </c>
      <c r="S56" s="211" t="n"/>
      <c r="T56" s="211" t="inlineStr">
        <is>
          <t> </t>
        </is>
      </c>
      <c r="U56" s="211" t="inlineStr">
        <is>
          <t xml:space="preserve"> 58</t>
        </is>
      </c>
      <c r="V56" s="211" t="inlineStr">
        <is>
          <t xml:space="preserve"> NA</t>
        </is>
      </c>
      <c r="W56" s="211" t="inlineStr">
        <is>
          <t xml:space="preserve"> UND</t>
        </is>
      </c>
      <c r="X56" s="211" t="inlineStr">
        <is>
          <t>EQUIPAMENTO</t>
        </is>
      </c>
      <c r="Y56" s="211" t="inlineStr">
        <is>
          <t xml:space="preserve"> NA</t>
        </is>
      </c>
      <c r="Z56" s="211" t="inlineStr">
        <is>
          <t xml:space="preserve"> NA</t>
        </is>
      </c>
      <c r="AA56" s="222" t="inlineStr">
        <is>
          <t> </t>
        </is>
      </c>
      <c r="AB56" s="222" t="inlineStr">
        <is>
          <t> </t>
        </is>
      </c>
      <c r="AC56" s="222" t="inlineStr">
        <is>
          <t> </t>
        </is>
      </c>
      <c r="AD56" s="211" t="inlineStr">
        <is>
          <t>NI</t>
        </is>
      </c>
      <c r="AE56" s="211" t="inlineStr">
        <is>
          <t>NI</t>
        </is>
      </c>
      <c r="AF56" s="211" t="inlineStr">
        <is>
          <t>NI</t>
        </is>
      </c>
      <c r="AG56" s="223" t="n">
        <v>1150000</v>
      </c>
      <c r="AH56" s="223" t="n">
        <v>0</v>
      </c>
      <c r="AI56" s="222" t="inlineStr">
        <is>
          <t> </t>
        </is>
      </c>
      <c r="AJ56" s="211" t="n">
        <v>8535</v>
      </c>
      <c r="AK56" s="223" t="inlineStr">
        <is>
          <t> </t>
        </is>
      </c>
      <c r="AL56" s="223" t="inlineStr">
        <is>
          <t> </t>
        </is>
      </c>
      <c r="AM56" s="223" t="inlineStr">
        <is>
          <t> </t>
        </is>
      </c>
      <c r="AN56" s="223" t="inlineStr">
        <is>
          <t> </t>
        </is>
      </c>
      <c r="AO56" s="223" t="inlineStr">
        <is>
          <t> </t>
        </is>
      </c>
      <c r="AP56" s="223" t="inlineStr">
        <is>
          <t> </t>
        </is>
      </c>
      <c r="AQ56" s="223" t="inlineStr">
        <is>
          <t> </t>
        </is>
      </c>
      <c r="AR56" s="223" t="inlineStr">
        <is>
          <t> </t>
        </is>
      </c>
      <c r="AS56" s="223" t="inlineStr">
        <is>
          <t> </t>
        </is>
      </c>
      <c r="AT56" s="223" t="inlineStr">
        <is>
          <t> </t>
        </is>
      </c>
      <c r="AU56" s="223" t="inlineStr">
        <is>
          <t> </t>
        </is>
      </c>
      <c r="AV56" s="223" t="inlineStr">
        <is>
          <t> </t>
        </is>
      </c>
      <c r="AW56" s="223" t="inlineStr">
        <is>
          <t> </t>
        </is>
      </c>
      <c r="AX56" s="223" t="inlineStr">
        <is>
          <t> </t>
        </is>
      </c>
      <c r="AY56" s="210" t="inlineStr">
        <is>
          <t>EM EXECUÇÃO</t>
        </is>
      </c>
      <c r="AZ56" s="210" t="inlineStr">
        <is>
          <t>NI</t>
        </is>
      </c>
      <c r="BA56" s="210" t="inlineStr">
        <is>
          <t>NI</t>
        </is>
      </c>
      <c r="BB56" s="210" t="inlineStr">
        <is>
          <t>NI</t>
        </is>
      </c>
      <c r="BC56" s="224" t="inlineStr">
        <is>
          <t>NA</t>
        </is>
      </c>
      <c r="BD56" s="211" t="inlineStr">
        <is>
          <t>NA</t>
        </is>
      </c>
      <c r="BE56" s="211" t="inlineStr">
        <is>
          <t>NA</t>
        </is>
      </c>
      <c r="BF56" s="211" t="inlineStr">
        <is>
          <t>NA</t>
        </is>
      </c>
      <c r="BG56" s="225" t="inlineStr">
        <is>
          <t>NA</t>
        </is>
      </c>
      <c r="BH56" s="211" t="inlineStr">
        <is>
          <t>NA</t>
        </is>
      </c>
      <c r="BI56" s="211" t="inlineStr">
        <is>
          <t>NA</t>
        </is>
      </c>
      <c r="BJ56" s="211" t="inlineStr">
        <is>
          <t>NA</t>
        </is>
      </c>
      <c r="BK56" s="211" t="inlineStr">
        <is>
          <t>NA</t>
        </is>
      </c>
      <c r="BL56" s="219" t="inlineStr">
        <is>
          <t>NA</t>
        </is>
      </c>
      <c r="BM56" s="811" t="n"/>
      <c r="BN56" s="811" t="n"/>
      <c r="BO56" s="811" t="n"/>
      <c r="BP56" s="811" t="n"/>
      <c r="BQ56" s="811" t="n"/>
      <c r="BR56" s="811" t="n"/>
      <c r="BS56" s="811" t="n"/>
      <c r="BT56" s="222" t="inlineStr">
        <is>
          <t>NA</t>
        </is>
      </c>
      <c r="BU56" s="223" t="n">
        <v>0</v>
      </c>
      <c r="BV56" s="808" t="n"/>
      <c r="BW56" s="808" t="n"/>
      <c r="BX56" s="808" t="n"/>
      <c r="BY56" s="808" t="n"/>
      <c r="BZ56" s="808" t="n"/>
      <c r="CA56" s="808" t="n"/>
      <c r="CB56" s="808" t="n"/>
      <c r="CC56" s="808" t="n"/>
      <c r="CD56" s="808" t="n"/>
      <c r="CE56" s="808" t="n"/>
      <c r="CF56" s="808" t="n"/>
      <c r="CG56" s="808" t="n"/>
      <c r="CH56" s="808" t="n"/>
      <c r="CI56" s="808" t="n"/>
      <c r="CJ56" s="808" t="n"/>
      <c r="CK56" s="808" t="n"/>
      <c r="CL56" s="808" t="n"/>
      <c r="CM56" s="808" t="n"/>
      <c r="CN56" s="808" t="n"/>
      <c r="CO56" s="808" t="n"/>
      <c r="CP56" s="808" t="n"/>
      <c r="CQ56" s="808" t="n"/>
      <c r="CR56" s="808" t="n"/>
      <c r="CS56" s="808" t="n"/>
      <c r="CT56" s="808" t="n"/>
    </row>
    <row r="57" ht="60" customFormat="1" customHeight="1" s="107">
      <c r="A57" s="211" t="inlineStr">
        <is>
          <t>SUL</t>
        </is>
      </c>
      <c r="B57" s="211" t="inlineStr">
        <is>
          <t>PR</t>
        </is>
      </c>
      <c r="C57" s="211" t="inlineStr">
        <is>
          <t>LONDRINA</t>
        </is>
      </c>
      <c r="D57" s="211" t="inlineStr">
        <is>
          <t>INSTITUTO DE CANCER DE LONDRINA</t>
        </is>
      </c>
      <c r="E57" s="214" t="inlineStr">
        <is>
          <t>78633088000176</t>
        </is>
      </c>
      <c r="F57" s="215" t="inlineStr">
        <is>
          <t>INSTITUTO DE CANCER DE LONDRINA</t>
        </is>
      </c>
      <c r="G57" s="216" t="n">
        <v>2577623</v>
      </c>
      <c r="H57" s="217" t="inlineStr">
        <is>
          <t>-23.31</t>
        </is>
      </c>
      <c r="I57" s="218" t="n">
        <v>-51163</v>
      </c>
      <c r="J57" s="211" t="inlineStr">
        <is>
          <t> </t>
        </is>
      </c>
      <c r="K57" s="211" t="inlineStr">
        <is>
          <t>Indireta</t>
        </is>
      </c>
      <c r="L57" s="211" t="inlineStr">
        <is>
          <t>Transferegov/SEI</t>
        </is>
      </c>
      <c r="M57" s="211" t="inlineStr">
        <is>
          <t>Convênio</t>
        </is>
      </c>
      <c r="N57" s="211" t="n">
        <v>2024</v>
      </c>
      <c r="O57" s="220" t="inlineStr">
        <is>
          <t>970439</t>
        </is>
      </c>
      <c r="P57" s="214" t="inlineStr">
        <is>
          <t>97863324004</t>
        </is>
      </c>
      <c r="Q57" s="214" t="inlineStr">
        <is>
          <t>25000.136825/2024-78</t>
        </is>
      </c>
      <c r="R57" s="211" t="inlineStr">
        <is>
          <t>REDE DE ATENÇÃO À PESSOA COM DOENÇAS CRÔNICAS - HOSPITAL HABILITADO NA ALTA COMPLEXIDADE EM ONCOLOGIA</t>
        </is>
      </c>
      <c r="S57" s="211" t="n"/>
      <c r="T57" s="211" t="inlineStr">
        <is>
          <t> </t>
        </is>
      </c>
      <c r="U57" s="211" t="inlineStr">
        <is>
          <t xml:space="preserve"> 14</t>
        </is>
      </c>
      <c r="V57" s="211" t="inlineStr">
        <is>
          <t xml:space="preserve"> NA</t>
        </is>
      </c>
      <c r="W57" s="211" t="inlineStr">
        <is>
          <t xml:space="preserve"> UND</t>
        </is>
      </c>
      <c r="X57" s="211" t="inlineStr">
        <is>
          <t>EQUIPAMENTO</t>
        </is>
      </c>
      <c r="Y57" s="211" t="inlineStr">
        <is>
          <t xml:space="preserve"> NA</t>
        </is>
      </c>
      <c r="Z57" s="211" t="inlineStr">
        <is>
          <t xml:space="preserve"> NA</t>
        </is>
      </c>
      <c r="AA57" s="222" t="inlineStr">
        <is>
          <t> </t>
        </is>
      </c>
      <c r="AB57" s="222" t="inlineStr">
        <is>
          <t> </t>
        </is>
      </c>
      <c r="AC57" s="222" t="inlineStr">
        <is>
          <t> </t>
        </is>
      </c>
      <c r="AD57" s="211" t="inlineStr">
        <is>
          <t>NI</t>
        </is>
      </c>
      <c r="AE57" s="211" t="inlineStr">
        <is>
          <t>NI</t>
        </is>
      </c>
      <c r="AF57" s="211" t="inlineStr">
        <is>
          <t>NI</t>
        </is>
      </c>
      <c r="AG57" s="223" t="n">
        <v>400000</v>
      </c>
      <c r="AH57" s="223" t="n">
        <v>7782</v>
      </c>
      <c r="AI57" s="222" t="inlineStr">
        <is>
          <t> </t>
        </is>
      </c>
      <c r="AJ57" s="211" t="n">
        <v>8535</v>
      </c>
      <c r="AK57" s="223" t="inlineStr">
        <is>
          <t> </t>
        </is>
      </c>
      <c r="AL57" s="223" t="inlineStr">
        <is>
          <t> </t>
        </is>
      </c>
      <c r="AM57" s="223" t="inlineStr">
        <is>
          <t> </t>
        </is>
      </c>
      <c r="AN57" s="223" t="inlineStr">
        <is>
          <t> </t>
        </is>
      </c>
      <c r="AO57" s="223" t="inlineStr">
        <is>
          <t> </t>
        </is>
      </c>
      <c r="AP57" s="223" t="inlineStr">
        <is>
          <t> </t>
        </is>
      </c>
      <c r="AQ57" s="223" t="inlineStr">
        <is>
          <t> </t>
        </is>
      </c>
      <c r="AR57" s="223" t="inlineStr">
        <is>
          <t> </t>
        </is>
      </c>
      <c r="AS57" s="223" t="inlineStr">
        <is>
          <t> </t>
        </is>
      </c>
      <c r="AT57" s="223" t="inlineStr">
        <is>
          <t> </t>
        </is>
      </c>
      <c r="AU57" s="223" t="inlineStr">
        <is>
          <t> </t>
        </is>
      </c>
      <c r="AV57" s="223" t="inlineStr">
        <is>
          <t> </t>
        </is>
      </c>
      <c r="AW57" s="223" t="inlineStr">
        <is>
          <t> </t>
        </is>
      </c>
      <c r="AX57" s="223" t="inlineStr">
        <is>
          <t> </t>
        </is>
      </c>
      <c r="AY57" s="210" t="inlineStr">
        <is>
          <t>EM EXECUÇÃO</t>
        </is>
      </c>
      <c r="AZ57" s="210" t="inlineStr">
        <is>
          <t>NI</t>
        </is>
      </c>
      <c r="BA57" s="210" t="inlineStr">
        <is>
          <t>NI</t>
        </is>
      </c>
      <c r="BB57" s="210" t="inlineStr">
        <is>
          <t>NI</t>
        </is>
      </c>
      <c r="BC57" s="224" t="inlineStr">
        <is>
          <t>NA</t>
        </is>
      </c>
      <c r="BD57" s="211" t="inlineStr">
        <is>
          <t>NA</t>
        </is>
      </c>
      <c r="BE57" s="211" t="inlineStr">
        <is>
          <t>NA</t>
        </is>
      </c>
      <c r="BF57" s="211" t="inlineStr">
        <is>
          <t>NA</t>
        </is>
      </c>
      <c r="BG57" s="225" t="inlineStr">
        <is>
          <t>NA</t>
        </is>
      </c>
      <c r="BH57" s="211" t="inlineStr">
        <is>
          <t>NA</t>
        </is>
      </c>
      <c r="BI57" s="211" t="inlineStr">
        <is>
          <t>NA</t>
        </is>
      </c>
      <c r="BJ57" s="211" t="inlineStr">
        <is>
          <t>NA</t>
        </is>
      </c>
      <c r="BK57" s="211" t="inlineStr">
        <is>
          <t>NA</t>
        </is>
      </c>
      <c r="BL57" s="219" t="inlineStr">
        <is>
          <t>NA</t>
        </is>
      </c>
      <c r="BM57" s="811" t="n"/>
      <c r="BN57" s="811" t="n"/>
      <c r="BO57" s="811" t="n"/>
      <c r="BP57" s="811" t="n"/>
      <c r="BQ57" s="811" t="n"/>
      <c r="BR57" s="811" t="n"/>
      <c r="BS57" s="811" t="n"/>
      <c r="BT57" s="222" t="n">
        <v>45946</v>
      </c>
      <c r="BU57" s="223" t="n">
        <v>263476.97</v>
      </c>
      <c r="BV57" s="808" t="n"/>
      <c r="BW57" s="808" t="n"/>
      <c r="BX57" s="808" t="n"/>
      <c r="BY57" s="808" t="n"/>
      <c r="BZ57" s="808" t="n"/>
      <c r="CA57" s="808" t="n"/>
      <c r="CB57" s="808" t="n"/>
      <c r="CC57" s="808" t="n"/>
      <c r="CD57" s="808" t="n"/>
      <c r="CE57" s="808" t="n"/>
      <c r="CF57" s="808" t="n"/>
      <c r="CG57" s="808" t="n"/>
      <c r="CH57" s="808" t="n"/>
      <c r="CI57" s="808" t="n"/>
      <c r="CJ57" s="808" t="n"/>
      <c r="CK57" s="808" t="n"/>
      <c r="CL57" s="808" t="n"/>
      <c r="CM57" s="808" t="n"/>
      <c r="CN57" s="808" t="n"/>
      <c r="CO57" s="808" t="n"/>
      <c r="CP57" s="808" t="n"/>
      <c r="CQ57" s="808" t="n"/>
      <c r="CR57" s="808" t="n"/>
      <c r="CS57" s="808" t="n"/>
      <c r="CT57" s="808" t="n"/>
    </row>
    <row r="58" ht="60" customFormat="1" customHeight="1" s="107">
      <c r="A58" s="211" t="inlineStr">
        <is>
          <t>SUL</t>
        </is>
      </c>
      <c r="B58" s="211" t="inlineStr">
        <is>
          <t>RJ</t>
        </is>
      </c>
      <c r="C58" s="211" t="inlineStr">
        <is>
          <t>RIO DE JANEIRO</t>
        </is>
      </c>
      <c r="D58" s="211" t="inlineStr">
        <is>
          <t>ASSOCIACAO BRASILEIRA DE ASSISTENCIA AOS CANCEROSOS</t>
        </is>
      </c>
      <c r="E58" s="214" t="inlineStr">
        <is>
          <t>33816794000204</t>
        </is>
      </c>
      <c r="F58" s="215" t="inlineStr">
        <is>
          <t xml:space="preserve">FUNDACAO EDUCACIONAL SEVERINO SOMBRA </t>
        </is>
      </c>
      <c r="G58" s="216" t="n">
        <v>2269899</v>
      </c>
      <c r="H58" s="241" t="n">
        <v>-2.28387785276861e+16</v>
      </c>
      <c r="I58" s="218" t="n">
        <v>-4328492838519500</v>
      </c>
      <c r="J58" s="211" t="inlineStr">
        <is>
          <t> </t>
        </is>
      </c>
      <c r="K58" s="211" t="inlineStr">
        <is>
          <t>Indireta</t>
        </is>
      </c>
      <c r="L58" s="211" t="inlineStr">
        <is>
          <t>Transferegov/SEI</t>
        </is>
      </c>
      <c r="M58" s="211" t="inlineStr">
        <is>
          <t>Convênio</t>
        </is>
      </c>
      <c r="N58" s="211" t="n">
        <v>2024</v>
      </c>
      <c r="O58" s="220" t="inlineStr">
        <is>
          <t>971030</t>
        </is>
      </c>
      <c r="P58" s="214" t="inlineStr">
        <is>
          <t>93381624004</t>
        </is>
      </c>
      <c r="Q58" s="220" t="inlineStr">
        <is>
          <t>25000.082314/2024-29</t>
        </is>
      </c>
      <c r="R58" s="211" t="inlineStr">
        <is>
          <t>REDE DE ATENÇÃO À PESSOA COM DOENÇAS CRÔNICAS - HOSPITAL HABILITADO NA ALTA COMPLEXIDADE EM ONCOLOGIA</t>
        </is>
      </c>
      <c r="S58" s="211" t="n"/>
      <c r="T58" s="211" t="inlineStr">
        <is>
          <t> </t>
        </is>
      </c>
      <c r="U58" s="211" t="inlineStr">
        <is>
          <t xml:space="preserve"> 27</t>
        </is>
      </c>
      <c r="V58" s="211" t="inlineStr">
        <is>
          <t xml:space="preserve"> NA</t>
        </is>
      </c>
      <c r="W58" s="211" t="inlineStr">
        <is>
          <t xml:space="preserve"> UND</t>
        </is>
      </c>
      <c r="X58" s="211" t="inlineStr">
        <is>
          <t>EQUIPAMENTO</t>
        </is>
      </c>
      <c r="Y58" s="211" t="inlineStr">
        <is>
          <t xml:space="preserve"> NA</t>
        </is>
      </c>
      <c r="Z58" s="211" t="inlineStr">
        <is>
          <t xml:space="preserve"> NA</t>
        </is>
      </c>
      <c r="AA58" s="222" t="inlineStr">
        <is>
          <t> </t>
        </is>
      </c>
      <c r="AB58" s="222" t="inlineStr">
        <is>
          <t> </t>
        </is>
      </c>
      <c r="AC58" s="222" t="inlineStr">
        <is>
          <t> </t>
        </is>
      </c>
      <c r="AD58" s="211" t="inlineStr">
        <is>
          <t>NI</t>
        </is>
      </c>
      <c r="AE58" s="211" t="inlineStr">
        <is>
          <t>NI</t>
        </is>
      </c>
      <c r="AF58" s="211" t="inlineStr">
        <is>
          <t>NI</t>
        </is>
      </c>
      <c r="AG58" s="223" t="n">
        <v>257364</v>
      </c>
      <c r="AH58" s="223" t="n">
        <v>0</v>
      </c>
      <c r="AI58" s="222" t="inlineStr">
        <is>
          <t> </t>
        </is>
      </c>
      <c r="AJ58" s="211" t="n">
        <v>8535</v>
      </c>
      <c r="AK58" s="223" t="inlineStr">
        <is>
          <t> </t>
        </is>
      </c>
      <c r="AL58" s="223" t="inlineStr">
        <is>
          <t> </t>
        </is>
      </c>
      <c r="AM58" s="223" t="inlineStr">
        <is>
          <t> </t>
        </is>
      </c>
      <c r="AN58" s="223" t="inlineStr">
        <is>
          <t> </t>
        </is>
      </c>
      <c r="AO58" s="223" t="inlineStr">
        <is>
          <t> </t>
        </is>
      </c>
      <c r="AP58" s="223" t="inlineStr">
        <is>
          <t> </t>
        </is>
      </c>
      <c r="AQ58" s="223" t="inlineStr">
        <is>
          <t> </t>
        </is>
      </c>
      <c r="AR58" s="223" t="inlineStr">
        <is>
          <t> </t>
        </is>
      </c>
      <c r="AS58" s="223" t="inlineStr">
        <is>
          <t> </t>
        </is>
      </c>
      <c r="AT58" s="223" t="inlineStr">
        <is>
          <t> </t>
        </is>
      </c>
      <c r="AU58" s="223" t="inlineStr">
        <is>
          <t> </t>
        </is>
      </c>
      <c r="AV58" s="223" t="inlineStr">
        <is>
          <t> </t>
        </is>
      </c>
      <c r="AW58" s="223" t="inlineStr">
        <is>
          <t> </t>
        </is>
      </c>
      <c r="AX58" s="223" t="inlineStr">
        <is>
          <t> </t>
        </is>
      </c>
      <c r="AY58" s="210" t="inlineStr">
        <is>
          <t>EM EXECUÇÃO</t>
        </is>
      </c>
      <c r="AZ58" s="210" t="inlineStr">
        <is>
          <t>NI</t>
        </is>
      </c>
      <c r="BA58" s="210" t="inlineStr">
        <is>
          <t>NI</t>
        </is>
      </c>
      <c r="BB58" s="210" t="inlineStr">
        <is>
          <t>NI</t>
        </is>
      </c>
      <c r="BC58" s="224" t="inlineStr">
        <is>
          <t>NA</t>
        </is>
      </c>
      <c r="BD58" s="211" t="inlineStr">
        <is>
          <t>NA</t>
        </is>
      </c>
      <c r="BE58" s="211" t="inlineStr">
        <is>
          <t>NA</t>
        </is>
      </c>
      <c r="BF58" s="211" t="inlineStr">
        <is>
          <t>NA</t>
        </is>
      </c>
      <c r="BG58" s="225" t="inlineStr">
        <is>
          <t>NA</t>
        </is>
      </c>
      <c r="BH58" s="211" t="inlineStr">
        <is>
          <t>NA</t>
        </is>
      </c>
      <c r="BI58" s="211" t="inlineStr">
        <is>
          <t>NA</t>
        </is>
      </c>
      <c r="BJ58" s="211" t="inlineStr">
        <is>
          <t>NA</t>
        </is>
      </c>
      <c r="BK58" s="211" t="inlineStr">
        <is>
          <t>NA</t>
        </is>
      </c>
      <c r="BL58" s="219" t="inlineStr">
        <is>
          <t>NA</t>
        </is>
      </c>
      <c r="BM58" s="811" t="n"/>
      <c r="BN58" s="811" t="n"/>
      <c r="BO58" s="811" t="n"/>
      <c r="BP58" s="811" t="n"/>
      <c r="BQ58" s="811" t="n"/>
      <c r="BR58" s="811" t="n"/>
      <c r="BS58" s="811" t="n"/>
      <c r="BT58" s="222" t="inlineStr">
        <is>
          <t>NA</t>
        </is>
      </c>
      <c r="BU58" s="223" t="n">
        <v>0</v>
      </c>
      <c r="BV58" s="808" t="n"/>
      <c r="BW58" s="808" t="n"/>
      <c r="BX58" s="808" t="n"/>
      <c r="BY58" s="808" t="n"/>
      <c r="BZ58" s="808" t="n"/>
      <c r="CA58" s="808" t="n"/>
      <c r="CB58" s="808" t="n"/>
      <c r="CC58" s="808" t="n"/>
      <c r="CD58" s="808" t="n"/>
      <c r="CE58" s="808" t="n"/>
      <c r="CF58" s="808" t="n"/>
      <c r="CG58" s="808" t="n"/>
      <c r="CH58" s="808" t="n"/>
      <c r="CI58" s="808" t="n"/>
      <c r="CJ58" s="808" t="n"/>
      <c r="CK58" s="808" t="n"/>
      <c r="CL58" s="808" t="n"/>
      <c r="CM58" s="808" t="n"/>
      <c r="CN58" s="808" t="n"/>
      <c r="CO58" s="808" t="n"/>
      <c r="CP58" s="808" t="n"/>
      <c r="CQ58" s="808" t="n"/>
      <c r="CR58" s="808" t="n"/>
      <c r="CS58" s="808" t="n"/>
      <c r="CT58" s="808" t="n"/>
    </row>
    <row r="59" ht="60" customFormat="1" customHeight="1" s="107">
      <c r="A59" s="211" t="inlineStr">
        <is>
          <t>NORDESTE</t>
        </is>
      </c>
      <c r="B59" s="211" t="inlineStr">
        <is>
          <t>RN</t>
        </is>
      </c>
      <c r="C59" s="211" t="inlineStr">
        <is>
          <t>MOSSORO</t>
        </is>
      </c>
      <c r="D59" s="211" t="inlineStr">
        <is>
          <t>LIGA MOSSOROENSE DE ESTUDOS E COMBATE AO CANCER</t>
        </is>
      </c>
      <c r="E59" s="214" t="inlineStr">
        <is>
          <t>04026039000139</t>
        </is>
      </c>
      <c r="F59" s="215" t="inlineStr">
        <is>
          <t>LIGA MOSSOROENSE DE ESTUDOS E COMBATE AO CANCER</t>
        </is>
      </c>
      <c r="G59" s="216" t="n">
        <v>3675580</v>
      </c>
      <c r="H59" s="241" t="n">
        <v>-51627427</v>
      </c>
      <c r="I59" s="218" t="n">
        <v>-373692509</v>
      </c>
      <c r="J59" s="211" t="inlineStr">
        <is>
          <t> </t>
        </is>
      </c>
      <c r="K59" s="211" t="inlineStr">
        <is>
          <t>Indireta</t>
        </is>
      </c>
      <c r="L59" s="211" t="inlineStr">
        <is>
          <t>Transferegov/SEI</t>
        </is>
      </c>
      <c r="M59" s="211" t="inlineStr">
        <is>
          <t>Convênio</t>
        </is>
      </c>
      <c r="N59" s="211" t="n">
        <v>2024</v>
      </c>
      <c r="O59" s="220" t="inlineStr">
        <is>
          <t>973055</t>
        </is>
      </c>
      <c r="P59" s="220" t="inlineStr">
        <is>
          <t>90402624010</t>
        </is>
      </c>
      <c r="Q59" s="220" t="inlineStr">
        <is>
          <t>25000.196124/2024-98</t>
        </is>
      </c>
      <c r="R59" s="211" t="inlineStr">
        <is>
          <t>REDE DE ATENÇÃO À PESSOA COM DOENÇAS CRÔNICAS - HOSPITAL HABILITADO NA ALTA COMPLEXIDADE EM ONCOLOGIA</t>
        </is>
      </c>
      <c r="S59" s="211" t="n"/>
      <c r="T59" s="211" t="inlineStr">
        <is>
          <t> </t>
        </is>
      </c>
      <c r="U59" s="211" t="inlineStr">
        <is>
          <t xml:space="preserve"> 3</t>
        </is>
      </c>
      <c r="V59" s="211" t="inlineStr">
        <is>
          <t xml:space="preserve"> NA</t>
        </is>
      </c>
      <c r="W59" s="211" t="inlineStr">
        <is>
          <t xml:space="preserve"> UND</t>
        </is>
      </c>
      <c r="X59" s="211" t="inlineStr">
        <is>
          <t>EQUIPAMENTO</t>
        </is>
      </c>
      <c r="Y59" s="211" t="inlineStr">
        <is>
          <t xml:space="preserve"> NA</t>
        </is>
      </c>
      <c r="Z59" s="211" t="inlineStr">
        <is>
          <t xml:space="preserve"> NA</t>
        </is>
      </c>
      <c r="AA59" s="222" t="inlineStr">
        <is>
          <t> </t>
        </is>
      </c>
      <c r="AB59" s="222" t="inlineStr">
        <is>
          <t> </t>
        </is>
      </c>
      <c r="AC59" s="222" t="inlineStr">
        <is>
          <t> </t>
        </is>
      </c>
      <c r="AD59" s="211" t="inlineStr">
        <is>
          <t>NI</t>
        </is>
      </c>
      <c r="AE59" s="211" t="inlineStr">
        <is>
          <t>NI</t>
        </is>
      </c>
      <c r="AF59" s="211" t="inlineStr">
        <is>
          <t>NI</t>
        </is>
      </c>
      <c r="AG59" s="223" t="n">
        <v>419894</v>
      </c>
      <c r="AH59" s="223" t="n">
        <v>0</v>
      </c>
      <c r="AI59" s="222" t="inlineStr">
        <is>
          <t> </t>
        </is>
      </c>
      <c r="AJ59" s="211" t="n">
        <v>8535</v>
      </c>
      <c r="AK59" s="223" t="inlineStr">
        <is>
          <t> </t>
        </is>
      </c>
      <c r="AL59" s="223" t="inlineStr">
        <is>
          <t> </t>
        </is>
      </c>
      <c r="AM59" s="223" t="inlineStr">
        <is>
          <t> </t>
        </is>
      </c>
      <c r="AN59" s="223" t="inlineStr">
        <is>
          <t> </t>
        </is>
      </c>
      <c r="AO59" s="223" t="inlineStr">
        <is>
          <t> </t>
        </is>
      </c>
      <c r="AP59" s="223" t="inlineStr">
        <is>
          <t> </t>
        </is>
      </c>
      <c r="AQ59" s="223" t="inlineStr">
        <is>
          <t> </t>
        </is>
      </c>
      <c r="AR59" s="223" t="inlineStr">
        <is>
          <t> </t>
        </is>
      </c>
      <c r="AS59" s="223" t="inlineStr">
        <is>
          <t> </t>
        </is>
      </c>
      <c r="AT59" s="223" t="inlineStr">
        <is>
          <t> </t>
        </is>
      </c>
      <c r="AU59" s="223" t="inlineStr">
        <is>
          <t> </t>
        </is>
      </c>
      <c r="AV59" s="223" t="inlineStr">
        <is>
          <t> </t>
        </is>
      </c>
      <c r="AW59" s="223" t="inlineStr">
        <is>
          <t> </t>
        </is>
      </c>
      <c r="AX59" s="223" t="inlineStr">
        <is>
          <t> </t>
        </is>
      </c>
      <c r="AY59" s="210" t="inlineStr">
        <is>
          <t>EM EXECUÇÃO</t>
        </is>
      </c>
      <c r="AZ59" s="210" t="inlineStr">
        <is>
          <t>NI</t>
        </is>
      </c>
      <c r="BA59" s="210" t="inlineStr">
        <is>
          <t>NI</t>
        </is>
      </c>
      <c r="BB59" s="210" t="inlineStr">
        <is>
          <t>NI</t>
        </is>
      </c>
      <c r="BC59" s="224" t="inlineStr">
        <is>
          <t>NA</t>
        </is>
      </c>
      <c r="BD59" s="211" t="inlineStr">
        <is>
          <t>NA</t>
        </is>
      </c>
      <c r="BE59" s="211" t="inlineStr">
        <is>
          <t>NA</t>
        </is>
      </c>
      <c r="BF59" s="211" t="inlineStr">
        <is>
          <t>NA</t>
        </is>
      </c>
      <c r="BG59" s="225" t="inlineStr">
        <is>
          <t>NA</t>
        </is>
      </c>
      <c r="BH59" s="211" t="inlineStr">
        <is>
          <t>NA</t>
        </is>
      </c>
      <c r="BI59" s="211" t="inlineStr">
        <is>
          <t>NA</t>
        </is>
      </c>
      <c r="BJ59" s="211" t="inlineStr">
        <is>
          <t>NA</t>
        </is>
      </c>
      <c r="BK59" s="211" t="inlineStr">
        <is>
          <t>NA</t>
        </is>
      </c>
      <c r="BL59" s="219" t="inlineStr">
        <is>
          <t>NA</t>
        </is>
      </c>
      <c r="BM59" s="811" t="n"/>
      <c r="BN59" s="811" t="n"/>
      <c r="BO59" s="811" t="n"/>
      <c r="BP59" s="811" t="n"/>
      <c r="BQ59" s="811" t="n"/>
      <c r="BR59" s="811" t="n"/>
      <c r="BS59" s="811" t="n"/>
      <c r="BT59" s="222" t="inlineStr">
        <is>
          <t>NA</t>
        </is>
      </c>
      <c r="BU59" s="223" t="n">
        <v>0</v>
      </c>
      <c r="BV59" s="808" t="n"/>
      <c r="BW59" s="808" t="n"/>
      <c r="BX59" s="808" t="n"/>
      <c r="BY59" s="808" t="n"/>
      <c r="BZ59" s="808" t="n"/>
      <c r="CA59" s="808" t="n"/>
      <c r="CB59" s="808" t="n"/>
      <c r="CC59" s="808" t="n"/>
      <c r="CD59" s="808" t="n"/>
      <c r="CE59" s="808" t="n"/>
      <c r="CF59" s="808" t="n"/>
      <c r="CG59" s="808" t="n"/>
      <c r="CH59" s="808" t="n"/>
      <c r="CI59" s="808" t="n"/>
      <c r="CJ59" s="808" t="n"/>
      <c r="CK59" s="808" t="n"/>
      <c r="CL59" s="808" t="n"/>
      <c r="CM59" s="808" t="n"/>
      <c r="CN59" s="808" t="n"/>
      <c r="CO59" s="808" t="n"/>
      <c r="CP59" s="808" t="n"/>
      <c r="CQ59" s="808" t="n"/>
      <c r="CR59" s="808" t="n"/>
      <c r="CS59" s="808" t="n"/>
      <c r="CT59" s="808" t="n"/>
    </row>
    <row r="60" ht="60" customFormat="1" customHeight="1" s="107">
      <c r="A60" s="211" t="inlineStr">
        <is>
          <t>NORDESTE</t>
        </is>
      </c>
      <c r="B60" s="211" t="inlineStr">
        <is>
          <t>RN</t>
        </is>
      </c>
      <c r="C60" s="211" t="inlineStr">
        <is>
          <t>NATAL</t>
        </is>
      </c>
      <c r="D60" s="211" t="inlineStr">
        <is>
          <t>LIGA NORTE RIOGRANDENSE CONTRA O CANCER</t>
        </is>
      </c>
      <c r="E60" s="214" t="inlineStr">
        <is>
          <t>08428765000139</t>
        </is>
      </c>
      <c r="F60" s="215" t="inlineStr">
        <is>
          <t>LIGA NORTERIOGRANDENSE CONTRA O CANCER</t>
        </is>
      </c>
      <c r="G60" s="216" t="n">
        <v>2409194</v>
      </c>
      <c r="H60" s="241" t="n">
        <v>-57981973</v>
      </c>
      <c r="I60" s="218" t="n">
        <v>-3523492401939600</v>
      </c>
      <c r="J60" s="211" t="inlineStr">
        <is>
          <t> </t>
        </is>
      </c>
      <c r="K60" s="211" t="inlineStr">
        <is>
          <t>Indireta</t>
        </is>
      </c>
      <c r="L60" s="211" t="inlineStr">
        <is>
          <t>Transferegov/SEI</t>
        </is>
      </c>
      <c r="M60" s="211" t="inlineStr">
        <is>
          <t>Convênio</t>
        </is>
      </c>
      <c r="N60" s="211" t="n">
        <v>2024</v>
      </c>
      <c r="O60" s="220" t="inlineStr">
        <is>
          <t xml:space="preserve"> 961375</t>
        </is>
      </c>
      <c r="P60" s="220" t="inlineStr">
        <is>
          <t>90842824009</t>
        </is>
      </c>
      <c r="Q60" s="220" t="inlineStr">
        <is>
          <t>25000.074445/2024-32</t>
        </is>
      </c>
      <c r="R60" s="211" t="inlineStr">
        <is>
          <t>REDE DE ATENÇÃO À PESSOA COM DOENÇAS CRÔNICAS - HOSPITAL HABILITADO NA ALTA COMPLEXIDADE EM ONCOLOGIA</t>
        </is>
      </c>
      <c r="S60" s="211" t="n"/>
      <c r="T60" s="211" t="inlineStr">
        <is>
          <t> </t>
        </is>
      </c>
      <c r="U60" s="211" t="inlineStr">
        <is>
          <t xml:space="preserve"> 19</t>
        </is>
      </c>
      <c r="V60" s="211" t="inlineStr">
        <is>
          <t xml:space="preserve"> NA</t>
        </is>
      </c>
      <c r="W60" s="211" t="inlineStr">
        <is>
          <t xml:space="preserve"> UND</t>
        </is>
      </c>
      <c r="X60" s="211" t="inlineStr">
        <is>
          <t>EQUIPAMENTO</t>
        </is>
      </c>
      <c r="Y60" s="211" t="inlineStr">
        <is>
          <t xml:space="preserve"> NA</t>
        </is>
      </c>
      <c r="Z60" s="211" t="inlineStr">
        <is>
          <t xml:space="preserve"> NA</t>
        </is>
      </c>
      <c r="AA60" s="222" t="inlineStr">
        <is>
          <t> </t>
        </is>
      </c>
      <c r="AB60" s="222" t="inlineStr">
        <is>
          <t> </t>
        </is>
      </c>
      <c r="AC60" s="222" t="inlineStr">
        <is>
          <t> </t>
        </is>
      </c>
      <c r="AD60" s="211" t="inlineStr">
        <is>
          <t>NI</t>
        </is>
      </c>
      <c r="AE60" s="211" t="inlineStr">
        <is>
          <t>NI</t>
        </is>
      </c>
      <c r="AF60" s="211" t="inlineStr">
        <is>
          <t>NI</t>
        </is>
      </c>
      <c r="AG60" s="223" t="n">
        <v>299058</v>
      </c>
      <c r="AH60" s="223" t="n">
        <v>0</v>
      </c>
      <c r="AI60" s="222" t="inlineStr">
        <is>
          <t> </t>
        </is>
      </c>
      <c r="AJ60" s="211" t="n">
        <v>8535</v>
      </c>
      <c r="AK60" s="223" t="inlineStr">
        <is>
          <t> </t>
        </is>
      </c>
      <c r="AL60" s="223" t="inlineStr">
        <is>
          <t> </t>
        </is>
      </c>
      <c r="AM60" s="223" t="inlineStr">
        <is>
          <t> </t>
        </is>
      </c>
      <c r="AN60" s="223" t="inlineStr">
        <is>
          <t> </t>
        </is>
      </c>
      <c r="AO60" s="223" t="inlineStr">
        <is>
          <t> </t>
        </is>
      </c>
      <c r="AP60" s="223" t="inlineStr">
        <is>
          <t> </t>
        </is>
      </c>
      <c r="AQ60" s="223" t="inlineStr">
        <is>
          <t> </t>
        </is>
      </c>
      <c r="AR60" s="223" t="inlineStr">
        <is>
          <t> </t>
        </is>
      </c>
      <c r="AS60" s="223" t="inlineStr">
        <is>
          <t> </t>
        </is>
      </c>
      <c r="AT60" s="223" t="inlineStr">
        <is>
          <t> </t>
        </is>
      </c>
      <c r="AU60" s="223" t="inlineStr">
        <is>
          <t> </t>
        </is>
      </c>
      <c r="AV60" s="223" t="inlineStr">
        <is>
          <t> </t>
        </is>
      </c>
      <c r="AW60" s="223" t="inlineStr">
        <is>
          <t> </t>
        </is>
      </c>
      <c r="AX60" s="223" t="inlineStr">
        <is>
          <t> </t>
        </is>
      </c>
      <c r="AY60" s="210" t="inlineStr">
        <is>
          <t>EM EXECUÇÃO</t>
        </is>
      </c>
      <c r="AZ60" s="210" t="inlineStr">
        <is>
          <t>NI</t>
        </is>
      </c>
      <c r="BA60" s="210" t="inlineStr">
        <is>
          <t>NI</t>
        </is>
      </c>
      <c r="BB60" s="210" t="inlineStr">
        <is>
          <t>NI</t>
        </is>
      </c>
      <c r="BC60" s="224" t="inlineStr">
        <is>
          <t>NA</t>
        </is>
      </c>
      <c r="BD60" s="211" t="inlineStr">
        <is>
          <t>NA</t>
        </is>
      </c>
      <c r="BE60" s="211" t="inlineStr">
        <is>
          <t>NA</t>
        </is>
      </c>
      <c r="BF60" s="211" t="inlineStr">
        <is>
          <t>NA</t>
        </is>
      </c>
      <c r="BG60" s="225" t="inlineStr">
        <is>
          <t>NA</t>
        </is>
      </c>
      <c r="BH60" s="211" t="inlineStr">
        <is>
          <t>NA</t>
        </is>
      </c>
      <c r="BI60" s="211" t="inlineStr">
        <is>
          <t>NA</t>
        </is>
      </c>
      <c r="BJ60" s="211" t="inlineStr">
        <is>
          <t>NA</t>
        </is>
      </c>
      <c r="BK60" s="211" t="inlineStr">
        <is>
          <t>NA</t>
        </is>
      </c>
      <c r="BL60" s="219" t="inlineStr">
        <is>
          <t>NA</t>
        </is>
      </c>
      <c r="BM60" s="811" t="n"/>
      <c r="BN60" s="811" t="n"/>
      <c r="BO60" s="811" t="n"/>
      <c r="BP60" s="811" t="n"/>
      <c r="BQ60" s="811" t="n"/>
      <c r="BR60" s="811" t="n"/>
      <c r="BS60" s="811" t="n"/>
      <c r="BT60" s="222" t="inlineStr">
        <is>
          <t>NA</t>
        </is>
      </c>
      <c r="BU60" s="223" t="n">
        <v>0</v>
      </c>
      <c r="BV60" s="808" t="n"/>
      <c r="BW60" s="808" t="n"/>
      <c r="BX60" s="808" t="n"/>
      <c r="BY60" s="808" t="n"/>
      <c r="BZ60" s="808" t="n"/>
      <c r="CA60" s="808" t="n"/>
      <c r="CB60" s="808" t="n"/>
      <c r="CC60" s="808" t="n"/>
      <c r="CD60" s="808" t="n"/>
      <c r="CE60" s="808" t="n"/>
      <c r="CF60" s="808" t="n"/>
      <c r="CG60" s="808" t="n"/>
      <c r="CH60" s="808" t="n"/>
      <c r="CI60" s="808" t="n"/>
      <c r="CJ60" s="808" t="n"/>
      <c r="CK60" s="808" t="n"/>
      <c r="CL60" s="808" t="n"/>
      <c r="CM60" s="808" t="n"/>
      <c r="CN60" s="808" t="n"/>
      <c r="CO60" s="808" t="n"/>
      <c r="CP60" s="808" t="n"/>
      <c r="CQ60" s="808" t="n"/>
      <c r="CR60" s="808" t="n"/>
      <c r="CS60" s="808" t="n"/>
      <c r="CT60" s="808" t="n"/>
    </row>
    <row r="61" ht="60" customFormat="1" customHeight="1" s="107">
      <c r="A61" s="211" t="inlineStr">
        <is>
          <t>NORDESTE</t>
        </is>
      </c>
      <c r="B61" s="211" t="inlineStr">
        <is>
          <t>RN</t>
        </is>
      </c>
      <c r="C61" s="211" t="inlineStr">
        <is>
          <t>NATAL</t>
        </is>
      </c>
      <c r="D61" s="211" t="inlineStr">
        <is>
          <t>LIGA NORTE RIOGRANDENSE CONTRA O CANCER</t>
        </is>
      </c>
      <c r="E61" s="214" t="inlineStr">
        <is>
          <t>08428765000139</t>
        </is>
      </c>
      <c r="F61" s="215" t="inlineStr">
        <is>
          <t>LIGA NORTERIOGRANDENSE CONTRA O CANCER</t>
        </is>
      </c>
      <c r="G61" s="216" t="n">
        <v>2409194</v>
      </c>
      <c r="H61" s="241" t="n">
        <v>-57981973</v>
      </c>
      <c r="I61" s="218" t="n">
        <v>-3523492401939600</v>
      </c>
      <c r="J61" s="211" t="inlineStr">
        <is>
          <t> </t>
        </is>
      </c>
      <c r="K61" s="211" t="inlineStr">
        <is>
          <t>Indireta</t>
        </is>
      </c>
      <c r="L61" s="211" t="inlineStr">
        <is>
          <t>Transferegov/SEI</t>
        </is>
      </c>
      <c r="M61" s="211" t="inlineStr">
        <is>
          <t>Convênio</t>
        </is>
      </c>
      <c r="N61" s="211" t="n">
        <v>2024</v>
      </c>
      <c r="O61" s="220" t="inlineStr">
        <is>
          <t xml:space="preserve"> 961377</t>
        </is>
      </c>
      <c r="P61" s="220" t="inlineStr">
        <is>
          <t>90842824010</t>
        </is>
      </c>
      <c r="Q61" s="220" t="inlineStr">
        <is>
          <t>25000.074404/2024-46</t>
        </is>
      </c>
      <c r="R61" s="211" t="inlineStr">
        <is>
          <t>REDE DE ATENÇÃO À PESSOA COM DOENÇAS CRÔNICAS - HOSPITAL HABILITADO NA ALTA COMPLEXIDADE EM ONCOLOGIA</t>
        </is>
      </c>
      <c r="S61" s="211" t="n"/>
      <c r="T61" s="211" t="inlineStr">
        <is>
          <t> </t>
        </is>
      </c>
      <c r="U61" s="211" t="inlineStr">
        <is>
          <t xml:space="preserve"> 6</t>
        </is>
      </c>
      <c r="V61" s="211" t="inlineStr">
        <is>
          <t xml:space="preserve"> NA</t>
        </is>
      </c>
      <c r="W61" s="211" t="inlineStr">
        <is>
          <t xml:space="preserve"> UND</t>
        </is>
      </c>
      <c r="X61" s="211" t="inlineStr">
        <is>
          <t>EQUIPAMENTO</t>
        </is>
      </c>
      <c r="Y61" s="211" t="inlineStr">
        <is>
          <t xml:space="preserve"> NA</t>
        </is>
      </c>
      <c r="Z61" s="211" t="inlineStr">
        <is>
          <t xml:space="preserve"> NA</t>
        </is>
      </c>
      <c r="AA61" s="222" t="inlineStr">
        <is>
          <t> </t>
        </is>
      </c>
      <c r="AB61" s="222" t="inlineStr">
        <is>
          <t> </t>
        </is>
      </c>
      <c r="AC61" s="222" t="inlineStr">
        <is>
          <t> </t>
        </is>
      </c>
      <c r="AD61" s="211" t="inlineStr">
        <is>
          <t>NI</t>
        </is>
      </c>
      <c r="AE61" s="211" t="inlineStr">
        <is>
          <t>NI</t>
        </is>
      </c>
      <c r="AF61" s="211" t="inlineStr">
        <is>
          <t>NI</t>
        </is>
      </c>
      <c r="AG61" s="223" t="n">
        <v>496888</v>
      </c>
      <c r="AH61" s="223" t="n">
        <v>0</v>
      </c>
      <c r="AI61" s="222" t="inlineStr">
        <is>
          <t> </t>
        </is>
      </c>
      <c r="AJ61" s="211" t="n">
        <v>8535</v>
      </c>
      <c r="AK61" s="223" t="inlineStr">
        <is>
          <t> </t>
        </is>
      </c>
      <c r="AL61" s="223" t="inlineStr">
        <is>
          <t> </t>
        </is>
      </c>
      <c r="AM61" s="223" t="inlineStr">
        <is>
          <t> </t>
        </is>
      </c>
      <c r="AN61" s="223" t="inlineStr">
        <is>
          <t> </t>
        </is>
      </c>
      <c r="AO61" s="223" t="inlineStr">
        <is>
          <t> </t>
        </is>
      </c>
      <c r="AP61" s="223" t="inlineStr">
        <is>
          <t> </t>
        </is>
      </c>
      <c r="AQ61" s="223" t="inlineStr">
        <is>
          <t> </t>
        </is>
      </c>
      <c r="AR61" s="223" t="inlineStr">
        <is>
          <t> </t>
        </is>
      </c>
      <c r="AS61" s="223" t="inlineStr">
        <is>
          <t> </t>
        </is>
      </c>
      <c r="AT61" s="223" t="inlineStr">
        <is>
          <t> </t>
        </is>
      </c>
      <c r="AU61" s="223" t="inlineStr">
        <is>
          <t> </t>
        </is>
      </c>
      <c r="AV61" s="223" t="inlineStr">
        <is>
          <t> </t>
        </is>
      </c>
      <c r="AW61" s="223" t="inlineStr">
        <is>
          <t> </t>
        </is>
      </c>
      <c r="AX61" s="223" t="inlineStr">
        <is>
          <t> </t>
        </is>
      </c>
      <c r="AY61" s="210" t="inlineStr">
        <is>
          <t>EM EXECUÇÃO</t>
        </is>
      </c>
      <c r="AZ61" s="210" t="inlineStr">
        <is>
          <t>NI</t>
        </is>
      </c>
      <c r="BA61" s="210" t="inlineStr">
        <is>
          <t>NI</t>
        </is>
      </c>
      <c r="BB61" s="210" t="inlineStr">
        <is>
          <t>NI</t>
        </is>
      </c>
      <c r="BC61" s="224" t="inlineStr">
        <is>
          <t>NA</t>
        </is>
      </c>
      <c r="BD61" s="211" t="inlineStr">
        <is>
          <t>NA</t>
        </is>
      </c>
      <c r="BE61" s="211" t="inlineStr">
        <is>
          <t>NA</t>
        </is>
      </c>
      <c r="BF61" s="211" t="inlineStr">
        <is>
          <t>NA</t>
        </is>
      </c>
      <c r="BG61" s="225" t="inlineStr">
        <is>
          <t>NA</t>
        </is>
      </c>
      <c r="BH61" s="211" t="inlineStr">
        <is>
          <t>NA</t>
        </is>
      </c>
      <c r="BI61" s="211" t="inlineStr">
        <is>
          <t>NA</t>
        </is>
      </c>
      <c r="BJ61" s="211" t="inlineStr">
        <is>
          <t>NA</t>
        </is>
      </c>
      <c r="BK61" s="211" t="inlineStr">
        <is>
          <t>NA</t>
        </is>
      </c>
      <c r="BL61" s="219" t="inlineStr">
        <is>
          <t>NA</t>
        </is>
      </c>
      <c r="BM61" s="811" t="n"/>
      <c r="BN61" s="811" t="n"/>
      <c r="BO61" s="811" t="n"/>
      <c r="BP61" s="811" t="n"/>
      <c r="BQ61" s="811" t="n"/>
      <c r="BR61" s="811" t="n"/>
      <c r="BS61" s="811" t="n"/>
      <c r="BT61" s="222" t="inlineStr">
        <is>
          <t>NA</t>
        </is>
      </c>
      <c r="BU61" s="223" t="n">
        <v>0</v>
      </c>
      <c r="BV61" s="808" t="n"/>
      <c r="BW61" s="808" t="n"/>
      <c r="BX61" s="808" t="n"/>
      <c r="BY61" s="808" t="n"/>
      <c r="BZ61" s="808" t="n"/>
      <c r="CA61" s="808" t="n"/>
      <c r="CB61" s="808" t="n"/>
      <c r="CC61" s="808" t="n"/>
      <c r="CD61" s="808" t="n"/>
      <c r="CE61" s="808" t="n"/>
      <c r="CF61" s="808" t="n"/>
      <c r="CG61" s="808" t="n"/>
      <c r="CH61" s="808" t="n"/>
      <c r="CI61" s="808" t="n"/>
      <c r="CJ61" s="808" t="n"/>
      <c r="CK61" s="808" t="n"/>
      <c r="CL61" s="808" t="n"/>
      <c r="CM61" s="808" t="n"/>
      <c r="CN61" s="808" t="n"/>
      <c r="CO61" s="808" t="n"/>
      <c r="CP61" s="808" t="n"/>
      <c r="CQ61" s="808" t="n"/>
      <c r="CR61" s="808" t="n"/>
      <c r="CS61" s="808" t="n"/>
      <c r="CT61" s="808" t="n"/>
    </row>
    <row r="62" ht="60" customFormat="1" customHeight="1" s="107">
      <c r="A62" s="211" t="inlineStr">
        <is>
          <t>NORDESTE</t>
        </is>
      </c>
      <c r="B62" s="211" t="inlineStr">
        <is>
          <t>RN</t>
        </is>
      </c>
      <c r="C62" s="211" t="inlineStr">
        <is>
          <t>NATAL</t>
        </is>
      </c>
      <c r="D62" s="211" t="inlineStr">
        <is>
          <t>LIGA NORTE RIOGRANDENSE CONTRA O CANCER</t>
        </is>
      </c>
      <c r="E62" s="214" t="inlineStr">
        <is>
          <t>08428765000139</t>
        </is>
      </c>
      <c r="F62" s="215" t="inlineStr">
        <is>
          <t>LIGA NORTERIOGRANDENSE CONTRA O CANCER</t>
        </is>
      </c>
      <c r="G62" s="216" t="n">
        <v>2409194</v>
      </c>
      <c r="H62" s="241" t="n">
        <v>-57981973</v>
      </c>
      <c r="I62" s="218" t="n">
        <v>-3523492401939600</v>
      </c>
      <c r="J62" s="211" t="inlineStr">
        <is>
          <t> </t>
        </is>
      </c>
      <c r="K62" s="211" t="inlineStr">
        <is>
          <t>Indireta</t>
        </is>
      </c>
      <c r="L62" s="211" t="inlineStr">
        <is>
          <t>Transferegov/SEI</t>
        </is>
      </c>
      <c r="M62" s="211" t="inlineStr">
        <is>
          <t>Convênio</t>
        </is>
      </c>
      <c r="N62" s="211" t="n">
        <v>2024</v>
      </c>
      <c r="O62" s="220" t="inlineStr">
        <is>
          <t>970524</t>
        </is>
      </c>
      <c r="P62" s="220" t="inlineStr">
        <is>
          <t>90842824012</t>
        </is>
      </c>
      <c r="Q62" s="214" t="inlineStr">
        <is>
          <t>25000.136782/2024-21</t>
        </is>
      </c>
      <c r="R62" s="211" t="inlineStr">
        <is>
          <t>REDE DE ATENÇÃO À PESSOA COM DOENÇAS CRÔNICAS - HOSPITAL HABILITADO NA ALTA COMPLEXIDADE EM ONCOLOGIA</t>
        </is>
      </c>
      <c r="S62" s="211" t="n"/>
      <c r="T62" s="211" t="inlineStr">
        <is>
          <t> </t>
        </is>
      </c>
      <c r="U62" s="211" t="inlineStr">
        <is>
          <t xml:space="preserve"> 4</t>
        </is>
      </c>
      <c r="V62" s="211" t="inlineStr">
        <is>
          <t xml:space="preserve"> NA</t>
        </is>
      </c>
      <c r="W62" s="211" t="inlineStr">
        <is>
          <t xml:space="preserve"> UND</t>
        </is>
      </c>
      <c r="X62" s="211" t="inlineStr">
        <is>
          <t>EQUIPAMENTO</t>
        </is>
      </c>
      <c r="Y62" s="211" t="inlineStr">
        <is>
          <t xml:space="preserve"> NA</t>
        </is>
      </c>
      <c r="Z62" s="211" t="inlineStr">
        <is>
          <t xml:space="preserve"> NA</t>
        </is>
      </c>
      <c r="AA62" s="222" t="inlineStr">
        <is>
          <t> </t>
        </is>
      </c>
      <c r="AB62" s="222" t="inlineStr">
        <is>
          <t> </t>
        </is>
      </c>
      <c r="AC62" s="222" t="inlineStr">
        <is>
          <t> </t>
        </is>
      </c>
      <c r="AD62" s="211" t="inlineStr">
        <is>
          <t>NI</t>
        </is>
      </c>
      <c r="AE62" s="211" t="inlineStr">
        <is>
          <t>NI</t>
        </is>
      </c>
      <c r="AF62" s="211" t="inlineStr">
        <is>
          <t>NI</t>
        </is>
      </c>
      <c r="AG62" s="223" t="n">
        <v>500942</v>
      </c>
      <c r="AH62" s="223" t="n">
        <v>11058</v>
      </c>
      <c r="AI62" s="222" t="inlineStr">
        <is>
          <t> </t>
        </is>
      </c>
      <c r="AJ62" s="211" t="n">
        <v>8535</v>
      </c>
      <c r="AK62" s="223" t="inlineStr">
        <is>
          <t> </t>
        </is>
      </c>
      <c r="AL62" s="223" t="inlineStr">
        <is>
          <t> </t>
        </is>
      </c>
      <c r="AM62" s="223" t="inlineStr">
        <is>
          <t> </t>
        </is>
      </c>
      <c r="AN62" s="223" t="inlineStr">
        <is>
          <t> </t>
        </is>
      </c>
      <c r="AO62" s="223" t="inlineStr">
        <is>
          <t> </t>
        </is>
      </c>
      <c r="AP62" s="223" t="inlineStr">
        <is>
          <t> </t>
        </is>
      </c>
      <c r="AQ62" s="223" t="inlineStr">
        <is>
          <t> </t>
        </is>
      </c>
      <c r="AR62" s="223" t="inlineStr">
        <is>
          <t> </t>
        </is>
      </c>
      <c r="AS62" s="223" t="inlineStr">
        <is>
          <t> </t>
        </is>
      </c>
      <c r="AT62" s="223" t="inlineStr">
        <is>
          <t> </t>
        </is>
      </c>
      <c r="AU62" s="223" t="inlineStr">
        <is>
          <t> </t>
        </is>
      </c>
      <c r="AV62" s="223" t="inlineStr">
        <is>
          <t> </t>
        </is>
      </c>
      <c r="AW62" s="223" t="inlineStr">
        <is>
          <t> </t>
        </is>
      </c>
      <c r="AX62" s="223" t="inlineStr">
        <is>
          <t> </t>
        </is>
      </c>
      <c r="AY62" s="210" t="inlineStr">
        <is>
          <t>EM EXECUÇÃO</t>
        </is>
      </c>
      <c r="AZ62" s="210" t="inlineStr">
        <is>
          <t>NI</t>
        </is>
      </c>
      <c r="BA62" s="210" t="inlineStr">
        <is>
          <t>NI</t>
        </is>
      </c>
      <c r="BB62" s="210" t="inlineStr">
        <is>
          <t>NI</t>
        </is>
      </c>
      <c r="BC62" s="224" t="inlineStr">
        <is>
          <t>NA</t>
        </is>
      </c>
      <c r="BD62" s="211" t="inlineStr">
        <is>
          <t>NA</t>
        </is>
      </c>
      <c r="BE62" s="211" t="inlineStr">
        <is>
          <t>NA</t>
        </is>
      </c>
      <c r="BF62" s="211" t="inlineStr">
        <is>
          <t>NA</t>
        </is>
      </c>
      <c r="BG62" s="225" t="inlineStr">
        <is>
          <t>NA</t>
        </is>
      </c>
      <c r="BH62" s="211" t="inlineStr">
        <is>
          <t>NA</t>
        </is>
      </c>
      <c r="BI62" s="211" t="inlineStr">
        <is>
          <t>NA</t>
        </is>
      </c>
      <c r="BJ62" s="211" t="inlineStr">
        <is>
          <t>NA</t>
        </is>
      </c>
      <c r="BK62" s="211" t="inlineStr">
        <is>
          <t>NA</t>
        </is>
      </c>
      <c r="BL62" s="219" t="inlineStr">
        <is>
          <t>NA</t>
        </is>
      </c>
      <c r="BM62" s="811" t="n"/>
      <c r="BN62" s="811" t="n"/>
      <c r="BO62" s="811" t="n"/>
      <c r="BP62" s="811" t="n"/>
      <c r="BQ62" s="811" t="n"/>
      <c r="BR62" s="811" t="n"/>
      <c r="BS62" s="811" t="n"/>
      <c r="BT62" s="222" t="inlineStr">
        <is>
          <t>NA</t>
        </is>
      </c>
      <c r="BU62" s="223" t="n">
        <v>0</v>
      </c>
      <c r="BV62" s="808" t="n"/>
      <c r="BW62" s="808" t="n"/>
      <c r="BX62" s="808" t="n"/>
      <c r="BY62" s="808" t="n"/>
      <c r="BZ62" s="808" t="n"/>
      <c r="CA62" s="808" t="n"/>
      <c r="CB62" s="808" t="n"/>
      <c r="CC62" s="808" t="n"/>
      <c r="CD62" s="808" t="n"/>
      <c r="CE62" s="808" t="n"/>
      <c r="CF62" s="808" t="n"/>
      <c r="CG62" s="808" t="n"/>
      <c r="CH62" s="808" t="n"/>
      <c r="CI62" s="808" t="n"/>
      <c r="CJ62" s="808" t="n"/>
      <c r="CK62" s="808" t="n"/>
      <c r="CL62" s="808" t="n"/>
      <c r="CM62" s="808" t="n"/>
      <c r="CN62" s="808" t="n"/>
      <c r="CO62" s="808" t="n"/>
      <c r="CP62" s="808" t="n"/>
      <c r="CQ62" s="808" t="n"/>
      <c r="CR62" s="808" t="n"/>
      <c r="CS62" s="808" t="n"/>
      <c r="CT62" s="808" t="n"/>
    </row>
    <row r="63" ht="60" customFormat="1" customHeight="1" s="107">
      <c r="A63" s="211" t="inlineStr">
        <is>
          <t>NORDESTE</t>
        </is>
      </c>
      <c r="B63" s="211" t="inlineStr">
        <is>
          <t>RN</t>
        </is>
      </c>
      <c r="C63" s="211" t="inlineStr">
        <is>
          <t>NATAL</t>
        </is>
      </c>
      <c r="D63" s="211" t="inlineStr">
        <is>
          <t>LIGA NORTE RIOGRANDENSE CONTRA O CANCER</t>
        </is>
      </c>
      <c r="E63" s="214" t="inlineStr">
        <is>
          <t>08428765000139</t>
        </is>
      </c>
      <c r="F63" s="215" t="inlineStr">
        <is>
          <t xml:space="preserve">LIGA NORTERIOGRANDENSE CONTRA O CANCER </t>
        </is>
      </c>
      <c r="G63" s="216" t="n">
        <v>2409194</v>
      </c>
      <c r="H63" s="241" t="n">
        <v>-57981973</v>
      </c>
      <c r="I63" s="218" t="n">
        <v>-3523492401939600</v>
      </c>
      <c r="J63" s="211" t="inlineStr">
        <is>
          <t> </t>
        </is>
      </c>
      <c r="K63" s="211" t="inlineStr">
        <is>
          <t>Indireta</t>
        </is>
      </c>
      <c r="L63" s="211" t="inlineStr">
        <is>
          <t>Transferegov/SEI</t>
        </is>
      </c>
      <c r="M63" s="211" t="inlineStr">
        <is>
          <t>Convênio</t>
        </is>
      </c>
      <c r="N63" s="211" t="n">
        <v>2024</v>
      </c>
      <c r="O63" s="220" t="inlineStr">
        <is>
          <t xml:space="preserve"> 970520</t>
        </is>
      </c>
      <c r="P63" s="220" t="inlineStr">
        <is>
          <t>90842824014</t>
        </is>
      </c>
      <c r="Q63" s="220" t="inlineStr">
        <is>
          <t>25000.164406/2024-26</t>
        </is>
      </c>
      <c r="R63" s="211" t="inlineStr">
        <is>
          <t>REDE DE ATENÇÃO À PESSOA COM DOENÇAS CRÔNICAS - HOSPITAL HABILITADO NA ALTA COMPLEXIDADE EM ONCOLOGIA</t>
        </is>
      </c>
      <c r="S63" s="211" t="n"/>
      <c r="T63" s="211" t="inlineStr">
        <is>
          <t> </t>
        </is>
      </c>
      <c r="U63" s="211" t="inlineStr">
        <is>
          <t xml:space="preserve"> 7</t>
        </is>
      </c>
      <c r="V63" s="211" t="inlineStr">
        <is>
          <t xml:space="preserve"> NA</t>
        </is>
      </c>
      <c r="W63" s="211" t="inlineStr">
        <is>
          <t xml:space="preserve"> UND</t>
        </is>
      </c>
      <c r="X63" s="211" t="inlineStr">
        <is>
          <t>EQUIPAMENTO</t>
        </is>
      </c>
      <c r="Y63" s="211" t="inlineStr">
        <is>
          <t xml:space="preserve"> NA</t>
        </is>
      </c>
      <c r="Z63" s="211" t="inlineStr">
        <is>
          <t xml:space="preserve"> NA</t>
        </is>
      </c>
      <c r="AA63" s="222" t="inlineStr">
        <is>
          <t> </t>
        </is>
      </c>
      <c r="AB63" s="222" t="inlineStr">
        <is>
          <t> </t>
        </is>
      </c>
      <c r="AC63" s="222" t="inlineStr">
        <is>
          <t> </t>
        </is>
      </c>
      <c r="AD63" s="211" t="inlineStr">
        <is>
          <t>NI</t>
        </is>
      </c>
      <c r="AE63" s="211" t="inlineStr">
        <is>
          <t>NI</t>
        </is>
      </c>
      <c r="AF63" s="211" t="inlineStr">
        <is>
          <t>NI</t>
        </is>
      </c>
      <c r="AG63" s="223" t="n">
        <v>300000</v>
      </c>
      <c r="AH63" s="223" t="n">
        <v>3382</v>
      </c>
      <c r="AI63" s="222" t="inlineStr">
        <is>
          <t> </t>
        </is>
      </c>
      <c r="AJ63" s="211" t="n">
        <v>8535</v>
      </c>
      <c r="AK63" s="223" t="inlineStr">
        <is>
          <t> </t>
        </is>
      </c>
      <c r="AL63" s="223" t="inlineStr">
        <is>
          <t> </t>
        </is>
      </c>
      <c r="AM63" s="223" t="inlineStr">
        <is>
          <t> </t>
        </is>
      </c>
      <c r="AN63" s="223" t="inlineStr">
        <is>
          <t> </t>
        </is>
      </c>
      <c r="AO63" s="223" t="inlineStr">
        <is>
          <t> </t>
        </is>
      </c>
      <c r="AP63" s="223" t="inlineStr">
        <is>
          <t> </t>
        </is>
      </c>
      <c r="AQ63" s="223" t="inlineStr">
        <is>
          <t> </t>
        </is>
      </c>
      <c r="AR63" s="223" t="inlineStr">
        <is>
          <t> </t>
        </is>
      </c>
      <c r="AS63" s="223" t="inlineStr">
        <is>
          <t> </t>
        </is>
      </c>
      <c r="AT63" s="223" t="inlineStr">
        <is>
          <t> </t>
        </is>
      </c>
      <c r="AU63" s="223" t="inlineStr">
        <is>
          <t> </t>
        </is>
      </c>
      <c r="AV63" s="223" t="inlineStr">
        <is>
          <t> </t>
        </is>
      </c>
      <c r="AW63" s="223" t="inlineStr">
        <is>
          <t> </t>
        </is>
      </c>
      <c r="AX63" s="223" t="inlineStr">
        <is>
          <t> </t>
        </is>
      </c>
      <c r="AY63" s="210" t="inlineStr">
        <is>
          <t>EM EXECUÇÃO</t>
        </is>
      </c>
      <c r="AZ63" s="210" t="inlineStr">
        <is>
          <t>NI</t>
        </is>
      </c>
      <c r="BA63" s="210" t="inlineStr">
        <is>
          <t>NI</t>
        </is>
      </c>
      <c r="BB63" s="210" t="inlineStr">
        <is>
          <t>NI</t>
        </is>
      </c>
      <c r="BC63" s="224" t="inlineStr">
        <is>
          <t>NA</t>
        </is>
      </c>
      <c r="BD63" s="211" t="inlineStr">
        <is>
          <t>NA</t>
        </is>
      </c>
      <c r="BE63" s="211" t="inlineStr">
        <is>
          <t>NA</t>
        </is>
      </c>
      <c r="BF63" s="211" t="inlineStr">
        <is>
          <t>NA</t>
        </is>
      </c>
      <c r="BG63" s="225" t="inlineStr">
        <is>
          <t>NA</t>
        </is>
      </c>
      <c r="BH63" s="211" t="inlineStr">
        <is>
          <t>NA</t>
        </is>
      </c>
      <c r="BI63" s="211" t="inlineStr">
        <is>
          <t>NA</t>
        </is>
      </c>
      <c r="BJ63" s="211" t="inlineStr">
        <is>
          <t>NA</t>
        </is>
      </c>
      <c r="BK63" s="211" t="inlineStr">
        <is>
          <t>NA</t>
        </is>
      </c>
      <c r="BL63" s="219" t="inlineStr">
        <is>
          <t>NA</t>
        </is>
      </c>
      <c r="BM63" s="811" t="n"/>
      <c r="BN63" s="811" t="n"/>
      <c r="BO63" s="811" t="n"/>
      <c r="BP63" s="811" t="n"/>
      <c r="BQ63" s="811" t="n"/>
      <c r="BR63" s="811" t="n"/>
      <c r="BS63" s="811" t="n"/>
      <c r="BT63" s="222" t="inlineStr">
        <is>
          <t>NA</t>
        </is>
      </c>
      <c r="BU63" s="223" t="n">
        <v>0</v>
      </c>
      <c r="BV63" s="808" t="n"/>
      <c r="BW63" s="808" t="n"/>
      <c r="BX63" s="808" t="n"/>
      <c r="BY63" s="808" t="n"/>
      <c r="BZ63" s="808" t="n"/>
      <c r="CA63" s="808" t="n"/>
      <c r="CB63" s="808" t="n"/>
      <c r="CC63" s="808" t="n"/>
      <c r="CD63" s="808" t="n"/>
      <c r="CE63" s="808" t="n"/>
      <c r="CF63" s="808" t="n"/>
      <c r="CG63" s="808" t="n"/>
      <c r="CH63" s="808" t="n"/>
      <c r="CI63" s="808" t="n"/>
      <c r="CJ63" s="808" t="n"/>
      <c r="CK63" s="808" t="n"/>
      <c r="CL63" s="808" t="n"/>
      <c r="CM63" s="808" t="n"/>
      <c r="CN63" s="808" t="n"/>
      <c r="CO63" s="808" t="n"/>
      <c r="CP63" s="808" t="n"/>
      <c r="CQ63" s="808" t="n"/>
      <c r="CR63" s="808" t="n"/>
      <c r="CS63" s="808" t="n"/>
      <c r="CT63" s="808" t="n"/>
    </row>
    <row r="64" ht="60" customFormat="1" customHeight="1" s="107">
      <c r="A64" s="211" t="inlineStr">
        <is>
          <t>SUL</t>
        </is>
      </c>
      <c r="B64" s="211" t="inlineStr">
        <is>
          <t>SC</t>
        </is>
      </c>
      <c r="C64" s="211" t="inlineStr">
        <is>
          <t>BLUMENAU</t>
        </is>
      </c>
      <c r="D64" s="211" t="inlineStr">
        <is>
          <t>REDE FEMININA DE COMBATE AO CANCER DE BLUMENAU</t>
        </is>
      </c>
      <c r="E64" s="214" t="inlineStr">
        <is>
          <t>83132167000133</t>
        </is>
      </c>
      <c r="F64" s="215" t="inlineStr">
        <is>
          <t>REDE FEMININA DE COMBATE AO CANCER DE BLUMENAU</t>
        </is>
      </c>
      <c r="G64" s="216" t="n">
        <v>2522276</v>
      </c>
      <c r="H64" s="241" t="n">
        <v>-2.6922796936396e+16</v>
      </c>
      <c r="I64" s="218" t="n">
        <v>-4906614303588860</v>
      </c>
      <c r="J64" s="211" t="inlineStr">
        <is>
          <t> </t>
        </is>
      </c>
      <c r="K64" s="211" t="inlineStr">
        <is>
          <t>Indireta</t>
        </is>
      </c>
      <c r="L64" s="211" t="inlineStr">
        <is>
          <t>Transferegov/SEI</t>
        </is>
      </c>
      <c r="M64" s="211" t="inlineStr">
        <is>
          <t>Convênio</t>
        </is>
      </c>
      <c r="N64" s="211" t="n">
        <v>2024</v>
      </c>
      <c r="O64" s="220" t="inlineStr">
        <is>
          <t>973720</t>
        </is>
      </c>
      <c r="P64" s="214" t="inlineStr">
        <is>
          <t>98313224008</t>
        </is>
      </c>
      <c r="Q64" s="214" t="inlineStr">
        <is>
          <t>25000.198548/2024-97</t>
        </is>
      </c>
      <c r="R64" s="211" t="inlineStr">
        <is>
          <t>REDE DE ATENÇÃO À PESSOA COM DOENÇAS CRÔNICAS - AMBULATÓRIO PARA DIAGNÓSTICO EM ONCOLOGIA</t>
        </is>
      </c>
      <c r="S64" s="211" t="n"/>
      <c r="T64" s="211" t="inlineStr">
        <is>
          <t> </t>
        </is>
      </c>
      <c r="U64" s="211" t="inlineStr">
        <is>
          <t xml:space="preserve"> 101</t>
        </is>
      </c>
      <c r="V64" s="211" t="inlineStr">
        <is>
          <t xml:space="preserve"> NA</t>
        </is>
      </c>
      <c r="W64" s="211" t="inlineStr">
        <is>
          <t xml:space="preserve"> UND</t>
        </is>
      </c>
      <c r="X64" s="211" t="inlineStr">
        <is>
          <t>EQUIPAMENTO</t>
        </is>
      </c>
      <c r="Y64" s="211" t="inlineStr">
        <is>
          <t xml:space="preserve"> NA</t>
        </is>
      </c>
      <c r="Z64" s="211" t="inlineStr">
        <is>
          <t xml:space="preserve"> NA</t>
        </is>
      </c>
      <c r="AA64" s="222" t="inlineStr">
        <is>
          <t> </t>
        </is>
      </c>
      <c r="AB64" s="222" t="inlineStr">
        <is>
          <t> </t>
        </is>
      </c>
      <c r="AC64" s="222" t="inlineStr">
        <is>
          <t> </t>
        </is>
      </c>
      <c r="AD64" s="211" t="inlineStr">
        <is>
          <t>NI</t>
        </is>
      </c>
      <c r="AE64" s="211" t="inlineStr">
        <is>
          <t>NI</t>
        </is>
      </c>
      <c r="AF64" s="211" t="inlineStr">
        <is>
          <t>NI</t>
        </is>
      </c>
      <c r="AG64" s="223" t="n">
        <v>20</v>
      </c>
      <c r="AH64" s="223" t="n">
        <v>0</v>
      </c>
      <c r="AI64" s="222" t="inlineStr">
        <is>
          <t> </t>
        </is>
      </c>
      <c r="AJ64" s="211" t="n">
        <v>8535</v>
      </c>
      <c r="AK64" s="223" t="inlineStr">
        <is>
          <t> </t>
        </is>
      </c>
      <c r="AL64" s="223" t="inlineStr">
        <is>
          <t> </t>
        </is>
      </c>
      <c r="AM64" s="223" t="inlineStr">
        <is>
          <t> </t>
        </is>
      </c>
      <c r="AN64" s="223" t="inlineStr">
        <is>
          <t> </t>
        </is>
      </c>
      <c r="AO64" s="223" t="inlineStr">
        <is>
          <t> </t>
        </is>
      </c>
      <c r="AP64" s="223" t="inlineStr">
        <is>
          <t> </t>
        </is>
      </c>
      <c r="AQ64" s="223" t="inlineStr">
        <is>
          <t> </t>
        </is>
      </c>
      <c r="AR64" s="223" t="inlineStr">
        <is>
          <t> </t>
        </is>
      </c>
      <c r="AS64" s="223" t="inlineStr">
        <is>
          <t> </t>
        </is>
      </c>
      <c r="AT64" s="223" t="inlineStr">
        <is>
          <t> </t>
        </is>
      </c>
      <c r="AU64" s="223" t="inlineStr">
        <is>
          <t> </t>
        </is>
      </c>
      <c r="AV64" s="223" t="inlineStr">
        <is>
          <t> </t>
        </is>
      </c>
      <c r="AW64" s="223" t="inlineStr">
        <is>
          <t> </t>
        </is>
      </c>
      <c r="AX64" s="223" t="inlineStr">
        <is>
          <t> </t>
        </is>
      </c>
      <c r="AY64" s="210" t="inlineStr">
        <is>
          <t>EM EXECUÇÃO</t>
        </is>
      </c>
      <c r="AZ64" s="210" t="inlineStr">
        <is>
          <t>NI</t>
        </is>
      </c>
      <c r="BA64" s="210" t="inlineStr">
        <is>
          <t>NI</t>
        </is>
      </c>
      <c r="BB64" s="210" t="inlineStr">
        <is>
          <t>NI</t>
        </is>
      </c>
      <c r="BC64" s="224" t="inlineStr">
        <is>
          <t>NA</t>
        </is>
      </c>
      <c r="BD64" s="211" t="inlineStr">
        <is>
          <t>NA</t>
        </is>
      </c>
      <c r="BE64" s="211" t="inlineStr">
        <is>
          <t>NA</t>
        </is>
      </c>
      <c r="BF64" s="211" t="inlineStr">
        <is>
          <t>NA</t>
        </is>
      </c>
      <c r="BG64" s="225" t="inlineStr">
        <is>
          <t>NA</t>
        </is>
      </c>
      <c r="BH64" s="211" t="inlineStr">
        <is>
          <t>NA</t>
        </is>
      </c>
      <c r="BI64" s="211" t="inlineStr">
        <is>
          <t>NA</t>
        </is>
      </c>
      <c r="BJ64" s="211" t="inlineStr">
        <is>
          <t>NA</t>
        </is>
      </c>
      <c r="BK64" s="211" t="inlineStr">
        <is>
          <t>NA</t>
        </is>
      </c>
      <c r="BL64" s="219" t="inlineStr">
        <is>
          <t>NA</t>
        </is>
      </c>
      <c r="BM64" s="811" t="n"/>
      <c r="BN64" s="811" t="n"/>
      <c r="BO64" s="811" t="n"/>
      <c r="BP64" s="811" t="n"/>
      <c r="BQ64" s="811" t="n"/>
      <c r="BR64" s="811" t="n"/>
      <c r="BS64" s="811" t="n"/>
      <c r="BT64" s="222" t="n">
        <v>45919</v>
      </c>
      <c r="BU64" s="223" t="n">
        <v>109341.97</v>
      </c>
      <c r="BV64" s="808" t="n"/>
      <c r="BW64" s="808" t="n"/>
      <c r="BX64" s="808" t="n"/>
      <c r="BY64" s="808" t="n"/>
      <c r="BZ64" s="808" t="n"/>
      <c r="CA64" s="808" t="n"/>
      <c r="CB64" s="808" t="n"/>
      <c r="CC64" s="808" t="n"/>
      <c r="CD64" s="808" t="n"/>
      <c r="CE64" s="808" t="n"/>
      <c r="CF64" s="808" t="n"/>
      <c r="CG64" s="808" t="n"/>
      <c r="CH64" s="808" t="n"/>
      <c r="CI64" s="808" t="n"/>
      <c r="CJ64" s="808" t="n"/>
      <c r="CK64" s="808" t="n"/>
      <c r="CL64" s="808" t="n"/>
      <c r="CM64" s="808" t="n"/>
      <c r="CN64" s="808" t="n"/>
      <c r="CO64" s="808" t="n"/>
      <c r="CP64" s="808" t="n"/>
      <c r="CQ64" s="808" t="n"/>
      <c r="CR64" s="808" t="n"/>
      <c r="CS64" s="808" t="n"/>
      <c r="CT64" s="808" t="n"/>
    </row>
    <row r="65" ht="60" customFormat="1" customHeight="1" s="107">
      <c r="A65" s="211" t="inlineStr">
        <is>
          <t>NORDESTE</t>
        </is>
      </c>
      <c r="B65" s="211" t="inlineStr">
        <is>
          <t>SE</t>
        </is>
      </c>
      <c r="C65" s="211" t="inlineStr">
        <is>
          <t>ARACAJU</t>
        </is>
      </c>
      <c r="D65" s="211" t="inlineStr">
        <is>
          <t>LEGIAO FEMININA DE EDUCACAO E COMBATE AO CANCER</t>
        </is>
      </c>
      <c r="E65" s="214" t="inlineStr">
        <is>
          <t>13076443000108</t>
        </is>
      </c>
      <c r="F65" s="215" t="inlineStr">
        <is>
          <t>LEGIAO FEMININA DE EDUCACAO E COMBATE AO CANCER</t>
        </is>
      </c>
      <c r="G65" s="216" t="n">
        <v>5388597</v>
      </c>
      <c r="H65" s="241" t="n">
        <v>-10911</v>
      </c>
      <c r="I65" s="218" t="n">
        <v>-37072</v>
      </c>
      <c r="J65" s="211" t="inlineStr">
        <is>
          <t> </t>
        </is>
      </c>
      <c r="K65" s="211" t="inlineStr">
        <is>
          <t>Indireta</t>
        </is>
      </c>
      <c r="L65" s="211" t="inlineStr">
        <is>
          <t>Transferegov/SEI</t>
        </is>
      </c>
      <c r="M65" s="211" t="inlineStr">
        <is>
          <t>Convênio</t>
        </is>
      </c>
      <c r="N65" s="211" t="n">
        <v>2024</v>
      </c>
      <c r="O65" s="220" t="inlineStr">
        <is>
          <t>971406</t>
        </is>
      </c>
      <c r="P65" s="214" t="inlineStr">
        <is>
          <t>91307624003</t>
        </is>
      </c>
      <c r="Q65" s="214" t="inlineStr">
        <is>
          <t>25000.164418/2024-51</t>
        </is>
      </c>
      <c r="R65" s="211" t="inlineStr">
        <is>
          <t>REDE DE ATENÇÃO À PESSOA COM DOENÇAS CRÔNICAS - AMBULATÓRIO PARA DIAGNÓSTICO EM ONCOLOGIA</t>
        </is>
      </c>
      <c r="S65" s="211" t="n"/>
      <c r="T65" s="211" t="inlineStr">
        <is>
          <t> </t>
        </is>
      </c>
      <c r="U65" s="211" t="inlineStr">
        <is>
          <t xml:space="preserve"> 6</t>
        </is>
      </c>
      <c r="V65" s="211" t="inlineStr">
        <is>
          <t xml:space="preserve"> NA</t>
        </is>
      </c>
      <c r="W65" s="211" t="inlineStr">
        <is>
          <t xml:space="preserve"> UND</t>
        </is>
      </c>
      <c r="X65" s="211" t="inlineStr">
        <is>
          <t>EQUIPAMENTO</t>
        </is>
      </c>
      <c r="Y65" s="211" t="inlineStr">
        <is>
          <t xml:space="preserve"> NA</t>
        </is>
      </c>
      <c r="Z65" s="211" t="inlineStr">
        <is>
          <t xml:space="preserve"> NA</t>
        </is>
      </c>
      <c r="AA65" s="222" t="inlineStr">
        <is>
          <t> </t>
        </is>
      </c>
      <c r="AB65" s="222" t="inlineStr">
        <is>
          <t> </t>
        </is>
      </c>
      <c r="AC65" s="222" t="inlineStr">
        <is>
          <t> </t>
        </is>
      </c>
      <c r="AD65" s="211" t="inlineStr">
        <is>
          <t>NI</t>
        </is>
      </c>
      <c r="AE65" s="211" t="inlineStr">
        <is>
          <t>NI</t>
        </is>
      </c>
      <c r="AF65" s="211" t="inlineStr">
        <is>
          <t>NI</t>
        </is>
      </c>
      <c r="AG65" s="223" t="n">
        <v>206920</v>
      </c>
      <c r="AH65" s="223" t="n">
        <v>6920</v>
      </c>
      <c r="AI65" s="222" t="inlineStr">
        <is>
          <t> </t>
        </is>
      </c>
      <c r="AJ65" s="211" t="n">
        <v>8535</v>
      </c>
      <c r="AK65" s="223" t="inlineStr">
        <is>
          <t> </t>
        </is>
      </c>
      <c r="AL65" s="223" t="inlineStr">
        <is>
          <t> </t>
        </is>
      </c>
      <c r="AM65" s="223" t="inlineStr">
        <is>
          <t> </t>
        </is>
      </c>
      <c r="AN65" s="223" t="inlineStr">
        <is>
          <t> </t>
        </is>
      </c>
      <c r="AO65" s="223" t="inlineStr">
        <is>
          <t> </t>
        </is>
      </c>
      <c r="AP65" s="223" t="inlineStr">
        <is>
          <t> </t>
        </is>
      </c>
      <c r="AQ65" s="223" t="inlineStr">
        <is>
          <t> </t>
        </is>
      </c>
      <c r="AR65" s="223" t="inlineStr">
        <is>
          <t> </t>
        </is>
      </c>
      <c r="AS65" s="223" t="inlineStr">
        <is>
          <t> </t>
        </is>
      </c>
      <c r="AT65" s="223" t="inlineStr">
        <is>
          <t> </t>
        </is>
      </c>
      <c r="AU65" s="223" t="inlineStr">
        <is>
          <t> </t>
        </is>
      </c>
      <c r="AV65" s="223" t="inlineStr">
        <is>
          <t> </t>
        </is>
      </c>
      <c r="AW65" s="223" t="inlineStr">
        <is>
          <t> </t>
        </is>
      </c>
      <c r="AX65" s="223" t="inlineStr">
        <is>
          <t> </t>
        </is>
      </c>
      <c r="AY65" s="210" t="inlineStr">
        <is>
          <t>NI</t>
        </is>
      </c>
      <c r="AZ65" s="210" t="inlineStr">
        <is>
          <t>NI</t>
        </is>
      </c>
      <c r="BA65" s="210" t="inlineStr">
        <is>
          <t>NI</t>
        </is>
      </c>
      <c r="BB65" s="210" t="inlineStr">
        <is>
          <t>NI</t>
        </is>
      </c>
      <c r="BC65" s="224" t="inlineStr">
        <is>
          <t>NA</t>
        </is>
      </c>
      <c r="BD65" s="211" t="inlineStr">
        <is>
          <t>NA</t>
        </is>
      </c>
      <c r="BE65" s="211" t="inlineStr">
        <is>
          <t>NA</t>
        </is>
      </c>
      <c r="BF65" s="211" t="inlineStr">
        <is>
          <t>NA</t>
        </is>
      </c>
      <c r="BG65" s="225" t="inlineStr">
        <is>
          <t>NA</t>
        </is>
      </c>
      <c r="BH65" s="211" t="inlineStr">
        <is>
          <t>NA</t>
        </is>
      </c>
      <c r="BI65" s="211" t="inlineStr">
        <is>
          <t>NA</t>
        </is>
      </c>
      <c r="BJ65" s="211" t="inlineStr">
        <is>
          <t>NA</t>
        </is>
      </c>
      <c r="BK65" s="211" t="inlineStr">
        <is>
          <t>NA</t>
        </is>
      </c>
      <c r="BL65" s="219" t="inlineStr">
        <is>
          <t>NA</t>
        </is>
      </c>
      <c r="BM65" s="811" t="n"/>
      <c r="BN65" s="811" t="n"/>
      <c r="BO65" s="811" t="n"/>
      <c r="BP65" s="811" t="n"/>
      <c r="BQ65" s="811" t="n"/>
      <c r="BR65" s="811" t="n"/>
      <c r="BS65" s="811" t="n"/>
      <c r="BT65" s="222" t="inlineStr">
        <is>
          <t>NA</t>
        </is>
      </c>
      <c r="BU65" s="223" t="n">
        <v>0</v>
      </c>
      <c r="BV65" s="808" t="n"/>
      <c r="BW65" s="808" t="n"/>
      <c r="BX65" s="808" t="n"/>
      <c r="BY65" s="808" t="n"/>
      <c r="BZ65" s="808" t="n"/>
      <c r="CA65" s="808" t="n"/>
      <c r="CB65" s="808" t="n"/>
      <c r="CC65" s="808" t="n"/>
      <c r="CD65" s="808" t="n"/>
      <c r="CE65" s="808" t="n"/>
      <c r="CF65" s="808" t="n"/>
      <c r="CG65" s="808" t="n"/>
      <c r="CH65" s="808" t="n"/>
      <c r="CI65" s="808" t="n"/>
      <c r="CJ65" s="808" t="n"/>
      <c r="CK65" s="808" t="n"/>
      <c r="CL65" s="808" t="n"/>
      <c r="CM65" s="808" t="n"/>
      <c r="CN65" s="808" t="n"/>
      <c r="CO65" s="808" t="n"/>
      <c r="CP65" s="808" t="n"/>
      <c r="CQ65" s="808" t="n"/>
      <c r="CR65" s="808" t="n"/>
      <c r="CS65" s="808" t="n"/>
      <c r="CT65" s="808" t="n"/>
    </row>
    <row r="66" ht="60" customFormat="1" customHeight="1" s="107">
      <c r="A66" s="211" t="inlineStr">
        <is>
          <t>SUDESTE</t>
        </is>
      </c>
      <c r="B66" s="211" t="inlineStr">
        <is>
          <t>SP</t>
        </is>
      </c>
      <c r="C66" s="211" t="inlineStr">
        <is>
          <t>BOTUCATU</t>
        </is>
      </c>
      <c r="D66" s="211" t="inlineStr">
        <is>
          <t>FUNDACAO PARA O DESENVOLVIMENTO MEDICO E HOSPITALAR</t>
        </is>
      </c>
      <c r="E66" s="214" t="inlineStr">
        <is>
          <t>46230439000101</t>
        </is>
      </c>
      <c r="F66" s="215" t="inlineStr">
        <is>
          <t xml:space="preserve">FUNDACAO PARA O DESENVOLVIMENTO MEDICO E HOSPITALAR </t>
        </is>
      </c>
      <c r="G66" s="216" t="n">
        <v>2748223</v>
      </c>
      <c r="H66" s="241" t="n">
        <v>-2289026</v>
      </c>
      <c r="I66" s="218" t="n">
        <v>-4849560</v>
      </c>
      <c r="J66" s="211" t="inlineStr">
        <is>
          <t> </t>
        </is>
      </c>
      <c r="K66" s="211" t="inlineStr">
        <is>
          <t>Indireta</t>
        </is>
      </c>
      <c r="L66" s="211" t="inlineStr">
        <is>
          <t>Transferegov/SEI</t>
        </is>
      </c>
      <c r="M66" s="211" t="inlineStr">
        <is>
          <t>Convênio</t>
        </is>
      </c>
      <c r="N66" s="211" t="n">
        <v>2024</v>
      </c>
      <c r="O66" s="220" t="inlineStr">
        <is>
          <t>971153</t>
        </is>
      </c>
      <c r="P66" s="214" t="inlineStr">
        <is>
          <t>94623024003</t>
        </is>
      </c>
      <c r="Q66" s="214" t="inlineStr">
        <is>
          <t>25000.138625/2024-50</t>
        </is>
      </c>
      <c r="R66" s="211" t="inlineStr">
        <is>
          <t>REDE DE ATENÇÃO À PESSOA COM DOENÇAS CRÔNICAS - HOSPITAL HABILITADO NA ALTA COMPLEXIDADE EM ONCOLOGIA</t>
        </is>
      </c>
      <c r="S66" s="211" t="n"/>
      <c r="T66" s="211" t="inlineStr">
        <is>
          <t> </t>
        </is>
      </c>
      <c r="U66" s="211" t="inlineStr">
        <is>
          <t> </t>
        </is>
      </c>
      <c r="V66" s="211" t="inlineStr">
        <is>
          <t xml:space="preserve"> NA</t>
        </is>
      </c>
      <c r="W66" s="211" t="inlineStr">
        <is>
          <t xml:space="preserve"> UND</t>
        </is>
      </c>
      <c r="X66" s="211" t="inlineStr">
        <is>
          <t>EQUIPAMENTO</t>
        </is>
      </c>
      <c r="Y66" s="211" t="inlineStr">
        <is>
          <t xml:space="preserve"> NA</t>
        </is>
      </c>
      <c r="Z66" s="211" t="inlineStr">
        <is>
          <t xml:space="preserve"> NA</t>
        </is>
      </c>
      <c r="AA66" s="222" t="inlineStr">
        <is>
          <t> </t>
        </is>
      </c>
      <c r="AB66" s="222" t="inlineStr">
        <is>
          <t> </t>
        </is>
      </c>
      <c r="AC66" s="222" t="inlineStr">
        <is>
          <t> </t>
        </is>
      </c>
      <c r="AD66" s="211" t="inlineStr">
        <is>
          <t>NI</t>
        </is>
      </c>
      <c r="AE66" s="211" t="inlineStr">
        <is>
          <t>NI</t>
        </is>
      </c>
      <c r="AF66" s="211" t="inlineStr">
        <is>
          <t>NI</t>
        </is>
      </c>
      <c r="AG66" s="223" t="n">
        <v>50</v>
      </c>
      <c r="AH66" s="223" t="n">
        <v>0</v>
      </c>
      <c r="AI66" s="222" t="inlineStr">
        <is>
          <t> </t>
        </is>
      </c>
      <c r="AJ66" s="211" t="n">
        <v>8535</v>
      </c>
      <c r="AK66" s="223" t="inlineStr">
        <is>
          <t> </t>
        </is>
      </c>
      <c r="AL66" s="223" t="inlineStr">
        <is>
          <t> </t>
        </is>
      </c>
      <c r="AM66" s="223" t="inlineStr">
        <is>
          <t> </t>
        </is>
      </c>
      <c r="AN66" s="223" t="inlineStr">
        <is>
          <t> </t>
        </is>
      </c>
      <c r="AO66" s="223" t="inlineStr">
        <is>
          <t> </t>
        </is>
      </c>
      <c r="AP66" s="223" t="inlineStr">
        <is>
          <t> </t>
        </is>
      </c>
      <c r="AQ66" s="223" t="inlineStr">
        <is>
          <t> </t>
        </is>
      </c>
      <c r="AR66" s="223" t="inlineStr">
        <is>
          <t> </t>
        </is>
      </c>
      <c r="AS66" s="223" t="inlineStr">
        <is>
          <t> </t>
        </is>
      </c>
      <c r="AT66" s="223" t="inlineStr">
        <is>
          <t> </t>
        </is>
      </c>
      <c r="AU66" s="223" t="inlineStr">
        <is>
          <t> </t>
        </is>
      </c>
      <c r="AV66" s="223" t="inlineStr">
        <is>
          <t> </t>
        </is>
      </c>
      <c r="AW66" s="223" t="inlineStr">
        <is>
          <t> </t>
        </is>
      </c>
      <c r="AX66" s="223" t="inlineStr">
        <is>
          <t> </t>
        </is>
      </c>
      <c r="AY66" s="210" t="inlineStr">
        <is>
          <t>EM EXECUÇÃO</t>
        </is>
      </c>
      <c r="AZ66" s="210" t="inlineStr">
        <is>
          <t>NI</t>
        </is>
      </c>
      <c r="BA66" s="210" t="inlineStr">
        <is>
          <t>NI</t>
        </is>
      </c>
      <c r="BB66" s="210" t="inlineStr">
        <is>
          <t>NI</t>
        </is>
      </c>
      <c r="BC66" s="224" t="inlineStr">
        <is>
          <t>NA</t>
        </is>
      </c>
      <c r="BD66" s="211" t="inlineStr">
        <is>
          <t>NA</t>
        </is>
      </c>
      <c r="BE66" s="211" t="inlineStr">
        <is>
          <t>NA</t>
        </is>
      </c>
      <c r="BF66" s="211" t="inlineStr">
        <is>
          <t>NA</t>
        </is>
      </c>
      <c r="BG66" s="225" t="inlineStr">
        <is>
          <t>NA</t>
        </is>
      </c>
      <c r="BH66" s="211" t="inlineStr">
        <is>
          <t>NA</t>
        </is>
      </c>
      <c r="BI66" s="211" t="inlineStr">
        <is>
          <t>NA</t>
        </is>
      </c>
      <c r="BJ66" s="211" t="inlineStr">
        <is>
          <t>NA</t>
        </is>
      </c>
      <c r="BK66" s="211" t="inlineStr">
        <is>
          <t>NA</t>
        </is>
      </c>
      <c r="BL66" s="219" t="inlineStr">
        <is>
          <t>NA</t>
        </is>
      </c>
      <c r="BM66" s="811" t="n"/>
      <c r="BN66" s="811" t="n"/>
      <c r="BO66" s="811" t="n"/>
      <c r="BP66" s="811" t="n"/>
      <c r="BQ66" s="811" t="n"/>
      <c r="BR66" s="811" t="n"/>
      <c r="BS66" s="811" t="n"/>
      <c r="BT66" s="222" t="n">
        <v>45919</v>
      </c>
      <c r="BU66" s="223" t="n">
        <v>456000</v>
      </c>
      <c r="BV66" s="808" t="n"/>
      <c r="BW66" s="808" t="n"/>
      <c r="BX66" s="808" t="n"/>
      <c r="BY66" s="808" t="n"/>
      <c r="BZ66" s="808" t="n"/>
      <c r="CA66" s="808" t="n"/>
      <c r="CB66" s="808" t="n"/>
      <c r="CC66" s="808" t="n"/>
      <c r="CD66" s="808" t="n"/>
      <c r="CE66" s="808" t="n"/>
      <c r="CF66" s="808" t="n"/>
      <c r="CG66" s="808" t="n"/>
      <c r="CH66" s="808" t="n"/>
      <c r="CI66" s="808" t="n"/>
      <c r="CJ66" s="808" t="n"/>
      <c r="CK66" s="808" t="n"/>
      <c r="CL66" s="808" t="n"/>
      <c r="CM66" s="808" t="n"/>
      <c r="CN66" s="808" t="n"/>
      <c r="CO66" s="808" t="n"/>
      <c r="CP66" s="808" t="n"/>
      <c r="CQ66" s="808" t="n"/>
      <c r="CR66" s="808" t="n"/>
      <c r="CS66" s="808" t="n"/>
      <c r="CT66" s="808" t="n"/>
    </row>
    <row r="67" ht="60" customFormat="1" customHeight="1" s="107">
      <c r="A67" s="211" t="inlineStr">
        <is>
          <t>SUDESTE</t>
        </is>
      </c>
      <c r="B67" s="211" t="inlineStr">
        <is>
          <t>SP</t>
        </is>
      </c>
      <c r="C67" s="211" t="inlineStr">
        <is>
          <t>SAO PAULO</t>
        </is>
      </c>
      <c r="D67" s="211" t="inlineStr">
        <is>
          <t>GRUPO DE APOIO AO ADOLESCENTE E A CRIANCA COM C GRAACC</t>
        </is>
      </c>
      <c r="E67" s="214" t="inlineStr">
        <is>
          <t>67185694000150</t>
        </is>
      </c>
      <c r="F67" s="215" t="inlineStr">
        <is>
          <t>GRUPO DE APOIO AO ADOLESCENTE E A CRIANCA COM CANCER GRAAC</t>
        </is>
      </c>
      <c r="G67" s="216" t="n">
        <v>2089696</v>
      </c>
      <c r="H67" s="241" t="n">
        <v>-23548</v>
      </c>
      <c r="I67" s="218" t="n">
        <v>-46636</v>
      </c>
      <c r="J67" s="211" t="inlineStr">
        <is>
          <t> </t>
        </is>
      </c>
      <c r="K67" s="211" t="inlineStr">
        <is>
          <t>Indireta</t>
        </is>
      </c>
      <c r="L67" s="211" t="inlineStr">
        <is>
          <t>Transferegov/SEI</t>
        </is>
      </c>
      <c r="M67" s="211" t="inlineStr">
        <is>
          <t>Convênio</t>
        </is>
      </c>
      <c r="N67" s="211" t="n">
        <v>2024</v>
      </c>
      <c r="O67" s="220" t="inlineStr">
        <is>
          <t>971044</t>
        </is>
      </c>
      <c r="P67" s="214" t="inlineStr">
        <is>
          <t>96718524005</t>
        </is>
      </c>
      <c r="Q67" s="220" t="inlineStr">
        <is>
          <t>25000.082335/2024-44</t>
        </is>
      </c>
      <c r="R67" s="211" t="inlineStr">
        <is>
          <t>REDE DE ATENÇÃO À PESSOA COM DOENÇAS CRÔNICAS - HOSPITAL HABILITADO NA ALTA COMPLEXIDADE EM ONCOLOGIA</t>
        </is>
      </c>
      <c r="S67" s="211" t="n"/>
      <c r="T67" s="211" t="inlineStr">
        <is>
          <t> </t>
        </is>
      </c>
      <c r="U67" s="211" t="inlineStr">
        <is>
          <t> </t>
        </is>
      </c>
      <c r="V67" s="211" t="inlineStr">
        <is>
          <t xml:space="preserve"> NA</t>
        </is>
      </c>
      <c r="W67" s="211" t="inlineStr">
        <is>
          <t xml:space="preserve"> UND</t>
        </is>
      </c>
      <c r="X67" s="211" t="inlineStr">
        <is>
          <t>EQUIPAMENTO</t>
        </is>
      </c>
      <c r="Y67" s="211" t="inlineStr">
        <is>
          <t xml:space="preserve"> NA</t>
        </is>
      </c>
      <c r="Z67" s="211" t="inlineStr">
        <is>
          <t xml:space="preserve"> NA</t>
        </is>
      </c>
      <c r="AA67" s="222" t="inlineStr">
        <is>
          <t> </t>
        </is>
      </c>
      <c r="AB67" s="222" t="inlineStr">
        <is>
          <t> </t>
        </is>
      </c>
      <c r="AC67" s="222" t="inlineStr">
        <is>
          <t> </t>
        </is>
      </c>
      <c r="AD67" s="211" t="inlineStr">
        <is>
          <t>NI</t>
        </is>
      </c>
      <c r="AE67" s="211" t="inlineStr">
        <is>
          <t>NI</t>
        </is>
      </c>
      <c r="AF67" s="211" t="inlineStr">
        <is>
          <t>NI</t>
        </is>
      </c>
      <c r="AG67" s="223" t="n">
        <v>200000</v>
      </c>
      <c r="AH67" s="223" t="n">
        <v>0</v>
      </c>
      <c r="AI67" s="222" t="inlineStr">
        <is>
          <t> </t>
        </is>
      </c>
      <c r="AJ67" s="211" t="n">
        <v>8535</v>
      </c>
      <c r="AK67" s="223" t="inlineStr">
        <is>
          <t> </t>
        </is>
      </c>
      <c r="AL67" s="223" t="inlineStr">
        <is>
          <t> </t>
        </is>
      </c>
      <c r="AM67" s="223" t="inlineStr">
        <is>
          <t> </t>
        </is>
      </c>
      <c r="AN67" s="223" t="inlineStr">
        <is>
          <t> </t>
        </is>
      </c>
      <c r="AO67" s="223" t="inlineStr">
        <is>
          <t> </t>
        </is>
      </c>
      <c r="AP67" s="223" t="inlineStr">
        <is>
          <t> </t>
        </is>
      </c>
      <c r="AQ67" s="223" t="inlineStr">
        <is>
          <t> </t>
        </is>
      </c>
      <c r="AR67" s="223" t="inlineStr">
        <is>
          <t> </t>
        </is>
      </c>
      <c r="AS67" s="223" t="inlineStr">
        <is>
          <t> </t>
        </is>
      </c>
      <c r="AT67" s="223" t="inlineStr">
        <is>
          <t> </t>
        </is>
      </c>
      <c r="AU67" s="223" t="inlineStr">
        <is>
          <t> </t>
        </is>
      </c>
      <c r="AV67" s="223" t="inlineStr">
        <is>
          <t> </t>
        </is>
      </c>
      <c r="AW67" s="223" t="inlineStr">
        <is>
          <t> </t>
        </is>
      </c>
      <c r="AX67" s="223" t="inlineStr">
        <is>
          <t> </t>
        </is>
      </c>
      <c r="AY67" s="210" t="inlineStr">
        <is>
          <t>EM EXECUÇÃO</t>
        </is>
      </c>
      <c r="AZ67" s="210" t="inlineStr">
        <is>
          <t>NI</t>
        </is>
      </c>
      <c r="BA67" s="210" t="inlineStr">
        <is>
          <t>NI</t>
        </is>
      </c>
      <c r="BB67" s="210" t="inlineStr">
        <is>
          <t>NI</t>
        </is>
      </c>
      <c r="BC67" s="224" t="inlineStr">
        <is>
          <t>NA</t>
        </is>
      </c>
      <c r="BD67" s="211" t="inlineStr">
        <is>
          <t>NA</t>
        </is>
      </c>
      <c r="BE67" s="211" t="inlineStr">
        <is>
          <t>NA</t>
        </is>
      </c>
      <c r="BF67" s="211" t="inlineStr">
        <is>
          <t>NA</t>
        </is>
      </c>
      <c r="BG67" s="225" t="inlineStr">
        <is>
          <t>NA</t>
        </is>
      </c>
      <c r="BH67" s="211" t="inlineStr">
        <is>
          <t>NA</t>
        </is>
      </c>
      <c r="BI67" s="211" t="inlineStr">
        <is>
          <t>NA</t>
        </is>
      </c>
      <c r="BJ67" s="211" t="inlineStr">
        <is>
          <t>NA</t>
        </is>
      </c>
      <c r="BK67" s="211" t="inlineStr">
        <is>
          <t>NA</t>
        </is>
      </c>
      <c r="BL67" s="219" t="inlineStr">
        <is>
          <t>NA</t>
        </is>
      </c>
      <c r="BM67" s="811" t="n"/>
      <c r="BN67" s="811" t="n"/>
      <c r="BO67" s="811" t="n"/>
      <c r="BP67" s="811" t="n"/>
      <c r="BQ67" s="811" t="n"/>
      <c r="BR67" s="811" t="n"/>
      <c r="BS67" s="811" t="n"/>
      <c r="BT67" s="222" t="n">
        <v>45961</v>
      </c>
      <c r="BU67" s="223" t="n">
        <v>181467</v>
      </c>
      <c r="BV67" s="808" t="n"/>
      <c r="BW67" s="808" t="n"/>
      <c r="BX67" s="808" t="n"/>
      <c r="BY67" s="808" t="n"/>
      <c r="BZ67" s="808" t="n"/>
      <c r="CA67" s="808" t="n"/>
      <c r="CB67" s="808" t="n"/>
      <c r="CC67" s="808" t="n"/>
      <c r="CD67" s="808" t="n"/>
      <c r="CE67" s="808" t="n"/>
      <c r="CF67" s="808" t="n"/>
      <c r="CG67" s="808" t="n"/>
      <c r="CH67" s="808" t="n"/>
      <c r="CI67" s="808" t="n"/>
      <c r="CJ67" s="808" t="n"/>
      <c r="CK67" s="808" t="n"/>
      <c r="CL67" s="808" t="n"/>
      <c r="CM67" s="808" t="n"/>
      <c r="CN67" s="808" t="n"/>
      <c r="CO67" s="808" t="n"/>
      <c r="CP67" s="808" t="n"/>
      <c r="CQ67" s="808" t="n"/>
      <c r="CR67" s="808" t="n"/>
      <c r="CS67" s="808" t="n"/>
      <c r="CT67" s="808" t="n"/>
    </row>
    <row r="68" ht="60" customFormat="1" customHeight="1" s="107">
      <c r="A68" s="211" t="inlineStr">
        <is>
          <t>SUDESTE</t>
        </is>
      </c>
      <c r="B68" s="211" t="inlineStr">
        <is>
          <t>SP</t>
        </is>
      </c>
      <c r="C68" s="211" t="inlineStr">
        <is>
          <t>SAO PAULO</t>
        </is>
      </c>
      <c r="D68" s="211" t="inlineStr">
        <is>
          <t>INSTITUTO BRASILEIRO DE CONTROLE DO CANCER</t>
        </is>
      </c>
      <c r="E68" s="214" t="inlineStr">
        <is>
          <t>62932942000165</t>
        </is>
      </c>
      <c r="F68" s="215" t="inlineStr">
        <is>
          <t xml:space="preserve">INSTITUTO BRASILEIRO DE CONTROLE DO CANCER </t>
        </is>
      </c>
      <c r="G68" s="216" t="n">
        <v>2077590</v>
      </c>
      <c r="H68" s="241" t="n">
        <v>-2.35471970429225e+16</v>
      </c>
      <c r="I68" s="218" t="n">
        <v>-4660032592842180</v>
      </c>
      <c r="J68" s="211" t="inlineStr">
        <is>
          <t> </t>
        </is>
      </c>
      <c r="K68" s="211" t="inlineStr">
        <is>
          <t>Indireta</t>
        </is>
      </c>
      <c r="L68" s="211" t="inlineStr">
        <is>
          <t>Transferegov/SEI</t>
        </is>
      </c>
      <c r="M68" s="211" t="inlineStr">
        <is>
          <t>Convênio</t>
        </is>
      </c>
      <c r="N68" s="211" t="n">
        <v>2024</v>
      </c>
      <c r="O68" s="220" t="inlineStr">
        <is>
          <t>971171</t>
        </is>
      </c>
      <c r="P68" s="214" t="inlineStr">
        <is>
          <t>96293224002</t>
        </is>
      </c>
      <c r="Q68" s="214" t="inlineStr">
        <is>
          <t>25000.136820/2024-45</t>
        </is>
      </c>
      <c r="R68" s="211" t="inlineStr">
        <is>
          <t>REDE DE ATENÇÃO À PESSOA COM DOENÇAS CRÔNICAS - HOSPITAL HABILITADO NA ALTA COMPLEXIDADE EM ONCOLOGIA</t>
        </is>
      </c>
      <c r="S68" s="211" t="n"/>
      <c r="T68" s="211" t="inlineStr">
        <is>
          <t> </t>
        </is>
      </c>
      <c r="U68" s="211" t="inlineStr">
        <is>
          <t> </t>
        </is>
      </c>
      <c r="V68" s="211" t="inlineStr">
        <is>
          <t xml:space="preserve"> NA</t>
        </is>
      </c>
      <c r="W68" s="211" t="inlineStr">
        <is>
          <t xml:space="preserve"> UND</t>
        </is>
      </c>
      <c r="X68" s="211" t="inlineStr">
        <is>
          <t>EQUIPAMENTO</t>
        </is>
      </c>
      <c r="Y68" s="211" t="inlineStr">
        <is>
          <t xml:space="preserve"> NA</t>
        </is>
      </c>
      <c r="Z68" s="211" t="inlineStr">
        <is>
          <t xml:space="preserve"> NA</t>
        </is>
      </c>
      <c r="AA68" s="222" t="inlineStr">
        <is>
          <t> </t>
        </is>
      </c>
      <c r="AB68" s="222" t="inlineStr">
        <is>
          <t> </t>
        </is>
      </c>
      <c r="AC68" s="222" t="inlineStr">
        <is>
          <t> </t>
        </is>
      </c>
      <c r="AD68" s="211" t="inlineStr">
        <is>
          <t>NI</t>
        </is>
      </c>
      <c r="AE68" s="211" t="inlineStr">
        <is>
          <t>NI</t>
        </is>
      </c>
      <c r="AF68" s="211" t="inlineStr">
        <is>
          <t>NI</t>
        </is>
      </c>
      <c r="AG68" s="223" t="n">
        <v>200000</v>
      </c>
      <c r="AH68" s="223" t="n">
        <v>3634</v>
      </c>
      <c r="AI68" s="222" t="inlineStr">
        <is>
          <t> </t>
        </is>
      </c>
      <c r="AJ68" s="211" t="n">
        <v>8535</v>
      </c>
      <c r="AK68" s="223" t="inlineStr">
        <is>
          <t> </t>
        </is>
      </c>
      <c r="AL68" s="223" t="inlineStr">
        <is>
          <t> </t>
        </is>
      </c>
      <c r="AM68" s="223" t="inlineStr">
        <is>
          <t> </t>
        </is>
      </c>
      <c r="AN68" s="223" t="inlineStr">
        <is>
          <t> </t>
        </is>
      </c>
      <c r="AO68" s="223" t="inlineStr">
        <is>
          <t> </t>
        </is>
      </c>
      <c r="AP68" s="223" t="inlineStr">
        <is>
          <t> </t>
        </is>
      </c>
      <c r="AQ68" s="223" t="inlineStr">
        <is>
          <t> </t>
        </is>
      </c>
      <c r="AR68" s="223" t="inlineStr">
        <is>
          <t> </t>
        </is>
      </c>
      <c r="AS68" s="223" t="inlineStr">
        <is>
          <t> </t>
        </is>
      </c>
      <c r="AT68" s="223" t="inlineStr">
        <is>
          <t> </t>
        </is>
      </c>
      <c r="AU68" s="223" t="inlineStr">
        <is>
          <t> </t>
        </is>
      </c>
      <c r="AV68" s="223" t="inlineStr">
        <is>
          <t> </t>
        </is>
      </c>
      <c r="AW68" s="223" t="inlineStr">
        <is>
          <t> </t>
        </is>
      </c>
      <c r="AX68" s="223" t="inlineStr">
        <is>
          <t> </t>
        </is>
      </c>
      <c r="AY68" s="210" t="inlineStr">
        <is>
          <t>EM EXECUÇÃO</t>
        </is>
      </c>
      <c r="AZ68" s="210" t="inlineStr">
        <is>
          <t>NI</t>
        </is>
      </c>
      <c r="BA68" s="210" t="inlineStr">
        <is>
          <t>NI</t>
        </is>
      </c>
      <c r="BB68" s="210" t="inlineStr">
        <is>
          <t>NI</t>
        </is>
      </c>
      <c r="BC68" s="224" t="inlineStr">
        <is>
          <t>NA</t>
        </is>
      </c>
      <c r="BD68" s="211" t="inlineStr">
        <is>
          <t>NA</t>
        </is>
      </c>
      <c r="BE68" s="211" t="inlineStr">
        <is>
          <t>NA</t>
        </is>
      </c>
      <c r="BF68" s="211" t="inlineStr">
        <is>
          <t>NA</t>
        </is>
      </c>
      <c r="BG68" s="225" t="inlineStr">
        <is>
          <t>NA</t>
        </is>
      </c>
      <c r="BH68" s="211" t="inlineStr">
        <is>
          <t>NA</t>
        </is>
      </c>
      <c r="BI68" s="211" t="inlineStr">
        <is>
          <t>NA</t>
        </is>
      </c>
      <c r="BJ68" s="211" t="inlineStr">
        <is>
          <t>NA</t>
        </is>
      </c>
      <c r="BK68" s="211" t="inlineStr">
        <is>
          <t>NA</t>
        </is>
      </c>
      <c r="BL68" s="219" t="inlineStr">
        <is>
          <t>NA</t>
        </is>
      </c>
      <c r="BM68" s="811" t="n"/>
      <c r="BN68" s="811" t="n"/>
      <c r="BO68" s="811" t="n"/>
      <c r="BP68" s="811" t="n"/>
      <c r="BQ68" s="811" t="n"/>
      <c r="BR68" s="811" t="n"/>
      <c r="BS68" s="811" t="n"/>
      <c r="BT68" s="222" t="inlineStr">
        <is>
          <t>NA</t>
        </is>
      </c>
      <c r="BU68" s="223" t="n">
        <v>0</v>
      </c>
      <c r="BV68" s="808" t="n"/>
      <c r="BW68" s="808" t="n"/>
      <c r="BX68" s="808" t="n"/>
      <c r="BY68" s="808" t="n"/>
      <c r="BZ68" s="808" t="n"/>
      <c r="CA68" s="808" t="n"/>
      <c r="CB68" s="808" t="n"/>
      <c r="CC68" s="808" t="n"/>
      <c r="CD68" s="808" t="n"/>
      <c r="CE68" s="808" t="n"/>
      <c r="CF68" s="808" t="n"/>
      <c r="CG68" s="808" t="n"/>
      <c r="CH68" s="808" t="n"/>
      <c r="CI68" s="808" t="n"/>
      <c r="CJ68" s="808" t="n"/>
      <c r="CK68" s="808" t="n"/>
      <c r="CL68" s="808" t="n"/>
      <c r="CM68" s="808" t="n"/>
      <c r="CN68" s="808" t="n"/>
      <c r="CO68" s="808" t="n"/>
      <c r="CP68" s="808" t="n"/>
      <c r="CQ68" s="808" t="n"/>
      <c r="CR68" s="808" t="n"/>
      <c r="CS68" s="808" t="n"/>
      <c r="CT68" s="808" t="n"/>
    </row>
    <row r="69" ht="60" customFormat="1" customHeight="1" s="107">
      <c r="A69" s="211" t="inlineStr">
        <is>
          <t>SUL</t>
        </is>
      </c>
      <c r="B69" s="211" t="inlineStr">
        <is>
          <t>RS</t>
        </is>
      </c>
      <c r="C69" s="211" t="inlineStr">
        <is>
          <t>LAJEADO</t>
        </is>
      </c>
      <c r="D69" s="211" t="inlineStr">
        <is>
          <t>SOCIEDADE BENEFICENCIA E CARIDADE DE LAJEADO</t>
        </is>
      </c>
      <c r="E69" s="214" t="inlineStr">
        <is>
          <t>91162511000165</t>
        </is>
      </c>
      <c r="F69" s="215" t="inlineStr">
        <is>
          <t xml:space="preserve">SOCIEDADE BENEFICENCIA E CARIDADE DE LAJEADO </t>
        </is>
      </c>
      <c r="G69" s="216" t="n">
        <v>2252287</v>
      </c>
      <c r="H69" s="241" t="n">
        <v>-2946700</v>
      </c>
      <c r="I69" s="218" t="n">
        <v>-5196100</v>
      </c>
      <c r="J69" s="211" t="inlineStr">
        <is>
          <t> </t>
        </is>
      </c>
      <c r="K69" s="211" t="inlineStr">
        <is>
          <t>Indireta</t>
        </is>
      </c>
      <c r="L69" s="211" t="inlineStr">
        <is>
          <t>Transferegov/SEI</t>
        </is>
      </c>
      <c r="M69" s="211" t="inlineStr">
        <is>
          <t>Convênio</t>
        </is>
      </c>
      <c r="N69" s="211" t="n">
        <v>2024</v>
      </c>
      <c r="O69" s="220" t="inlineStr">
        <is>
          <t xml:space="preserve"> NI</t>
        </is>
      </c>
      <c r="P69" s="214" t="inlineStr">
        <is>
          <t>99116224006</t>
        </is>
      </c>
      <c r="Q69" s="214" t="inlineStr">
        <is>
          <t>25000.117609/2024-23</t>
        </is>
      </c>
      <c r="R69" s="211" t="inlineStr">
        <is>
          <t>REDE DE ATENÇÃO À PESSOA COM DOENÇAS CRÔNICAS - HOSPITAL HABILITADO NA ALTA COMPLEXIDADE EM ONCOLOGIA</t>
        </is>
      </c>
      <c r="S69" s="211" t="n"/>
      <c r="T69" s="211" t="inlineStr">
        <is>
          <t> </t>
        </is>
      </c>
      <c r="U69" s="211" t="inlineStr">
        <is>
          <t xml:space="preserve"> 8</t>
        </is>
      </c>
      <c r="V69" s="211" t="inlineStr">
        <is>
          <t xml:space="preserve"> NA</t>
        </is>
      </c>
      <c r="W69" s="211" t="inlineStr">
        <is>
          <t xml:space="preserve"> UND</t>
        </is>
      </c>
      <c r="X69" s="211" t="inlineStr">
        <is>
          <t>EQUIPAMENTO</t>
        </is>
      </c>
      <c r="Y69" s="211" t="inlineStr">
        <is>
          <t xml:space="preserve"> NA</t>
        </is>
      </c>
      <c r="Z69" s="211" t="inlineStr">
        <is>
          <t xml:space="preserve"> NA</t>
        </is>
      </c>
      <c r="AA69" s="222" t="inlineStr">
        <is>
          <t> </t>
        </is>
      </c>
      <c r="AB69" s="222" t="inlineStr">
        <is>
          <t> </t>
        </is>
      </c>
      <c r="AC69" s="222" t="inlineStr">
        <is>
          <t> </t>
        </is>
      </c>
      <c r="AD69" s="211" t="inlineStr">
        <is>
          <t>NI</t>
        </is>
      </c>
      <c r="AE69" s="211" t="inlineStr">
        <is>
          <t>NI</t>
        </is>
      </c>
      <c r="AF69" s="211" t="inlineStr">
        <is>
          <t>NI</t>
        </is>
      </c>
      <c r="AG69" s="223" t="n"/>
      <c r="AH69" s="223" t="n"/>
      <c r="AI69" s="222" t="inlineStr">
        <is>
          <t> </t>
        </is>
      </c>
      <c r="AJ69" s="211" t="n">
        <v>8535</v>
      </c>
      <c r="AK69" s="223" t="inlineStr">
        <is>
          <t> </t>
        </is>
      </c>
      <c r="AL69" s="223" t="inlineStr">
        <is>
          <t> </t>
        </is>
      </c>
      <c r="AM69" s="223" t="inlineStr">
        <is>
          <t> </t>
        </is>
      </c>
      <c r="AN69" s="223" t="inlineStr">
        <is>
          <t> </t>
        </is>
      </c>
      <c r="AO69" s="223" t="inlineStr">
        <is>
          <t> </t>
        </is>
      </c>
      <c r="AP69" s="223" t="inlineStr">
        <is>
          <t> </t>
        </is>
      </c>
      <c r="AQ69" s="223" t="inlineStr">
        <is>
          <t> </t>
        </is>
      </c>
      <c r="AR69" s="223" t="inlineStr">
        <is>
          <t> </t>
        </is>
      </c>
      <c r="AS69" s="223" t="inlineStr">
        <is>
          <t> </t>
        </is>
      </c>
      <c r="AT69" s="223" t="inlineStr">
        <is>
          <t> </t>
        </is>
      </c>
      <c r="AU69" s="223" t="inlineStr">
        <is>
          <t> </t>
        </is>
      </c>
      <c r="AV69" s="223" t="inlineStr">
        <is>
          <t> </t>
        </is>
      </c>
      <c r="AW69" s="223" t="inlineStr">
        <is>
          <t> </t>
        </is>
      </c>
      <c r="AX69" s="223" t="inlineStr">
        <is>
          <t> </t>
        </is>
      </c>
      <c r="AY69" s="210" t="inlineStr">
        <is>
          <t>NI</t>
        </is>
      </c>
      <c r="AZ69" s="210" t="inlineStr">
        <is>
          <t>NI</t>
        </is>
      </c>
      <c r="BA69" s="210" t="inlineStr">
        <is>
          <t>NI</t>
        </is>
      </c>
      <c r="BB69" s="210" t="inlineStr">
        <is>
          <t>NI</t>
        </is>
      </c>
      <c r="BC69" s="224" t="inlineStr">
        <is>
          <t>NA</t>
        </is>
      </c>
      <c r="BD69" s="211" t="inlineStr">
        <is>
          <t>NA</t>
        </is>
      </c>
      <c r="BE69" s="211" t="inlineStr">
        <is>
          <t>NA</t>
        </is>
      </c>
      <c r="BF69" s="211" t="inlineStr">
        <is>
          <t>NA</t>
        </is>
      </c>
      <c r="BG69" s="225" t="inlineStr">
        <is>
          <t>NA</t>
        </is>
      </c>
      <c r="BH69" s="211" t="inlineStr">
        <is>
          <t>NA</t>
        </is>
      </c>
      <c r="BI69" s="211" t="inlineStr">
        <is>
          <t>NA</t>
        </is>
      </c>
      <c r="BJ69" s="211" t="inlineStr">
        <is>
          <t>NA</t>
        </is>
      </c>
      <c r="BK69" s="211" t="inlineStr">
        <is>
          <t>NA</t>
        </is>
      </c>
      <c r="BL69" s="219" t="inlineStr">
        <is>
          <t>NA</t>
        </is>
      </c>
      <c r="BM69" s="811" t="n"/>
      <c r="BN69" s="811" t="n"/>
      <c r="BO69" s="811" t="n"/>
      <c r="BP69" s="811" t="n"/>
      <c r="BQ69" s="811" t="n"/>
      <c r="BR69" s="811" t="n"/>
      <c r="BS69" s="811" t="n"/>
      <c r="BT69" s="222" t="n"/>
      <c r="BU69" s="223" t="n"/>
      <c r="BV69" s="808" t="n"/>
      <c r="BW69" s="808" t="n"/>
      <c r="BX69" s="808" t="n"/>
      <c r="BY69" s="808" t="n"/>
      <c r="BZ69" s="808" t="n"/>
      <c r="CA69" s="808" t="n"/>
      <c r="CB69" s="808" t="n"/>
      <c r="CC69" s="808" t="n"/>
      <c r="CD69" s="808" t="n"/>
      <c r="CE69" s="808" t="n"/>
      <c r="CF69" s="808" t="n"/>
      <c r="CG69" s="808" t="n"/>
      <c r="CH69" s="808" t="n"/>
      <c r="CI69" s="808" t="n"/>
      <c r="CJ69" s="808" t="n"/>
      <c r="CK69" s="808" t="n"/>
      <c r="CL69" s="808" t="n"/>
      <c r="CM69" s="808" t="n"/>
      <c r="CN69" s="808" t="n"/>
      <c r="CO69" s="808" t="n"/>
      <c r="CP69" s="808" t="n"/>
      <c r="CQ69" s="808" t="n"/>
      <c r="CR69" s="808" t="n"/>
      <c r="CS69" s="808" t="n"/>
      <c r="CT69" s="808" t="n"/>
    </row>
    <row r="70" ht="60" customFormat="1" customHeight="1" s="107">
      <c r="A70" s="211" t="inlineStr">
        <is>
          <t>NORDESTE</t>
        </is>
      </c>
      <c r="B70" s="211" t="inlineStr">
        <is>
          <t>CE</t>
        </is>
      </c>
      <c r="C70" s="211" t="inlineStr">
        <is>
          <t>FORTALEZA</t>
        </is>
      </c>
      <c r="D70" s="211" t="inlineStr">
        <is>
          <t>INSTITUTO DO CANCER DO CEARA</t>
        </is>
      </c>
      <c r="E70" s="214" t="inlineStr">
        <is>
          <t>07265515000162</t>
        </is>
      </c>
      <c r="F70" s="239" t="inlineStr">
        <is>
          <t>INSTITUTO DO CANCER DO CEARA</t>
        </is>
      </c>
      <c r="G70" s="240" t="n">
        <v>2723220</v>
      </c>
      <c r="H70" s="241" t="n">
        <v>-374717</v>
      </c>
      <c r="I70" s="218" t="n">
        <v>-38553492</v>
      </c>
      <c r="J70" s="211" t="inlineStr">
        <is>
          <t> </t>
        </is>
      </c>
      <c r="K70" s="211" t="inlineStr">
        <is>
          <t>Indireta</t>
        </is>
      </c>
      <c r="L70" s="211" t="inlineStr">
        <is>
          <t>Transferegov/SEI</t>
        </is>
      </c>
      <c r="M70" s="211" t="inlineStr">
        <is>
          <t>Convênio</t>
        </is>
      </c>
      <c r="N70" s="211" t="n">
        <v>2024</v>
      </c>
      <c r="O70" s="220" t="inlineStr">
        <is>
          <t>NI</t>
        </is>
      </c>
      <c r="P70" s="243" t="inlineStr">
        <is>
          <t>90726524006</t>
        </is>
      </c>
      <c r="Q70" s="214" t="inlineStr">
        <is>
          <t>25000.164404/2024-37</t>
        </is>
      </c>
      <c r="R70" s="211" t="inlineStr">
        <is>
          <t>REDE DE ATENÇÃO À PESSOA COM DOENÇAS CRÔNICAS - HOSPITAL HABILITADO NA ALTA COMPLEXIDADE EM ONCOLOGIA</t>
        </is>
      </c>
      <c r="S70" s="211" t="n"/>
      <c r="T70" s="211" t="inlineStr">
        <is>
          <t> </t>
        </is>
      </c>
      <c r="U70" s="211" t="n">
        <v>7</v>
      </c>
      <c r="V70" s="211" t="inlineStr">
        <is>
          <t xml:space="preserve"> NA</t>
        </is>
      </c>
      <c r="W70" s="211" t="inlineStr">
        <is>
          <t xml:space="preserve"> UND</t>
        </is>
      </c>
      <c r="X70" s="211" t="inlineStr">
        <is>
          <t>EQUIPAMENTO</t>
        </is>
      </c>
      <c r="Y70" s="211" t="inlineStr">
        <is>
          <t xml:space="preserve"> NA</t>
        </is>
      </c>
      <c r="Z70" s="211" t="inlineStr">
        <is>
          <t xml:space="preserve"> NA</t>
        </is>
      </c>
      <c r="AA70" s="222" t="inlineStr">
        <is>
          <t> </t>
        </is>
      </c>
      <c r="AB70" s="222" t="inlineStr">
        <is>
          <t> </t>
        </is>
      </c>
      <c r="AC70" s="222" t="inlineStr">
        <is>
          <t> </t>
        </is>
      </c>
      <c r="AD70" s="211" t="inlineStr">
        <is>
          <t>NI</t>
        </is>
      </c>
      <c r="AE70" s="211" t="inlineStr">
        <is>
          <t>NI</t>
        </is>
      </c>
      <c r="AF70" s="211" t="inlineStr">
        <is>
          <t>NI</t>
        </is>
      </c>
      <c r="AG70" s="223" t="n"/>
      <c r="AH70" s="223" t="n"/>
      <c r="AI70" s="222" t="inlineStr">
        <is>
          <t> </t>
        </is>
      </c>
      <c r="AJ70" s="211" t="n">
        <v>8535</v>
      </c>
      <c r="AK70" s="223" t="inlineStr">
        <is>
          <t> </t>
        </is>
      </c>
      <c r="AL70" s="223" t="inlineStr">
        <is>
          <t> </t>
        </is>
      </c>
      <c r="AM70" s="223" t="inlineStr">
        <is>
          <t> </t>
        </is>
      </c>
      <c r="AN70" s="223" t="inlineStr">
        <is>
          <t> </t>
        </is>
      </c>
      <c r="AO70" s="223" t="inlineStr">
        <is>
          <t> </t>
        </is>
      </c>
      <c r="AP70" s="223" t="inlineStr">
        <is>
          <t> </t>
        </is>
      </c>
      <c r="AQ70" s="223" t="inlineStr">
        <is>
          <t> </t>
        </is>
      </c>
      <c r="AR70" s="223" t="inlineStr">
        <is>
          <t> </t>
        </is>
      </c>
      <c r="AS70" s="223" t="inlineStr">
        <is>
          <t> </t>
        </is>
      </c>
      <c r="AT70" s="223" t="inlineStr">
        <is>
          <t> </t>
        </is>
      </c>
      <c r="AU70" s="223" t="inlineStr">
        <is>
          <t> </t>
        </is>
      </c>
      <c r="AV70" s="223" t="inlineStr">
        <is>
          <t> </t>
        </is>
      </c>
      <c r="AW70" s="223" t="inlineStr">
        <is>
          <t> </t>
        </is>
      </c>
      <c r="AX70" s="223" t="inlineStr">
        <is>
          <t> </t>
        </is>
      </c>
      <c r="AY70" s="210" t="inlineStr">
        <is>
          <t>NI</t>
        </is>
      </c>
      <c r="AZ70" s="210" t="inlineStr">
        <is>
          <t>NI</t>
        </is>
      </c>
      <c r="BA70" s="210" t="inlineStr">
        <is>
          <t>NI</t>
        </is>
      </c>
      <c r="BB70" s="210" t="inlineStr">
        <is>
          <t>NI</t>
        </is>
      </c>
      <c r="BC70" s="224" t="inlineStr">
        <is>
          <t>NA</t>
        </is>
      </c>
      <c r="BD70" s="211" t="inlineStr">
        <is>
          <t>NA</t>
        </is>
      </c>
      <c r="BE70" s="211" t="inlineStr">
        <is>
          <t>NA</t>
        </is>
      </c>
      <c r="BF70" s="211" t="inlineStr">
        <is>
          <t>NA</t>
        </is>
      </c>
      <c r="BG70" s="225" t="inlineStr">
        <is>
          <t>NA</t>
        </is>
      </c>
      <c r="BH70" s="211" t="inlineStr">
        <is>
          <t>NA</t>
        </is>
      </c>
      <c r="BI70" s="211" t="inlineStr">
        <is>
          <t>NA</t>
        </is>
      </c>
      <c r="BJ70" s="211" t="inlineStr">
        <is>
          <t>NA</t>
        </is>
      </c>
      <c r="BK70" s="211" t="inlineStr">
        <is>
          <t>NA</t>
        </is>
      </c>
      <c r="BL70" s="219" t="inlineStr">
        <is>
          <t>NA</t>
        </is>
      </c>
      <c r="BM70" s="811" t="n"/>
      <c r="BN70" s="811" t="n"/>
      <c r="BO70" s="811" t="n"/>
      <c r="BP70" s="811" t="n"/>
      <c r="BQ70" s="811" t="n"/>
      <c r="BR70" s="811" t="n"/>
      <c r="BS70" s="811" t="n"/>
      <c r="BT70" s="222" t="n"/>
      <c r="BU70" s="223" t="n"/>
      <c r="BV70" s="808" t="n"/>
      <c r="BW70" s="808" t="n"/>
      <c r="BX70" s="808" t="n"/>
      <c r="BY70" s="808" t="n"/>
      <c r="BZ70" s="808" t="n"/>
      <c r="CA70" s="808" t="n"/>
      <c r="CB70" s="808" t="n"/>
      <c r="CC70" s="808" t="n"/>
      <c r="CD70" s="808" t="n"/>
      <c r="CE70" s="808" t="n"/>
      <c r="CF70" s="808" t="n"/>
      <c r="CG70" s="808" t="n"/>
      <c r="CH70" s="808" t="n"/>
      <c r="CI70" s="808" t="n"/>
      <c r="CJ70" s="808" t="n"/>
      <c r="CK70" s="808" t="n"/>
      <c r="CL70" s="808" t="n"/>
      <c r="CM70" s="808" t="n"/>
      <c r="CN70" s="808" t="n"/>
      <c r="CO70" s="808" t="n"/>
      <c r="CP70" s="808" t="n"/>
      <c r="CQ70" s="808" t="n"/>
      <c r="CR70" s="808" t="n"/>
      <c r="CS70" s="808" t="n"/>
      <c r="CT70" s="808" t="n"/>
    </row>
    <row r="71" ht="60" customFormat="1" customHeight="1" s="107">
      <c r="A71" s="211" t="inlineStr">
        <is>
          <t>CENTRO-OESTE</t>
        </is>
      </c>
      <c r="B71" s="211" t="inlineStr">
        <is>
          <t>DF</t>
        </is>
      </c>
      <c r="C71" s="211" t="inlineStr">
        <is>
          <t>BRASILIA</t>
        </is>
      </c>
      <c r="D71" s="211" t="inlineStr">
        <is>
          <t>FUNDO DE SAUDE DO DISTRITO FEDERAL</t>
        </is>
      </c>
      <c r="E71" s="214" t="inlineStr">
        <is>
          <t>12116247000157</t>
        </is>
      </c>
      <c r="F71" s="239" t="inlineStr">
        <is>
          <t>HOSPITAL REGIONAL DE TAGUATINGA</t>
        </is>
      </c>
      <c r="G71" s="240" t="n">
        <v>10499</v>
      </c>
      <c r="H71" s="241" t="n">
        <v>-1.57866849e+16</v>
      </c>
      <c r="I71" s="218" t="n">
        <v>-478857704</v>
      </c>
      <c r="J71" s="211" t="inlineStr">
        <is>
          <t> </t>
        </is>
      </c>
      <c r="K71" s="211" t="inlineStr">
        <is>
          <t>Indireta</t>
        </is>
      </c>
      <c r="L71" s="211" t="inlineStr">
        <is>
          <t>SISPRO</t>
        </is>
      </c>
      <c r="M71" s="211" t="inlineStr">
        <is>
          <t>FAF</t>
        </is>
      </c>
      <c r="N71" s="211" t="n">
        <v>2024</v>
      </c>
      <c r="O71" s="220" t="inlineStr">
        <is>
          <t>NI</t>
        </is>
      </c>
      <c r="P71" s="220" t="inlineStr">
        <is>
          <t>12116247000124075</t>
        </is>
      </c>
      <c r="Q71" s="220" t="inlineStr">
        <is>
          <t xml:space="preserve"> NI</t>
        </is>
      </c>
      <c r="R71" s="211" t="inlineStr">
        <is>
          <t>REDE DE ATENÇÃO À PESSOA COM DOENÇAS CRÔNICAS - HOSPITAL HABILITADO NA ALTA COMPLEXIDADE EM ONCOLOGIA</t>
        </is>
      </c>
      <c r="S71" s="211" t="n"/>
      <c r="T71" s="211" t="inlineStr">
        <is>
          <t> </t>
        </is>
      </c>
      <c r="U71" s="211" t="inlineStr">
        <is>
          <t> </t>
        </is>
      </c>
      <c r="V71" s="211" t="inlineStr">
        <is>
          <t xml:space="preserve"> NA</t>
        </is>
      </c>
      <c r="W71" s="211" t="inlineStr">
        <is>
          <t xml:space="preserve"> UND</t>
        </is>
      </c>
      <c r="X71" s="211" t="inlineStr">
        <is>
          <t>EQUIPAMENTO</t>
        </is>
      </c>
      <c r="Y71" s="211" t="inlineStr">
        <is>
          <t xml:space="preserve"> NA</t>
        </is>
      </c>
      <c r="Z71" s="211" t="inlineStr">
        <is>
          <t xml:space="preserve"> NA</t>
        </is>
      </c>
      <c r="AA71" s="222" t="inlineStr">
        <is>
          <t> </t>
        </is>
      </c>
      <c r="AB71" s="222" t="inlineStr">
        <is>
          <t> </t>
        </is>
      </c>
      <c r="AC71" s="222" t="inlineStr">
        <is>
          <t> </t>
        </is>
      </c>
      <c r="AD71" s="211" t="inlineStr">
        <is>
          <t>NI</t>
        </is>
      </c>
      <c r="AE71" s="211" t="inlineStr">
        <is>
          <t>NI</t>
        </is>
      </c>
      <c r="AF71" s="211" t="inlineStr">
        <is>
          <t>NI</t>
        </is>
      </c>
      <c r="AG71" s="223" t="n"/>
      <c r="AH71" s="223" t="n"/>
      <c r="AI71" s="222" t="inlineStr">
        <is>
          <t> </t>
        </is>
      </c>
      <c r="AJ71" s="211" t="n">
        <v>8535</v>
      </c>
      <c r="AK71" s="223" t="inlineStr">
        <is>
          <t> </t>
        </is>
      </c>
      <c r="AL71" s="223" t="inlineStr">
        <is>
          <t> </t>
        </is>
      </c>
      <c r="AM71" s="223" t="inlineStr">
        <is>
          <t> </t>
        </is>
      </c>
      <c r="AN71" s="223" t="inlineStr">
        <is>
          <t> </t>
        </is>
      </c>
      <c r="AO71" s="223" t="inlineStr">
        <is>
          <t> </t>
        </is>
      </c>
      <c r="AP71" s="223" t="inlineStr">
        <is>
          <t> </t>
        </is>
      </c>
      <c r="AQ71" s="223" t="inlineStr">
        <is>
          <t> </t>
        </is>
      </c>
      <c r="AR71" s="223" t="inlineStr">
        <is>
          <t> </t>
        </is>
      </c>
      <c r="AS71" s="223" t="inlineStr">
        <is>
          <t> </t>
        </is>
      </c>
      <c r="AT71" s="223" t="inlineStr">
        <is>
          <t> </t>
        </is>
      </c>
      <c r="AU71" s="223" t="inlineStr">
        <is>
          <t> </t>
        </is>
      </c>
      <c r="AV71" s="223" t="inlineStr">
        <is>
          <t> </t>
        </is>
      </c>
      <c r="AW71" s="223" t="inlineStr">
        <is>
          <t> </t>
        </is>
      </c>
      <c r="AX71" s="223" t="inlineStr">
        <is>
          <t> </t>
        </is>
      </c>
      <c r="AY71" s="210" t="inlineStr">
        <is>
          <t>NI</t>
        </is>
      </c>
      <c r="AZ71" s="210" t="inlineStr">
        <is>
          <t>NI</t>
        </is>
      </c>
      <c r="BA71" s="210" t="inlineStr">
        <is>
          <t>NI</t>
        </is>
      </c>
      <c r="BB71" s="210" t="inlineStr">
        <is>
          <t>NI</t>
        </is>
      </c>
      <c r="BC71" s="224" t="inlineStr">
        <is>
          <t>NA</t>
        </is>
      </c>
      <c r="BD71" s="211" t="inlineStr">
        <is>
          <t>NA</t>
        </is>
      </c>
      <c r="BE71" s="211" t="inlineStr">
        <is>
          <t>NA</t>
        </is>
      </c>
      <c r="BF71" s="211" t="inlineStr">
        <is>
          <t>NA</t>
        </is>
      </c>
      <c r="BG71" s="225" t="inlineStr">
        <is>
          <t>NA</t>
        </is>
      </c>
      <c r="BH71" s="211" t="inlineStr">
        <is>
          <t>NA</t>
        </is>
      </c>
      <c r="BI71" s="211" t="inlineStr">
        <is>
          <t>NA</t>
        </is>
      </c>
      <c r="BJ71" s="211" t="inlineStr">
        <is>
          <t>NA</t>
        </is>
      </c>
      <c r="BK71" s="211" t="inlineStr">
        <is>
          <t>NA</t>
        </is>
      </c>
      <c r="BL71" s="219" t="inlineStr">
        <is>
          <t>NA</t>
        </is>
      </c>
      <c r="BM71" s="811" t="n"/>
      <c r="BN71" s="811" t="n"/>
      <c r="BO71" s="811" t="n"/>
      <c r="BP71" s="811" t="n"/>
      <c r="BQ71" s="811" t="n"/>
      <c r="BR71" s="811" t="n"/>
      <c r="BS71" s="811" t="n"/>
      <c r="BT71" s="222" t="n"/>
      <c r="BU71" s="223" t="n"/>
      <c r="BV71" s="808" t="n"/>
      <c r="BW71" s="808" t="n"/>
      <c r="BX71" s="808" t="n"/>
      <c r="BY71" s="808" t="n"/>
      <c r="BZ71" s="808" t="n"/>
      <c r="CA71" s="808" t="n"/>
      <c r="CB71" s="808" t="n"/>
      <c r="CC71" s="808" t="n"/>
      <c r="CD71" s="808" t="n"/>
      <c r="CE71" s="808" t="n"/>
      <c r="CF71" s="808" t="n"/>
      <c r="CG71" s="808" t="n"/>
      <c r="CH71" s="808" t="n"/>
      <c r="CI71" s="808" t="n"/>
      <c r="CJ71" s="808" t="n"/>
      <c r="CK71" s="808" t="n"/>
      <c r="CL71" s="808" t="n"/>
      <c r="CM71" s="808" t="n"/>
      <c r="CN71" s="808" t="n"/>
      <c r="CO71" s="808" t="n"/>
      <c r="CP71" s="808" t="n"/>
      <c r="CQ71" s="808" t="n"/>
      <c r="CR71" s="808" t="n"/>
      <c r="CS71" s="808" t="n"/>
      <c r="CT71" s="808" t="n"/>
    </row>
    <row r="72" ht="60" customFormat="1" customHeight="1" s="107">
      <c r="A72" s="211" t="inlineStr">
        <is>
          <t>SUDESTE</t>
        </is>
      </c>
      <c r="B72" s="211" t="inlineStr">
        <is>
          <t>SP</t>
        </is>
      </c>
      <c r="C72" s="211" t="inlineStr">
        <is>
          <t>SAO PAULO</t>
        </is>
      </c>
      <c r="D72" s="211" t="inlineStr">
        <is>
          <t>FUNDO ESTADUAL DE SAUDE - FUNDES</t>
        </is>
      </c>
      <c r="E72" s="214" t="inlineStr">
        <is>
          <t>13851748000140</t>
        </is>
      </c>
      <c r="F72" s="239" t="inlineStr">
        <is>
          <t xml:space="preserve">SECRETARIA DE ESTADO DA SAUDE DE SAO PAULO </t>
        </is>
      </c>
      <c r="G72" s="240" t="n">
        <v>6123740</v>
      </c>
      <c r="H72" s="241" t="n">
        <v>-23548</v>
      </c>
      <c r="I72" s="218" t="n">
        <v>-46636</v>
      </c>
      <c r="J72" s="211" t="inlineStr">
        <is>
          <t> </t>
        </is>
      </c>
      <c r="K72" s="211" t="inlineStr">
        <is>
          <t>Indireta</t>
        </is>
      </c>
      <c r="L72" s="211" t="inlineStr">
        <is>
          <t>SISPRO</t>
        </is>
      </c>
      <c r="M72" s="211" t="inlineStr">
        <is>
          <t>FAF</t>
        </is>
      </c>
      <c r="N72" s="211" t="n">
        <v>2024</v>
      </c>
      <c r="O72" s="220" t="inlineStr">
        <is>
          <t>NI</t>
        </is>
      </c>
      <c r="P72" s="214" t="inlineStr">
        <is>
          <t>13851748000124008</t>
        </is>
      </c>
      <c r="Q72" s="220" t="inlineStr">
        <is>
          <t xml:space="preserve"> NI</t>
        </is>
      </c>
      <c r="R72" s="211" t="inlineStr">
        <is>
          <t>REDE DE ATENÇÃO À PESSOA COM DOENÇAS CRÔNICAS - HOSPITAL HABILITADO NA ALTA COMPLEXIDADE EM ONCOLOGIA</t>
        </is>
      </c>
      <c r="S72" s="211" t="n"/>
      <c r="T72" s="211" t="inlineStr">
        <is>
          <t> </t>
        </is>
      </c>
      <c r="U72" s="211" t="inlineStr">
        <is>
          <t> </t>
        </is>
      </c>
      <c r="V72" s="211" t="inlineStr">
        <is>
          <t xml:space="preserve"> NA</t>
        </is>
      </c>
      <c r="W72" s="211" t="inlineStr">
        <is>
          <t xml:space="preserve"> UND</t>
        </is>
      </c>
      <c r="X72" s="211" t="inlineStr">
        <is>
          <t>EQUIPAMENTO</t>
        </is>
      </c>
      <c r="Y72" s="211" t="inlineStr">
        <is>
          <t xml:space="preserve"> NA</t>
        </is>
      </c>
      <c r="Z72" s="211" t="inlineStr">
        <is>
          <t xml:space="preserve"> NA</t>
        </is>
      </c>
      <c r="AA72" s="222" t="inlineStr">
        <is>
          <t> </t>
        </is>
      </c>
      <c r="AB72" s="222" t="inlineStr">
        <is>
          <t> </t>
        </is>
      </c>
      <c r="AC72" s="222" t="inlineStr">
        <is>
          <t> </t>
        </is>
      </c>
      <c r="AD72" s="211" t="inlineStr">
        <is>
          <t>NI</t>
        </is>
      </c>
      <c r="AE72" s="211" t="inlineStr">
        <is>
          <t>NI</t>
        </is>
      </c>
      <c r="AF72" s="211" t="inlineStr">
        <is>
          <t>NI</t>
        </is>
      </c>
      <c r="AG72" s="223" t="n"/>
      <c r="AH72" s="223" t="n"/>
      <c r="AI72" s="222" t="inlineStr">
        <is>
          <t> </t>
        </is>
      </c>
      <c r="AJ72" s="211" t="n">
        <v>8535</v>
      </c>
      <c r="AK72" s="223" t="inlineStr">
        <is>
          <t> </t>
        </is>
      </c>
      <c r="AL72" s="223" t="inlineStr">
        <is>
          <t> </t>
        </is>
      </c>
      <c r="AM72" s="223" t="inlineStr">
        <is>
          <t> </t>
        </is>
      </c>
      <c r="AN72" s="223" t="inlineStr">
        <is>
          <t> </t>
        </is>
      </c>
      <c r="AO72" s="223" t="inlineStr">
        <is>
          <t> </t>
        </is>
      </c>
      <c r="AP72" s="223" t="inlineStr">
        <is>
          <t> </t>
        </is>
      </c>
      <c r="AQ72" s="223" t="inlineStr">
        <is>
          <t> </t>
        </is>
      </c>
      <c r="AR72" s="223" t="inlineStr">
        <is>
          <t> </t>
        </is>
      </c>
      <c r="AS72" s="223" t="inlineStr">
        <is>
          <t> </t>
        </is>
      </c>
      <c r="AT72" s="223" t="inlineStr">
        <is>
          <t> </t>
        </is>
      </c>
      <c r="AU72" s="223" t="inlineStr">
        <is>
          <t> </t>
        </is>
      </c>
      <c r="AV72" s="223" t="inlineStr">
        <is>
          <t> </t>
        </is>
      </c>
      <c r="AW72" s="223" t="inlineStr">
        <is>
          <t> </t>
        </is>
      </c>
      <c r="AX72" s="223" t="inlineStr">
        <is>
          <t> </t>
        </is>
      </c>
      <c r="AY72" s="210" t="inlineStr">
        <is>
          <t>NI</t>
        </is>
      </c>
      <c r="AZ72" s="210" t="inlineStr">
        <is>
          <t>NI</t>
        </is>
      </c>
      <c r="BA72" s="210" t="inlineStr">
        <is>
          <t>NI</t>
        </is>
      </c>
      <c r="BB72" s="210" t="inlineStr">
        <is>
          <t>NI</t>
        </is>
      </c>
      <c r="BC72" s="224" t="inlineStr">
        <is>
          <t>NA</t>
        </is>
      </c>
      <c r="BD72" s="211" t="inlineStr">
        <is>
          <t>NA</t>
        </is>
      </c>
      <c r="BE72" s="211" t="inlineStr">
        <is>
          <t>NA</t>
        </is>
      </c>
      <c r="BF72" s="211" t="inlineStr">
        <is>
          <t>NA</t>
        </is>
      </c>
      <c r="BG72" s="225" t="inlineStr">
        <is>
          <t>NA</t>
        </is>
      </c>
      <c r="BH72" s="211" t="inlineStr">
        <is>
          <t>NA</t>
        </is>
      </c>
      <c r="BI72" s="211" t="inlineStr">
        <is>
          <t>NA</t>
        </is>
      </c>
      <c r="BJ72" s="211" t="inlineStr">
        <is>
          <t>NA</t>
        </is>
      </c>
      <c r="BK72" s="211" t="inlineStr">
        <is>
          <t>NA</t>
        </is>
      </c>
      <c r="BL72" s="219" t="inlineStr">
        <is>
          <t>NA</t>
        </is>
      </c>
      <c r="BM72" s="811" t="n"/>
      <c r="BN72" s="811" t="n"/>
      <c r="BO72" s="811" t="n"/>
      <c r="BP72" s="811" t="n"/>
      <c r="BQ72" s="811" t="n"/>
      <c r="BR72" s="811" t="n"/>
      <c r="BS72" s="811" t="n"/>
      <c r="BT72" s="222" t="n"/>
      <c r="BU72" s="223" t="n"/>
      <c r="BV72" s="808" t="n"/>
      <c r="BW72" s="808" t="n"/>
      <c r="BX72" s="808" t="n"/>
      <c r="BY72" s="808" t="n"/>
      <c r="BZ72" s="808" t="n"/>
      <c r="CA72" s="808" t="n"/>
      <c r="CB72" s="808" t="n"/>
      <c r="CC72" s="808" t="n"/>
      <c r="CD72" s="808" t="n"/>
      <c r="CE72" s="808" t="n"/>
      <c r="CF72" s="808" t="n"/>
      <c r="CG72" s="808" t="n"/>
      <c r="CH72" s="808" t="n"/>
      <c r="CI72" s="808" t="n"/>
      <c r="CJ72" s="808" t="n"/>
      <c r="CK72" s="808" t="n"/>
      <c r="CL72" s="808" t="n"/>
      <c r="CM72" s="808" t="n"/>
      <c r="CN72" s="808" t="n"/>
      <c r="CO72" s="808" t="n"/>
      <c r="CP72" s="808" t="n"/>
      <c r="CQ72" s="808" t="n"/>
      <c r="CR72" s="808" t="n"/>
      <c r="CS72" s="808" t="n"/>
      <c r="CT72" s="808" t="n"/>
    </row>
    <row r="73" ht="60" customFormat="1" customHeight="1" s="107">
      <c r="A73" s="211" t="inlineStr">
        <is>
          <t>SUDESTE</t>
        </is>
      </c>
      <c r="B73" s="211" t="inlineStr">
        <is>
          <t>SP</t>
        </is>
      </c>
      <c r="C73" s="211" t="inlineStr">
        <is>
          <t>SAO PAULO</t>
        </is>
      </c>
      <c r="D73" s="211" t="inlineStr">
        <is>
          <t>FUNDO ESTADUAL DE SAUDE - FUNDES</t>
        </is>
      </c>
      <c r="E73" s="214" t="inlineStr">
        <is>
          <t>13851748000140</t>
        </is>
      </c>
      <c r="F73" s="215" t="inlineStr">
        <is>
          <t xml:space="preserve"> SECRETARIA DE ESTADO DA SAUDE DE SAO PAULO</t>
        </is>
      </c>
      <c r="G73" s="216" t="n">
        <v>6123740</v>
      </c>
      <c r="H73" s="241" t="n">
        <v>-23548</v>
      </c>
      <c r="I73" s="218" t="n">
        <v>-46636</v>
      </c>
      <c r="J73" s="211" t="inlineStr">
        <is>
          <t> </t>
        </is>
      </c>
      <c r="K73" s="211" t="inlineStr">
        <is>
          <t>Indireta</t>
        </is>
      </c>
      <c r="L73" s="211" t="inlineStr">
        <is>
          <t>SISPRO</t>
        </is>
      </c>
      <c r="M73" s="211" t="inlineStr">
        <is>
          <t>FAF</t>
        </is>
      </c>
      <c r="N73" s="211" t="n">
        <v>2024</v>
      </c>
      <c r="O73" s="220" t="inlineStr">
        <is>
          <t>NI</t>
        </is>
      </c>
      <c r="P73" s="214" t="inlineStr">
        <is>
          <t>13851748000124051</t>
        </is>
      </c>
      <c r="Q73" s="220" t="inlineStr">
        <is>
          <t xml:space="preserve"> NI</t>
        </is>
      </c>
      <c r="R73" s="211" t="inlineStr">
        <is>
          <t>REDE DE ATENÇÃO À PESSOA COM DOENÇAS CRÔNICAS - HOSPITAL HABILITADO NA ALTA COMPLEXIDADE EM ONCOLOGIA</t>
        </is>
      </c>
      <c r="S73" s="211" t="n"/>
      <c r="T73" s="211" t="inlineStr">
        <is>
          <t> </t>
        </is>
      </c>
      <c r="U73" s="211" t="inlineStr">
        <is>
          <t> </t>
        </is>
      </c>
      <c r="V73" s="211" t="inlineStr">
        <is>
          <t xml:space="preserve"> NA</t>
        </is>
      </c>
      <c r="W73" s="211" t="inlineStr">
        <is>
          <t xml:space="preserve"> UND</t>
        </is>
      </c>
      <c r="X73" s="211" t="inlineStr">
        <is>
          <t>EQUIPAMENTO</t>
        </is>
      </c>
      <c r="Y73" s="211" t="inlineStr">
        <is>
          <t xml:space="preserve"> NA</t>
        </is>
      </c>
      <c r="Z73" s="211" t="inlineStr">
        <is>
          <t xml:space="preserve"> NA</t>
        </is>
      </c>
      <c r="AA73" s="222" t="inlineStr">
        <is>
          <t> </t>
        </is>
      </c>
      <c r="AB73" s="222" t="inlineStr">
        <is>
          <t> </t>
        </is>
      </c>
      <c r="AC73" s="222" t="inlineStr">
        <is>
          <t> </t>
        </is>
      </c>
      <c r="AD73" s="211" t="inlineStr">
        <is>
          <t>NI</t>
        </is>
      </c>
      <c r="AE73" s="211" t="inlineStr">
        <is>
          <t>NI</t>
        </is>
      </c>
      <c r="AF73" s="211" t="inlineStr">
        <is>
          <t>NI</t>
        </is>
      </c>
      <c r="AG73" s="223" t="n"/>
      <c r="AH73" s="223" t="n"/>
      <c r="AI73" s="222" t="inlineStr">
        <is>
          <t> </t>
        </is>
      </c>
      <c r="AJ73" s="211" t="n">
        <v>8535</v>
      </c>
      <c r="AK73" s="223" t="inlineStr">
        <is>
          <t> </t>
        </is>
      </c>
      <c r="AL73" s="223" t="inlineStr">
        <is>
          <t> </t>
        </is>
      </c>
      <c r="AM73" s="223" t="inlineStr">
        <is>
          <t> </t>
        </is>
      </c>
      <c r="AN73" s="223" t="inlineStr">
        <is>
          <t> </t>
        </is>
      </c>
      <c r="AO73" s="223" t="inlineStr">
        <is>
          <t> </t>
        </is>
      </c>
      <c r="AP73" s="223" t="inlineStr">
        <is>
          <t> </t>
        </is>
      </c>
      <c r="AQ73" s="223" t="inlineStr">
        <is>
          <t> </t>
        </is>
      </c>
      <c r="AR73" s="223" t="inlineStr">
        <is>
          <t> </t>
        </is>
      </c>
      <c r="AS73" s="223" t="inlineStr">
        <is>
          <t> </t>
        </is>
      </c>
      <c r="AT73" s="223" t="inlineStr">
        <is>
          <t> </t>
        </is>
      </c>
      <c r="AU73" s="223" t="inlineStr">
        <is>
          <t> </t>
        </is>
      </c>
      <c r="AV73" s="223" t="inlineStr">
        <is>
          <t> </t>
        </is>
      </c>
      <c r="AW73" s="223" t="inlineStr">
        <is>
          <t> </t>
        </is>
      </c>
      <c r="AX73" s="223" t="inlineStr">
        <is>
          <t> </t>
        </is>
      </c>
      <c r="AY73" s="210" t="inlineStr">
        <is>
          <t>NI</t>
        </is>
      </c>
      <c r="AZ73" s="210" t="inlineStr">
        <is>
          <t>NI</t>
        </is>
      </c>
      <c r="BA73" s="210" t="inlineStr">
        <is>
          <t>NI</t>
        </is>
      </c>
      <c r="BB73" s="210" t="inlineStr">
        <is>
          <t>NI</t>
        </is>
      </c>
      <c r="BC73" s="224" t="inlineStr">
        <is>
          <t>NA</t>
        </is>
      </c>
      <c r="BD73" s="211" t="inlineStr">
        <is>
          <t>NA</t>
        </is>
      </c>
      <c r="BE73" s="211" t="inlineStr">
        <is>
          <t>NA</t>
        </is>
      </c>
      <c r="BF73" s="211" t="inlineStr">
        <is>
          <t>NA</t>
        </is>
      </c>
      <c r="BG73" s="225" t="inlineStr">
        <is>
          <t>NA</t>
        </is>
      </c>
      <c r="BH73" s="211" t="inlineStr">
        <is>
          <t>NA</t>
        </is>
      </c>
      <c r="BI73" s="211" t="inlineStr">
        <is>
          <t>NA</t>
        </is>
      </c>
      <c r="BJ73" s="211" t="inlineStr">
        <is>
          <t>NA</t>
        </is>
      </c>
      <c r="BK73" s="211" t="inlineStr">
        <is>
          <t>NA</t>
        </is>
      </c>
      <c r="BL73" s="219" t="inlineStr">
        <is>
          <t>NA</t>
        </is>
      </c>
      <c r="BM73" s="811" t="n"/>
      <c r="BN73" s="811" t="n"/>
      <c r="BO73" s="811" t="n"/>
      <c r="BP73" s="811" t="n"/>
      <c r="BQ73" s="811" t="n"/>
      <c r="BR73" s="811" t="n"/>
      <c r="BS73" s="811" t="n"/>
      <c r="BT73" s="222" t="n"/>
      <c r="BU73" s="223" t="n"/>
      <c r="BV73" s="808" t="n"/>
      <c r="BW73" s="808" t="n"/>
      <c r="BX73" s="808" t="n"/>
      <c r="BY73" s="808" t="n"/>
      <c r="BZ73" s="808" t="n"/>
      <c r="CA73" s="808" t="n"/>
      <c r="CB73" s="808" t="n"/>
      <c r="CC73" s="808" t="n"/>
      <c r="CD73" s="808" t="n"/>
      <c r="CE73" s="808" t="n"/>
      <c r="CF73" s="808" t="n"/>
      <c r="CG73" s="808" t="n"/>
      <c r="CH73" s="808" t="n"/>
      <c r="CI73" s="808" t="n"/>
      <c r="CJ73" s="808" t="n"/>
      <c r="CK73" s="808" t="n"/>
      <c r="CL73" s="808" t="n"/>
      <c r="CM73" s="808" t="n"/>
      <c r="CN73" s="808" t="n"/>
      <c r="CO73" s="808" t="n"/>
      <c r="CP73" s="808" t="n"/>
      <c r="CQ73" s="808" t="n"/>
      <c r="CR73" s="808" t="n"/>
      <c r="CS73" s="808" t="n"/>
      <c r="CT73" s="808" t="n"/>
    </row>
    <row r="74" ht="60" customFormat="1" customHeight="1" s="107">
      <c r="A74" s="211" t="inlineStr">
        <is>
          <t>NORDESTE</t>
        </is>
      </c>
      <c r="B74" s="211" t="inlineStr">
        <is>
          <t>PB</t>
        </is>
      </c>
      <c r="C74" s="211" t="inlineStr">
        <is>
          <t>CAMPINA GRANDE</t>
        </is>
      </c>
      <c r="D74" s="211" t="inlineStr">
        <is>
          <t>FUNDACAO ASSISTENCIAL DA PARAIBA- FAP</t>
        </is>
      </c>
      <c r="E74" s="214" t="inlineStr">
        <is>
          <t>08841421000157</t>
        </is>
      </c>
      <c r="F74" s="239" t="inlineStr">
        <is>
          <t>FUNDACAO ASSISTENCIAL DA PARAIBA</t>
        </is>
      </c>
      <c r="G74" s="240" t="n">
        <v>2315793</v>
      </c>
      <c r="H74" s="241" t="n">
        <v>-7221497</v>
      </c>
      <c r="I74" s="218" t="n">
        <v>-35883859</v>
      </c>
      <c r="J74" s="211" t="inlineStr">
        <is>
          <t> </t>
        </is>
      </c>
      <c r="K74" s="211" t="inlineStr">
        <is>
          <t>Indireta</t>
        </is>
      </c>
      <c r="L74" s="211" t="inlineStr">
        <is>
          <t>Transferegov/SEI</t>
        </is>
      </c>
      <c r="M74" s="211" t="inlineStr">
        <is>
          <t>Convênio</t>
        </is>
      </c>
      <c r="N74" s="211" t="n">
        <v>2024</v>
      </c>
      <c r="O74" s="220" t="inlineStr">
        <is>
          <t>972688</t>
        </is>
      </c>
      <c r="P74" s="214" t="inlineStr">
        <is>
          <t>90884124008</t>
        </is>
      </c>
      <c r="Q74" s="220" t="inlineStr">
        <is>
          <t>25000.196601/2024-15</t>
        </is>
      </c>
      <c r="R74" s="211" t="inlineStr">
        <is>
          <t>REDE DE ATENÇÃO À PESSOA COM DOENÇAS CRÔNICAS - HOSPITAL HABILITADO NA ALTA COMPLEXIDADE EM ONCOLOGIA</t>
        </is>
      </c>
      <c r="S74" s="211" t="n"/>
      <c r="T74" s="211" t="inlineStr">
        <is>
          <t> </t>
        </is>
      </c>
      <c r="U74" s="211" t="inlineStr">
        <is>
          <t xml:space="preserve"> NA</t>
        </is>
      </c>
      <c r="V74" s="211" t="inlineStr">
        <is>
          <t xml:space="preserve"> NA</t>
        </is>
      </c>
      <c r="W74" s="211" t="inlineStr">
        <is>
          <t xml:space="preserve"> UND</t>
        </is>
      </c>
      <c r="X74" s="211" t="inlineStr">
        <is>
          <t>CONVÊNIO OBRA</t>
        </is>
      </c>
      <c r="Y74" s="211" t="inlineStr">
        <is>
          <t xml:space="preserve"> NA</t>
        </is>
      </c>
      <c r="Z74" s="211" t="inlineStr">
        <is>
          <t xml:space="preserve"> NA</t>
        </is>
      </c>
      <c r="AA74" s="222" t="inlineStr">
        <is>
          <t> </t>
        </is>
      </c>
      <c r="AB74" s="222" t="inlineStr">
        <is>
          <t> </t>
        </is>
      </c>
      <c r="AC74" s="222" t="inlineStr">
        <is>
          <t> </t>
        </is>
      </c>
      <c r="AD74" s="211" t="inlineStr">
        <is>
          <t>NI</t>
        </is>
      </c>
      <c r="AE74" s="211" t="inlineStr">
        <is>
          <t>NI</t>
        </is>
      </c>
      <c r="AF74" s="211" t="inlineStr">
        <is>
          <t>NI</t>
        </is>
      </c>
      <c r="AG74" s="223" t="n">
        <v>2392268</v>
      </c>
      <c r="AH74" s="223" t="n">
        <v>1028132</v>
      </c>
      <c r="AI74" s="222" t="inlineStr">
        <is>
          <t> </t>
        </is>
      </c>
      <c r="AJ74" s="211" t="n">
        <v>8535</v>
      </c>
      <c r="AK74" s="223" t="inlineStr">
        <is>
          <t> </t>
        </is>
      </c>
      <c r="AL74" s="223" t="inlineStr">
        <is>
          <t> </t>
        </is>
      </c>
      <c r="AM74" s="223" t="inlineStr">
        <is>
          <t> </t>
        </is>
      </c>
      <c r="AN74" s="223" t="inlineStr">
        <is>
          <t> </t>
        </is>
      </c>
      <c r="AO74" s="223" t="inlineStr">
        <is>
          <t> </t>
        </is>
      </c>
      <c r="AP74" s="223" t="inlineStr">
        <is>
          <t> </t>
        </is>
      </c>
      <c r="AQ74" s="223" t="inlineStr">
        <is>
          <t> </t>
        </is>
      </c>
      <c r="AR74" s="223" t="inlineStr">
        <is>
          <t> </t>
        </is>
      </c>
      <c r="AS74" s="223" t="inlineStr">
        <is>
          <t> </t>
        </is>
      </c>
      <c r="AT74" s="223" t="inlineStr">
        <is>
          <t> </t>
        </is>
      </c>
      <c r="AU74" s="223" t="inlineStr">
        <is>
          <t> </t>
        </is>
      </c>
      <c r="AV74" s="223" t="inlineStr">
        <is>
          <t> </t>
        </is>
      </c>
      <c r="AW74" s="223" t="inlineStr">
        <is>
          <t> </t>
        </is>
      </c>
      <c r="AX74" s="223" t="inlineStr">
        <is>
          <t> </t>
        </is>
      </c>
      <c r="AY74" s="210" t="inlineStr">
        <is>
          <t>EM EXECUÇÃO</t>
        </is>
      </c>
      <c r="AZ74" s="210" t="inlineStr">
        <is>
          <t>NI</t>
        </is>
      </c>
      <c r="BA74" s="210" t="inlineStr">
        <is>
          <t>NI</t>
        </is>
      </c>
      <c r="BB74" s="210" t="inlineStr">
        <is>
          <t>NI</t>
        </is>
      </c>
      <c r="BC74" s="224" t="inlineStr">
        <is>
          <t>NA</t>
        </is>
      </c>
      <c r="BD74" s="211" t="inlineStr">
        <is>
          <t>NA</t>
        </is>
      </c>
      <c r="BE74" s="211" t="inlineStr">
        <is>
          <t>NA</t>
        </is>
      </c>
      <c r="BF74" s="211" t="inlineStr">
        <is>
          <t>NA</t>
        </is>
      </c>
      <c r="BG74" s="225" t="inlineStr">
        <is>
          <t>NA</t>
        </is>
      </c>
      <c r="BH74" s="211" t="inlineStr">
        <is>
          <t>NA</t>
        </is>
      </c>
      <c r="BI74" s="211" t="inlineStr">
        <is>
          <t>NA</t>
        </is>
      </c>
      <c r="BJ74" s="211" t="inlineStr">
        <is>
          <t>NA</t>
        </is>
      </c>
      <c r="BK74" s="211" t="inlineStr">
        <is>
          <t>NA</t>
        </is>
      </c>
      <c r="BL74" s="219" t="inlineStr">
        <is>
          <t>NA</t>
        </is>
      </c>
      <c r="BM74" s="811" t="n"/>
      <c r="BN74" s="811" t="n"/>
      <c r="BO74" s="811" t="n"/>
      <c r="BP74" s="811" t="n"/>
      <c r="BQ74" s="811" t="n"/>
      <c r="BR74" s="811" t="n"/>
      <c r="BS74" s="811" t="n"/>
      <c r="BT74" s="222" t="inlineStr">
        <is>
          <t>NA</t>
        </is>
      </c>
      <c r="BU74" s="223" t="n">
        <v>0</v>
      </c>
      <c r="BV74" s="808" t="n"/>
      <c r="BW74" s="808" t="n"/>
      <c r="BX74" s="808" t="n"/>
      <c r="BY74" s="808" t="n"/>
      <c r="BZ74" s="808" t="n"/>
      <c r="CA74" s="808" t="n"/>
      <c r="CB74" s="808" t="n"/>
      <c r="CC74" s="808" t="n"/>
      <c r="CD74" s="808" t="n"/>
      <c r="CE74" s="808" t="n"/>
      <c r="CF74" s="808" t="n"/>
      <c r="CG74" s="808" t="n"/>
      <c r="CH74" s="808" t="n"/>
      <c r="CI74" s="808" t="n"/>
      <c r="CJ74" s="808" t="n"/>
      <c r="CK74" s="808" t="n"/>
      <c r="CL74" s="808" t="n"/>
      <c r="CM74" s="808" t="n"/>
      <c r="CN74" s="808" t="n"/>
      <c r="CO74" s="808" t="n"/>
      <c r="CP74" s="808" t="n"/>
      <c r="CQ74" s="808" t="n"/>
      <c r="CR74" s="808" t="n"/>
      <c r="CS74" s="808" t="n"/>
      <c r="CT74" s="808" t="n"/>
    </row>
    <row r="75" ht="60" customFormat="1" customHeight="1" s="107">
      <c r="A75" s="211" t="inlineStr">
        <is>
          <t>NORDESTE</t>
        </is>
      </c>
      <c r="B75" s="211" t="inlineStr">
        <is>
          <t>PB</t>
        </is>
      </c>
      <c r="C75" s="211" t="inlineStr">
        <is>
          <t>CAMPINA GRANDE</t>
        </is>
      </c>
      <c r="D75" s="211" t="inlineStr">
        <is>
          <t>FUNDACAO ASSISTENCIAL DA PARAIBA- FAP</t>
        </is>
      </c>
      <c r="E75" s="214" t="inlineStr">
        <is>
          <t>08841421000157</t>
        </is>
      </c>
      <c r="F75" s="239" t="inlineStr">
        <is>
          <t xml:space="preserve"> FUNDACAO ASSISTENCIAL DA PARAIBA</t>
        </is>
      </c>
      <c r="G75" s="240" t="n">
        <v>2315793</v>
      </c>
      <c r="H75" s="241" t="n">
        <v>-7221497</v>
      </c>
      <c r="I75" s="218" t="n">
        <v>-35883859</v>
      </c>
      <c r="J75" s="211" t="inlineStr">
        <is>
          <t> </t>
        </is>
      </c>
      <c r="K75" s="211" t="inlineStr">
        <is>
          <t>Indireta</t>
        </is>
      </c>
      <c r="L75" s="211" t="inlineStr">
        <is>
          <t>Transferegov/SEI</t>
        </is>
      </c>
      <c r="M75" s="211" t="inlineStr">
        <is>
          <t>Convênio</t>
        </is>
      </c>
      <c r="N75" s="211" t="n">
        <v>2024</v>
      </c>
      <c r="O75" s="220" t="inlineStr">
        <is>
          <t xml:space="preserve"> 972689</t>
        </is>
      </c>
      <c r="P75" s="214" t="inlineStr">
        <is>
          <t>90884124009</t>
        </is>
      </c>
      <c r="Q75" s="220" t="inlineStr">
        <is>
          <t>25000.196602/2024-60</t>
        </is>
      </c>
      <c r="R75" s="211" t="inlineStr">
        <is>
          <t>REDE DE ATENÇÃO À PESSOA COM DOENÇAS CRÔNICAS - HOSPITAL HABILITADO NA ALTA COMPLEXIDADE EM ONCOLOGIA</t>
        </is>
      </c>
      <c r="S75" s="211" t="n"/>
      <c r="T75" s="211" t="inlineStr">
        <is>
          <t> </t>
        </is>
      </c>
      <c r="U75" s="211" t="inlineStr">
        <is>
          <t xml:space="preserve"> NA</t>
        </is>
      </c>
      <c r="V75" s="211" t="inlineStr">
        <is>
          <t xml:space="preserve"> NA</t>
        </is>
      </c>
      <c r="W75" s="211" t="inlineStr">
        <is>
          <t xml:space="preserve"> UND</t>
        </is>
      </c>
      <c r="X75" s="211" t="inlineStr">
        <is>
          <t>CONVÊNIO OBRA</t>
        </is>
      </c>
      <c r="Y75" s="211" t="inlineStr">
        <is>
          <t xml:space="preserve"> NA</t>
        </is>
      </c>
      <c r="Z75" s="211" t="inlineStr">
        <is>
          <t xml:space="preserve"> NA</t>
        </is>
      </c>
      <c r="AA75" s="222" t="inlineStr">
        <is>
          <t> </t>
        </is>
      </c>
      <c r="AB75" s="222" t="inlineStr">
        <is>
          <t> </t>
        </is>
      </c>
      <c r="AC75" s="222" t="inlineStr">
        <is>
          <t> </t>
        </is>
      </c>
      <c r="AD75" s="211" t="inlineStr">
        <is>
          <t>NI</t>
        </is>
      </c>
      <c r="AE75" s="211" t="inlineStr">
        <is>
          <t>NI</t>
        </is>
      </c>
      <c r="AF75" s="211" t="inlineStr">
        <is>
          <t>NI</t>
        </is>
      </c>
      <c r="AG75" s="223" t="n">
        <v>1913472</v>
      </c>
      <c r="AH75" s="223" t="n">
        <v>1166928</v>
      </c>
      <c r="AI75" s="222" t="inlineStr">
        <is>
          <t> </t>
        </is>
      </c>
      <c r="AJ75" s="211" t="n">
        <v>8535</v>
      </c>
      <c r="AK75" s="223" t="inlineStr">
        <is>
          <t> </t>
        </is>
      </c>
      <c r="AL75" s="223" t="inlineStr">
        <is>
          <t> </t>
        </is>
      </c>
      <c r="AM75" s="223" t="inlineStr">
        <is>
          <t> </t>
        </is>
      </c>
      <c r="AN75" s="223" t="inlineStr">
        <is>
          <t> </t>
        </is>
      </c>
      <c r="AO75" s="223" t="inlineStr">
        <is>
          <t> </t>
        </is>
      </c>
      <c r="AP75" s="223" t="inlineStr">
        <is>
          <t> </t>
        </is>
      </c>
      <c r="AQ75" s="223" t="inlineStr">
        <is>
          <t> </t>
        </is>
      </c>
      <c r="AR75" s="223" t="inlineStr">
        <is>
          <t> </t>
        </is>
      </c>
      <c r="AS75" s="223" t="inlineStr">
        <is>
          <t> </t>
        </is>
      </c>
      <c r="AT75" s="223" t="inlineStr">
        <is>
          <t> </t>
        </is>
      </c>
      <c r="AU75" s="223" t="inlineStr">
        <is>
          <t> </t>
        </is>
      </c>
      <c r="AV75" s="223" t="inlineStr">
        <is>
          <t> </t>
        </is>
      </c>
      <c r="AW75" s="223" t="inlineStr">
        <is>
          <t> </t>
        </is>
      </c>
      <c r="AX75" s="223" t="inlineStr">
        <is>
          <t> </t>
        </is>
      </c>
      <c r="AY75" s="210" t="inlineStr">
        <is>
          <t>EM EXECUÇÃO</t>
        </is>
      </c>
      <c r="AZ75" s="210" t="inlineStr">
        <is>
          <t>NI</t>
        </is>
      </c>
      <c r="BA75" s="210" t="inlineStr">
        <is>
          <t>NI</t>
        </is>
      </c>
      <c r="BB75" s="210" t="inlineStr">
        <is>
          <t>NI</t>
        </is>
      </c>
      <c r="BC75" s="224" t="inlineStr">
        <is>
          <t>NA</t>
        </is>
      </c>
      <c r="BD75" s="211" t="inlineStr">
        <is>
          <t>NA</t>
        </is>
      </c>
      <c r="BE75" s="211" t="inlineStr">
        <is>
          <t>NA</t>
        </is>
      </c>
      <c r="BF75" s="211" t="inlineStr">
        <is>
          <t>NA</t>
        </is>
      </c>
      <c r="BG75" s="225" t="inlineStr">
        <is>
          <t>NA</t>
        </is>
      </c>
      <c r="BH75" s="211" t="inlineStr">
        <is>
          <t>NA</t>
        </is>
      </c>
      <c r="BI75" s="211" t="inlineStr">
        <is>
          <t>NA</t>
        </is>
      </c>
      <c r="BJ75" s="211" t="inlineStr">
        <is>
          <t>NA</t>
        </is>
      </c>
      <c r="BK75" s="211" t="inlineStr">
        <is>
          <t>NA</t>
        </is>
      </c>
      <c r="BL75" s="219" t="inlineStr">
        <is>
          <t>NA</t>
        </is>
      </c>
      <c r="BM75" s="811" t="n"/>
      <c r="BN75" s="811" t="n"/>
      <c r="BO75" s="811" t="n"/>
      <c r="BP75" s="811" t="n"/>
      <c r="BQ75" s="811" t="n"/>
      <c r="BR75" s="811" t="n"/>
      <c r="BS75" s="811" t="n"/>
      <c r="BT75" s="222" t="inlineStr">
        <is>
          <t>NA</t>
        </is>
      </c>
      <c r="BU75" s="223" t="n">
        <v>0</v>
      </c>
      <c r="BV75" s="808" t="n"/>
      <c r="BW75" s="808" t="n"/>
      <c r="BX75" s="808" t="n"/>
      <c r="BY75" s="808" t="n"/>
      <c r="BZ75" s="808" t="n"/>
      <c r="CA75" s="808" t="n"/>
      <c r="CB75" s="808" t="n"/>
      <c r="CC75" s="808" t="n"/>
      <c r="CD75" s="808" t="n"/>
      <c r="CE75" s="808" t="n"/>
      <c r="CF75" s="808" t="n"/>
      <c r="CG75" s="808" t="n"/>
      <c r="CH75" s="808" t="n"/>
      <c r="CI75" s="808" t="n"/>
      <c r="CJ75" s="808" t="n"/>
      <c r="CK75" s="808" t="n"/>
      <c r="CL75" s="808" t="n"/>
      <c r="CM75" s="808" t="n"/>
      <c r="CN75" s="808" t="n"/>
      <c r="CO75" s="808" t="n"/>
      <c r="CP75" s="808" t="n"/>
      <c r="CQ75" s="808" t="n"/>
      <c r="CR75" s="808" t="n"/>
      <c r="CS75" s="808" t="n"/>
      <c r="CT75" s="808" t="n"/>
    </row>
    <row r="76" ht="60" customFormat="1" customHeight="1" s="107">
      <c r="A76" s="211" t="inlineStr">
        <is>
          <t>NORDESTE</t>
        </is>
      </c>
      <c r="B76" s="211" t="inlineStr">
        <is>
          <t>PB</t>
        </is>
      </c>
      <c r="C76" s="211" t="inlineStr">
        <is>
          <t>CAMPINA GRANDE</t>
        </is>
      </c>
      <c r="D76" s="211" t="inlineStr">
        <is>
          <t>FUNDACAO ASSISTENCIAL DA PARAIBA- FAP</t>
        </is>
      </c>
      <c r="E76" s="214" t="inlineStr">
        <is>
          <t>08841421000157</t>
        </is>
      </c>
      <c r="F76" s="239" t="inlineStr">
        <is>
          <t xml:space="preserve"> FUNDACAO ASSISTENCIAL DA PARAIBA</t>
        </is>
      </c>
      <c r="G76" s="240" t="n">
        <v>2315793</v>
      </c>
      <c r="H76" s="241" t="n">
        <v>-7221497</v>
      </c>
      <c r="I76" s="218" t="n">
        <v>-35883859</v>
      </c>
      <c r="J76" s="211" t="inlineStr">
        <is>
          <t> </t>
        </is>
      </c>
      <c r="K76" s="211" t="inlineStr">
        <is>
          <t>Indireta</t>
        </is>
      </c>
      <c r="L76" s="211" t="inlineStr">
        <is>
          <t>Transferegov/SEI</t>
        </is>
      </c>
      <c r="M76" s="211" t="inlineStr">
        <is>
          <t>Convênio</t>
        </is>
      </c>
      <c r="N76" s="211" t="n">
        <v>2024</v>
      </c>
      <c r="O76" s="220" t="inlineStr">
        <is>
          <t xml:space="preserve"> 971674</t>
        </is>
      </c>
      <c r="P76" s="214" t="inlineStr">
        <is>
          <t>90884124010</t>
        </is>
      </c>
      <c r="Q76" s="220" t="inlineStr">
        <is>
          <t>25000.191245/2024-43</t>
        </is>
      </c>
      <c r="R76" s="211" t="inlineStr">
        <is>
          <t>REDE DE ATENÇÃO À PESSOA COM DOENÇAS CRÔNICAS - HOSPITAL HABILITADO NA ALTA COMPLEXIDADE EM ONCOLOGIA</t>
        </is>
      </c>
      <c r="S76" s="211" t="n"/>
      <c r="T76" s="211" t="inlineStr">
        <is>
          <t> </t>
        </is>
      </c>
      <c r="U76" s="211" t="inlineStr">
        <is>
          <t xml:space="preserve"> NA</t>
        </is>
      </c>
      <c r="V76" s="211" t="inlineStr">
        <is>
          <t xml:space="preserve"> NA</t>
        </is>
      </c>
      <c r="W76" s="211" t="inlineStr">
        <is>
          <t xml:space="preserve"> UND</t>
        </is>
      </c>
      <c r="X76" s="211" t="inlineStr">
        <is>
          <t>CONVÊNIO OBRA</t>
        </is>
      </c>
      <c r="Y76" s="211" t="inlineStr">
        <is>
          <t xml:space="preserve"> NA</t>
        </is>
      </c>
      <c r="Z76" s="211" t="inlineStr">
        <is>
          <t xml:space="preserve"> NA</t>
        </is>
      </c>
      <c r="AA76" s="222" t="inlineStr">
        <is>
          <t> </t>
        </is>
      </c>
      <c r="AB76" s="222" t="inlineStr">
        <is>
          <t> </t>
        </is>
      </c>
      <c r="AC76" s="222" t="inlineStr">
        <is>
          <t> </t>
        </is>
      </c>
      <c r="AD76" s="211" t="inlineStr">
        <is>
          <t>NI</t>
        </is>
      </c>
      <c r="AE76" s="211" t="inlineStr">
        <is>
          <t>NI</t>
        </is>
      </c>
      <c r="AF76" s="211" t="inlineStr">
        <is>
          <t>NI</t>
        </is>
      </c>
      <c r="AG76" s="223" t="n">
        <v>1249434</v>
      </c>
      <c r="AH76" s="223" t="n">
        <v>0</v>
      </c>
      <c r="AI76" s="222" t="inlineStr">
        <is>
          <t> </t>
        </is>
      </c>
      <c r="AJ76" s="211" t="n">
        <v>8535</v>
      </c>
      <c r="AK76" s="223" t="inlineStr">
        <is>
          <t> </t>
        </is>
      </c>
      <c r="AL76" s="223" t="inlineStr">
        <is>
          <t> </t>
        </is>
      </c>
      <c r="AM76" s="223" t="inlineStr">
        <is>
          <t> </t>
        </is>
      </c>
      <c r="AN76" s="223" t="inlineStr">
        <is>
          <t> </t>
        </is>
      </c>
      <c r="AO76" s="223" t="inlineStr">
        <is>
          <t> </t>
        </is>
      </c>
      <c r="AP76" s="223" t="inlineStr">
        <is>
          <t> </t>
        </is>
      </c>
      <c r="AQ76" s="223" t="inlineStr">
        <is>
          <t> </t>
        </is>
      </c>
      <c r="AR76" s="223" t="inlineStr">
        <is>
          <t> </t>
        </is>
      </c>
      <c r="AS76" s="223" t="inlineStr">
        <is>
          <t> </t>
        </is>
      </c>
      <c r="AT76" s="223" t="inlineStr">
        <is>
          <t> </t>
        </is>
      </c>
      <c r="AU76" s="223" t="inlineStr">
        <is>
          <t> </t>
        </is>
      </c>
      <c r="AV76" s="223" t="inlineStr">
        <is>
          <t> </t>
        </is>
      </c>
      <c r="AW76" s="223" t="inlineStr">
        <is>
          <t> </t>
        </is>
      </c>
      <c r="AX76" s="223" t="inlineStr">
        <is>
          <t> </t>
        </is>
      </c>
      <c r="AY76" s="210" t="inlineStr">
        <is>
          <t>EM EXECUÇÃO</t>
        </is>
      </c>
      <c r="AZ76" s="210" t="inlineStr">
        <is>
          <t>NI</t>
        </is>
      </c>
      <c r="BA76" s="210" t="inlineStr">
        <is>
          <t>NI</t>
        </is>
      </c>
      <c r="BB76" s="210" t="inlineStr">
        <is>
          <t>NI</t>
        </is>
      </c>
      <c r="BC76" s="224" t="inlineStr">
        <is>
          <t>NA</t>
        </is>
      </c>
      <c r="BD76" s="211" t="inlineStr">
        <is>
          <t>NA</t>
        </is>
      </c>
      <c r="BE76" s="211" t="inlineStr">
        <is>
          <t>NA</t>
        </is>
      </c>
      <c r="BF76" s="211" t="inlineStr">
        <is>
          <t>NA</t>
        </is>
      </c>
      <c r="BG76" s="225" t="inlineStr">
        <is>
          <t>NA</t>
        </is>
      </c>
      <c r="BH76" s="211" t="inlineStr">
        <is>
          <t>NA</t>
        </is>
      </c>
      <c r="BI76" s="211" t="inlineStr">
        <is>
          <t>NA</t>
        </is>
      </c>
      <c r="BJ76" s="211" t="inlineStr">
        <is>
          <t>NA</t>
        </is>
      </c>
      <c r="BK76" s="211" t="inlineStr">
        <is>
          <t>NA</t>
        </is>
      </c>
      <c r="BL76" s="219" t="inlineStr">
        <is>
          <t>NA</t>
        </is>
      </c>
      <c r="BM76" s="811" t="n"/>
      <c r="BN76" s="811" t="n"/>
      <c r="BO76" s="811" t="n"/>
      <c r="BP76" s="811" t="n"/>
      <c r="BQ76" s="811" t="n"/>
      <c r="BR76" s="811" t="n"/>
      <c r="BS76" s="811" t="n"/>
      <c r="BT76" s="222" t="inlineStr">
        <is>
          <t>NA</t>
        </is>
      </c>
      <c r="BU76" s="223" t="n">
        <v>0</v>
      </c>
      <c r="BV76" s="808" t="n"/>
      <c r="BW76" s="808" t="n"/>
      <c r="BX76" s="808" t="n"/>
      <c r="BY76" s="808" t="n"/>
      <c r="BZ76" s="808" t="n"/>
      <c r="CA76" s="808" t="n"/>
      <c r="CB76" s="808" t="n"/>
      <c r="CC76" s="808" t="n"/>
      <c r="CD76" s="808" t="n"/>
      <c r="CE76" s="808" t="n"/>
      <c r="CF76" s="808" t="n"/>
      <c r="CG76" s="808" t="n"/>
      <c r="CH76" s="808" t="n"/>
      <c r="CI76" s="808" t="n"/>
      <c r="CJ76" s="808" t="n"/>
      <c r="CK76" s="808" t="n"/>
      <c r="CL76" s="808" t="n"/>
      <c r="CM76" s="808" t="n"/>
      <c r="CN76" s="808" t="n"/>
      <c r="CO76" s="808" t="n"/>
      <c r="CP76" s="808" t="n"/>
      <c r="CQ76" s="808" t="n"/>
      <c r="CR76" s="808" t="n"/>
      <c r="CS76" s="808" t="n"/>
      <c r="CT76" s="808" t="n"/>
    </row>
    <row r="77" ht="60" customFormat="1" customHeight="1" s="107">
      <c r="A77" s="182" t="inlineStr">
        <is>
          <t>NORDESTE</t>
        </is>
      </c>
      <c r="B77" s="182" t="inlineStr">
        <is>
          <t>PB</t>
        </is>
      </c>
      <c r="C77" s="182" t="inlineStr">
        <is>
          <t>JOAO PESSOA</t>
        </is>
      </c>
      <c r="D77" s="182" t="inlineStr">
        <is>
          <t>FUNDACAO NAPOLEAO LAUREANO</t>
        </is>
      </c>
      <c r="E77" s="244" t="inlineStr">
        <is>
          <t>09112236000194</t>
        </is>
      </c>
      <c r="F77" s="245" t="inlineStr">
        <is>
          <t xml:space="preserve">FUNDACAO NAPOLEAO LAUREANO </t>
        </is>
      </c>
      <c r="G77" s="246" t="n">
        <v>2399741</v>
      </c>
      <c r="H77" s="247" t="n">
        <v>-71705407</v>
      </c>
      <c r="I77" s="248" t="n">
        <v>-348851019</v>
      </c>
      <c r="J77" s="182" t="inlineStr">
        <is>
          <t> </t>
        </is>
      </c>
      <c r="K77" s="182" t="inlineStr">
        <is>
          <t>Indireta</t>
        </is>
      </c>
      <c r="L77" s="182" t="inlineStr">
        <is>
          <t>Transferegov/SEI</t>
        </is>
      </c>
      <c r="M77" s="182" t="inlineStr">
        <is>
          <t>Convênio</t>
        </is>
      </c>
      <c r="N77" s="182" t="n">
        <v>2024</v>
      </c>
      <c r="O77" s="249" t="inlineStr">
        <is>
          <t>972690</t>
        </is>
      </c>
      <c r="P77" s="244" t="inlineStr">
        <is>
          <t>90911224014</t>
        </is>
      </c>
      <c r="Q77" s="244" t="inlineStr">
        <is>
          <t>25000.196603/2024-12</t>
        </is>
      </c>
      <c r="R77" s="182" t="inlineStr">
        <is>
          <t>REDE DE ATENÇÃO À PESSOA COM DOENÇAS CRÔNICAS - HOSPITAL HABILITADO NA ALTA COMPLEXIDADE EM ONCOLOGIA</t>
        </is>
      </c>
      <c r="S77" s="182" t="n"/>
      <c r="T77" s="182" t="inlineStr">
        <is>
          <t> </t>
        </is>
      </c>
      <c r="U77" s="182" t="inlineStr">
        <is>
          <t>NA</t>
        </is>
      </c>
      <c r="V77" s="182" t="inlineStr">
        <is>
          <t xml:space="preserve"> NA</t>
        </is>
      </c>
      <c r="W77" s="182" t="inlineStr">
        <is>
          <t xml:space="preserve"> UND</t>
        </is>
      </c>
      <c r="X77" s="182" t="inlineStr">
        <is>
          <t>CONVÊNIO OBRA</t>
        </is>
      </c>
      <c r="Y77" s="182" t="inlineStr">
        <is>
          <t xml:space="preserve"> NA</t>
        </is>
      </c>
      <c r="Z77" s="182" t="inlineStr">
        <is>
          <t xml:space="preserve"> NA</t>
        </is>
      </c>
      <c r="AA77" s="250" t="inlineStr">
        <is>
          <t> </t>
        </is>
      </c>
      <c r="AB77" s="250" t="inlineStr">
        <is>
          <t> </t>
        </is>
      </c>
      <c r="AC77" s="250" t="inlineStr">
        <is>
          <t> </t>
        </is>
      </c>
      <c r="AD77" s="211" t="inlineStr">
        <is>
          <t>NI</t>
        </is>
      </c>
      <c r="AE77" s="211" t="inlineStr">
        <is>
          <t>NI</t>
        </is>
      </c>
      <c r="AF77" s="211" t="inlineStr">
        <is>
          <t>NI</t>
        </is>
      </c>
      <c r="AG77" s="183" t="n">
        <v>2119140</v>
      </c>
      <c r="AH77" s="183" t="n">
        <v>0</v>
      </c>
      <c r="AI77" s="250" t="inlineStr">
        <is>
          <t> </t>
        </is>
      </c>
      <c r="AJ77" s="182" t="n">
        <v>8535</v>
      </c>
      <c r="AK77" s="183" t="inlineStr">
        <is>
          <t> </t>
        </is>
      </c>
      <c r="AL77" s="183" t="inlineStr">
        <is>
          <t> </t>
        </is>
      </c>
      <c r="AM77" s="183" t="inlineStr">
        <is>
          <t> </t>
        </is>
      </c>
      <c r="AN77" s="183" t="inlineStr">
        <is>
          <t> </t>
        </is>
      </c>
      <c r="AO77" s="183" t="inlineStr">
        <is>
          <t> </t>
        </is>
      </c>
      <c r="AP77" s="183" t="inlineStr">
        <is>
          <t> </t>
        </is>
      </c>
      <c r="AQ77" s="183" t="inlineStr">
        <is>
          <t> </t>
        </is>
      </c>
      <c r="AR77" s="183" t="inlineStr">
        <is>
          <t> </t>
        </is>
      </c>
      <c r="AS77" s="183" t="inlineStr">
        <is>
          <t> </t>
        </is>
      </c>
      <c r="AT77" s="183" t="inlineStr">
        <is>
          <t> </t>
        </is>
      </c>
      <c r="AU77" s="183" t="inlineStr">
        <is>
          <t> </t>
        </is>
      </c>
      <c r="AV77" s="183" t="inlineStr">
        <is>
          <t> </t>
        </is>
      </c>
      <c r="AW77" s="183" t="inlineStr">
        <is>
          <t> </t>
        </is>
      </c>
      <c r="AX77" s="183" t="inlineStr">
        <is>
          <t> </t>
        </is>
      </c>
      <c r="AY77" s="210" t="inlineStr">
        <is>
          <t>EM EXECUÇÃO</t>
        </is>
      </c>
      <c r="AZ77" s="210" t="inlineStr">
        <is>
          <t>NI</t>
        </is>
      </c>
      <c r="BA77" s="210" t="inlineStr">
        <is>
          <t>NI</t>
        </is>
      </c>
      <c r="BB77" s="210" t="inlineStr">
        <is>
          <t>NI</t>
        </is>
      </c>
      <c r="BC77" s="251" t="inlineStr">
        <is>
          <t>NA</t>
        </is>
      </c>
      <c r="BD77" s="182" t="inlineStr">
        <is>
          <t>NA</t>
        </is>
      </c>
      <c r="BE77" s="182" t="inlineStr">
        <is>
          <t>NA</t>
        </is>
      </c>
      <c r="BF77" s="182" t="inlineStr">
        <is>
          <t>NA</t>
        </is>
      </c>
      <c r="BG77" s="252" t="inlineStr">
        <is>
          <t>NA</t>
        </is>
      </c>
      <c r="BH77" s="182" t="inlineStr">
        <is>
          <t>NA</t>
        </is>
      </c>
      <c r="BI77" s="182" t="inlineStr">
        <is>
          <t>NA</t>
        </is>
      </c>
      <c r="BJ77" s="182" t="inlineStr">
        <is>
          <t>NA</t>
        </is>
      </c>
      <c r="BK77" s="182" t="inlineStr">
        <is>
          <t>NA</t>
        </is>
      </c>
      <c r="BL77" s="253" t="inlineStr">
        <is>
          <t>NA</t>
        </is>
      </c>
      <c r="BM77" s="812" t="n"/>
      <c r="BN77" s="812" t="n"/>
      <c r="BO77" s="812" t="n"/>
      <c r="BP77" s="812" t="n"/>
      <c r="BQ77" s="812" t="n"/>
      <c r="BR77" s="812" t="n"/>
      <c r="BS77" s="812" t="n"/>
      <c r="BT77" s="250" t="inlineStr">
        <is>
          <t>NA</t>
        </is>
      </c>
      <c r="BU77" s="183" t="n">
        <v>0</v>
      </c>
      <c r="BV77" s="808" t="n"/>
      <c r="BW77" s="808" t="n"/>
      <c r="BX77" s="808" t="n"/>
      <c r="BY77" s="808" t="n"/>
      <c r="BZ77" s="808" t="n"/>
      <c r="CA77" s="808" t="n"/>
      <c r="CB77" s="808" t="n"/>
      <c r="CC77" s="808" t="n"/>
      <c r="CD77" s="808" t="n"/>
      <c r="CE77" s="808" t="n"/>
      <c r="CF77" s="808" t="n"/>
      <c r="CG77" s="808" t="n"/>
      <c r="CH77" s="808" t="n"/>
      <c r="CI77" s="808" t="n"/>
      <c r="CJ77" s="808" t="n"/>
      <c r="CK77" s="808" t="n"/>
      <c r="CL77" s="808" t="n"/>
      <c r="CM77" s="808" t="n"/>
      <c r="CN77" s="808" t="n"/>
      <c r="CO77" s="808" t="n"/>
      <c r="CP77" s="808" t="n"/>
      <c r="CQ77" s="808" t="n"/>
      <c r="CR77" s="808" t="n"/>
      <c r="CS77" s="808" t="n"/>
      <c r="CT77" s="808" t="n"/>
    </row>
    <row r="78" ht="60" customHeight="1">
      <c r="A78" s="178" t="inlineStr">
        <is>
          <t>CENTRO-OESTE</t>
        </is>
      </c>
      <c r="B78" s="207" t="inlineStr">
        <is>
          <t>DF</t>
        </is>
      </c>
      <c r="C78" s="29" t="inlineStr">
        <is>
          <t>BRASILIA</t>
        </is>
      </c>
      <c r="D78" s="178" t="inlineStr">
        <is>
          <t>HOSPITAL DE APOIO DE BRASILIA HAB</t>
        </is>
      </c>
      <c r="E78" s="208" t="inlineStr">
        <is>
          <t>00394700000108</t>
        </is>
      </c>
      <c r="F78" s="29" t="inlineStr">
        <is>
          <t>HOSPITAL DE APOIO DE BRASILIA HAB</t>
        </is>
      </c>
      <c r="G78" s="254" t="inlineStr">
        <is>
          <t>2649527</t>
        </is>
      </c>
      <c r="H78" s="210" t="n"/>
      <c r="I78" s="210" t="n"/>
      <c r="J78" s="210" t="n"/>
      <c r="K78" s="210" t="inlineStr">
        <is>
          <t>Indireta</t>
        </is>
      </c>
      <c r="L78" s="211" t="inlineStr">
        <is>
          <t>Transferegov/SEI</t>
        </is>
      </c>
      <c r="M78" s="211" t="inlineStr">
        <is>
          <t>Convênio</t>
        </is>
      </c>
      <c r="N78" s="207" t="n">
        <v>2023</v>
      </c>
      <c r="O78" s="207" t="inlineStr">
        <is>
          <t>NA</t>
        </is>
      </c>
      <c r="P78" s="255" t="inlineStr">
        <is>
          <t>12116247000123064</t>
        </is>
      </c>
      <c r="Q78" s="210" t="n"/>
      <c r="R78" s="178" t="n"/>
      <c r="S78" s="210" t="n"/>
      <c r="T78" s="29" t="inlineStr">
        <is>
          <t>Aparelho de Raios X - Fixo Digital</t>
        </is>
      </c>
      <c r="U78" s="210" t="n"/>
      <c r="V78" s="210" t="n">
        <v>1</v>
      </c>
      <c r="W78" s="182" t="inlineStr">
        <is>
          <t xml:space="preserve"> UND</t>
        </is>
      </c>
      <c r="X78" s="210" t="inlineStr">
        <is>
          <t>EQUIPAMENTO</t>
        </is>
      </c>
      <c r="Y78" s="178" t="n"/>
      <c r="Z78" s="211" t="inlineStr">
        <is>
          <t xml:space="preserve"> NA</t>
        </is>
      </c>
      <c r="AA78" s="212" t="n"/>
      <c r="AB78" s="212" t="n"/>
      <c r="AC78" s="212" t="n"/>
      <c r="AD78" s="211" t="inlineStr">
        <is>
          <t>NI</t>
        </is>
      </c>
      <c r="AE78" s="211" t="inlineStr">
        <is>
          <t>NI</t>
        </is>
      </c>
      <c r="AF78" s="211" t="inlineStr">
        <is>
          <t>NI</t>
        </is>
      </c>
      <c r="AG78" s="177" t="n"/>
      <c r="AH78" s="177" t="n"/>
      <c r="AI78" s="212" t="n"/>
      <c r="AJ78" s="182" t="n">
        <v>8535</v>
      </c>
      <c r="AK78" s="183" t="inlineStr">
        <is>
          <t> </t>
        </is>
      </c>
      <c r="AL78" s="183" t="inlineStr">
        <is>
          <t> </t>
        </is>
      </c>
      <c r="AM78" s="183" t="inlineStr">
        <is>
          <t> </t>
        </is>
      </c>
      <c r="AN78" s="183" t="inlineStr">
        <is>
          <t> </t>
        </is>
      </c>
      <c r="AO78" s="183" t="inlineStr">
        <is>
          <t> </t>
        </is>
      </c>
      <c r="AP78" s="183" t="inlineStr">
        <is>
          <t> </t>
        </is>
      </c>
      <c r="AQ78" s="183" t="inlineStr">
        <is>
          <t> </t>
        </is>
      </c>
      <c r="AR78" s="183" t="inlineStr">
        <is>
          <t> </t>
        </is>
      </c>
      <c r="AS78" s="183" t="inlineStr">
        <is>
          <t> </t>
        </is>
      </c>
      <c r="AT78" s="183" t="inlineStr">
        <is>
          <t> </t>
        </is>
      </c>
      <c r="AU78" s="183" t="inlineStr">
        <is>
          <t> </t>
        </is>
      </c>
      <c r="AV78" s="183" t="inlineStr">
        <is>
          <t> </t>
        </is>
      </c>
      <c r="AW78" s="183" t="inlineStr">
        <is>
          <t> </t>
        </is>
      </c>
      <c r="AX78" s="183" t="inlineStr">
        <is>
          <t> </t>
        </is>
      </c>
      <c r="AY78" s="210" t="inlineStr">
        <is>
          <t>NI</t>
        </is>
      </c>
      <c r="AZ78" s="210" t="inlineStr">
        <is>
          <t>NI</t>
        </is>
      </c>
      <c r="BA78" s="210" t="inlineStr">
        <is>
          <t>NI</t>
        </is>
      </c>
      <c r="BB78" s="210" t="inlineStr">
        <is>
          <t>NI</t>
        </is>
      </c>
      <c r="BC78" s="212" t="n"/>
      <c r="BD78" s="210" t="n"/>
      <c r="BE78" s="210" t="n"/>
      <c r="BF78" s="178" t="n"/>
      <c r="BG78" s="210" t="n"/>
      <c r="BH78" s="210" t="n"/>
      <c r="BI78" s="210" t="n"/>
      <c r="BJ78" s="210" t="n"/>
      <c r="BK78" s="210" t="n"/>
      <c r="BL78" s="210" t="n"/>
      <c r="BM78" s="210" t="n"/>
      <c r="BN78" s="210" t="n"/>
      <c r="BO78" s="210" t="n"/>
      <c r="BP78" s="210" t="n"/>
      <c r="BQ78" s="210" t="n"/>
      <c r="BR78" s="210" t="n"/>
      <c r="BS78" s="210" t="n"/>
      <c r="BT78" s="212" t="n"/>
      <c r="BU78" s="177" t="n"/>
    </row>
    <row r="79" ht="60" customHeight="1">
      <c r="A79" s="178" t="inlineStr">
        <is>
          <t>SUDESTE</t>
        </is>
      </c>
      <c r="B79" s="207" t="inlineStr">
        <is>
          <t>ES</t>
        </is>
      </c>
      <c r="C79" s="29" t="inlineStr">
        <is>
          <t>VITORIA</t>
        </is>
      </c>
      <c r="D79" s="178" t="inlineStr">
        <is>
          <t>ASSOCIACAO FEMININA DE EDUCACAO E COMBATE AO CANCER</t>
        </is>
      </c>
      <c r="E79" s="208" t="inlineStr">
        <is>
          <t>28137925000106</t>
        </is>
      </c>
      <c r="F79" s="29" t="inlineStr">
        <is>
          <t>ASSOCIACAO FEMININA DE EDUCACAO E COMBATE AO CANCER</t>
        </is>
      </c>
      <c r="G79" s="254" t="inlineStr">
        <is>
          <t>0011738</t>
        </is>
      </c>
      <c r="H79" s="210" t="n"/>
      <c r="I79" s="210" t="n"/>
      <c r="J79" s="210" t="n"/>
      <c r="K79" s="210" t="inlineStr">
        <is>
          <t>Indireta</t>
        </is>
      </c>
      <c r="L79" s="211" t="inlineStr">
        <is>
          <t>Transferegov/SEI</t>
        </is>
      </c>
      <c r="M79" s="211" t="inlineStr">
        <is>
          <t>Convênio</t>
        </is>
      </c>
      <c r="N79" s="207" t="n">
        <v>2023</v>
      </c>
      <c r="O79" s="207" t="n">
        <v>947097</v>
      </c>
      <c r="P79" s="207" t="n">
        <v>92813723003</v>
      </c>
      <c r="Q79" s="210" t="n"/>
      <c r="R79" s="178" t="n"/>
      <c r="S79" s="210" t="n"/>
      <c r="T79" s="29" t="inlineStr">
        <is>
          <t>Monitor Multiparâmetros para UTI</t>
        </is>
      </c>
      <c r="U79" s="210" t="n"/>
      <c r="V79" s="210" t="n">
        <v>4</v>
      </c>
      <c r="W79" s="182" t="inlineStr">
        <is>
          <t xml:space="preserve"> UND</t>
        </is>
      </c>
      <c r="X79" s="210" t="inlineStr">
        <is>
          <t>EQUIPAMENTO</t>
        </is>
      </c>
      <c r="Y79" s="178" t="n"/>
      <c r="Z79" s="211" t="inlineStr">
        <is>
          <t xml:space="preserve"> NA</t>
        </is>
      </c>
      <c r="AA79" s="212" t="n"/>
      <c r="AB79" s="212" t="n"/>
      <c r="AC79" s="212" t="n"/>
      <c r="AD79" s="211" t="inlineStr">
        <is>
          <t>NI</t>
        </is>
      </c>
      <c r="AE79" s="211" t="inlineStr">
        <is>
          <t>NI</t>
        </is>
      </c>
      <c r="AF79" s="211" t="inlineStr">
        <is>
          <t>NI</t>
        </is>
      </c>
      <c r="AG79" s="177" t="n">
        <v>500000</v>
      </c>
      <c r="AH79" s="177" t="n"/>
      <c r="AI79" s="212" t="n"/>
      <c r="AJ79" s="182" t="n">
        <v>8535</v>
      </c>
      <c r="AK79" s="183" t="inlineStr">
        <is>
          <t> </t>
        </is>
      </c>
      <c r="AL79" s="183" t="inlineStr">
        <is>
          <t> </t>
        </is>
      </c>
      <c r="AM79" s="183" t="inlineStr">
        <is>
          <t> </t>
        </is>
      </c>
      <c r="AN79" s="183" t="inlineStr">
        <is>
          <t> </t>
        </is>
      </c>
      <c r="AO79" s="183" t="inlineStr">
        <is>
          <t> </t>
        </is>
      </c>
      <c r="AP79" s="183" t="inlineStr">
        <is>
          <t> </t>
        </is>
      </c>
      <c r="AQ79" s="183" t="inlineStr">
        <is>
          <t> </t>
        </is>
      </c>
      <c r="AR79" s="183" t="inlineStr">
        <is>
          <t> </t>
        </is>
      </c>
      <c r="AS79" s="183" t="inlineStr">
        <is>
          <t> </t>
        </is>
      </c>
      <c r="AT79" s="183" t="inlineStr">
        <is>
          <t> </t>
        </is>
      </c>
      <c r="AU79" s="183" t="inlineStr">
        <is>
          <t> </t>
        </is>
      </c>
      <c r="AV79" s="183" t="inlineStr">
        <is>
          <t> </t>
        </is>
      </c>
      <c r="AW79" s="183" t="inlineStr">
        <is>
          <t> </t>
        </is>
      </c>
      <c r="AX79" s="183" t="inlineStr">
        <is>
          <t> </t>
        </is>
      </c>
      <c r="AY79" s="210" t="inlineStr">
        <is>
          <t>PRESTAÇÃO DE CONTAS EM ANÁLISE</t>
        </is>
      </c>
      <c r="AZ79" s="210" t="inlineStr">
        <is>
          <t>NI</t>
        </is>
      </c>
      <c r="BA79" s="210" t="inlineStr">
        <is>
          <t>NI</t>
        </is>
      </c>
      <c r="BB79" s="210" t="inlineStr">
        <is>
          <t>NI</t>
        </is>
      </c>
      <c r="BC79" s="212" t="n"/>
      <c r="BD79" s="210" t="n"/>
      <c r="BE79" s="210" t="n"/>
      <c r="BF79" s="178" t="n"/>
      <c r="BG79" s="210" t="n"/>
      <c r="BH79" s="210" t="n"/>
      <c r="BI79" s="210" t="n"/>
      <c r="BJ79" s="210" t="n"/>
      <c r="BK79" s="210" t="n"/>
      <c r="BL79" s="210" t="n"/>
      <c r="BM79" s="210" t="n"/>
      <c r="BN79" s="210" t="n"/>
      <c r="BO79" s="210" t="n"/>
      <c r="BP79" s="210" t="n"/>
      <c r="BQ79" s="210" t="n"/>
      <c r="BR79" s="210" t="n"/>
      <c r="BS79" s="210" t="n"/>
      <c r="BT79" s="212" t="n"/>
      <c r="BU79" s="177" t="n"/>
    </row>
    <row r="80" ht="60" customHeight="1">
      <c r="A80" s="178" t="inlineStr">
        <is>
          <t>SUDESTE</t>
        </is>
      </c>
      <c r="B80" s="207" t="inlineStr">
        <is>
          <t>ES</t>
        </is>
      </c>
      <c r="C80" s="29" t="inlineStr">
        <is>
          <t>VITORIA</t>
        </is>
      </c>
      <c r="D80" s="178" t="inlineStr">
        <is>
          <t>ASSOCIACAO FEMININA DE EDUCACAO E COMBATE AO CANCER</t>
        </is>
      </c>
      <c r="E80" s="208" t="inlineStr">
        <is>
          <t>28137925000106</t>
        </is>
      </c>
      <c r="F80" s="29" t="inlineStr">
        <is>
          <t>ASSOCIACAO FEMININA DE EDUCACAO E COMBATE AO CANCER</t>
        </is>
      </c>
      <c r="G80" s="254" t="inlineStr">
        <is>
          <t>0011738</t>
        </is>
      </c>
      <c r="H80" s="210" t="n"/>
      <c r="I80" s="210" t="n"/>
      <c r="J80" s="210" t="n"/>
      <c r="K80" s="210" t="inlineStr">
        <is>
          <t>Indireta</t>
        </is>
      </c>
      <c r="L80" s="211" t="inlineStr">
        <is>
          <t>Transferegov/SEI</t>
        </is>
      </c>
      <c r="M80" s="211" t="inlineStr">
        <is>
          <t>Convênio</t>
        </is>
      </c>
      <c r="N80" s="207" t="n">
        <v>2023</v>
      </c>
      <c r="O80" s="207" t="n">
        <v>947097</v>
      </c>
      <c r="P80" s="207" t="n">
        <v>92813723003</v>
      </c>
      <c r="Q80" s="210" t="n"/>
      <c r="R80" s="178" t="n"/>
      <c r="S80" s="210" t="n"/>
      <c r="T80" s="29" t="inlineStr">
        <is>
          <t>Cardioversor</t>
        </is>
      </c>
      <c r="U80" s="210" t="n"/>
      <c r="V80" s="210" t="n">
        <v>2</v>
      </c>
      <c r="W80" s="182" t="inlineStr">
        <is>
          <t xml:space="preserve"> UND</t>
        </is>
      </c>
      <c r="X80" s="210" t="inlineStr">
        <is>
          <t>EQUIPAMENTO</t>
        </is>
      </c>
      <c r="Y80" s="178" t="n"/>
      <c r="Z80" s="211" t="inlineStr">
        <is>
          <t xml:space="preserve"> NA</t>
        </is>
      </c>
      <c r="AA80" s="212" t="n"/>
      <c r="AB80" s="212" t="n"/>
      <c r="AC80" s="212" t="n"/>
      <c r="AD80" s="211" t="inlineStr">
        <is>
          <t>NI</t>
        </is>
      </c>
      <c r="AE80" s="211" t="inlineStr">
        <is>
          <t>NI</t>
        </is>
      </c>
      <c r="AF80" s="211" t="inlineStr">
        <is>
          <t>NI</t>
        </is>
      </c>
      <c r="AG80" s="177" t="n">
        <v>500000</v>
      </c>
      <c r="AH80" s="177" t="n"/>
      <c r="AI80" s="212" t="n"/>
      <c r="AJ80" s="182" t="n">
        <v>8535</v>
      </c>
      <c r="AK80" s="183" t="inlineStr">
        <is>
          <t> </t>
        </is>
      </c>
      <c r="AL80" s="183" t="inlineStr">
        <is>
          <t> </t>
        </is>
      </c>
      <c r="AM80" s="183" t="inlineStr">
        <is>
          <t> </t>
        </is>
      </c>
      <c r="AN80" s="183" t="inlineStr">
        <is>
          <t> </t>
        </is>
      </c>
      <c r="AO80" s="183" t="inlineStr">
        <is>
          <t> </t>
        </is>
      </c>
      <c r="AP80" s="183" t="inlineStr">
        <is>
          <t> </t>
        </is>
      </c>
      <c r="AQ80" s="183" t="inlineStr">
        <is>
          <t> </t>
        </is>
      </c>
      <c r="AR80" s="183" t="inlineStr">
        <is>
          <t> </t>
        </is>
      </c>
      <c r="AS80" s="183" t="inlineStr">
        <is>
          <t> </t>
        </is>
      </c>
      <c r="AT80" s="183" t="inlineStr">
        <is>
          <t> </t>
        </is>
      </c>
      <c r="AU80" s="183" t="inlineStr">
        <is>
          <t> </t>
        </is>
      </c>
      <c r="AV80" s="183" t="inlineStr">
        <is>
          <t> </t>
        </is>
      </c>
      <c r="AW80" s="183" t="inlineStr">
        <is>
          <t> </t>
        </is>
      </c>
      <c r="AX80" s="183" t="inlineStr">
        <is>
          <t> </t>
        </is>
      </c>
      <c r="AY80" s="210" t="inlineStr">
        <is>
          <t>PRESTAÇÃO DE CONTAS EM ANÁLISE</t>
        </is>
      </c>
      <c r="AZ80" s="210" t="inlineStr">
        <is>
          <t>NI</t>
        </is>
      </c>
      <c r="BA80" s="210" t="inlineStr">
        <is>
          <t>NI</t>
        </is>
      </c>
      <c r="BB80" s="210" t="inlineStr">
        <is>
          <t>NI</t>
        </is>
      </c>
      <c r="BC80" s="212" t="n"/>
      <c r="BD80" s="210" t="n"/>
      <c r="BE80" s="210" t="n"/>
      <c r="BF80" s="178" t="n"/>
      <c r="BG80" s="210" t="n"/>
      <c r="BH80" s="210" t="n"/>
      <c r="BI80" s="210" t="n"/>
      <c r="BJ80" s="210" t="n"/>
      <c r="BK80" s="210" t="n"/>
      <c r="BL80" s="210" t="n"/>
      <c r="BM80" s="210" t="n"/>
      <c r="BN80" s="210" t="n"/>
      <c r="BO80" s="210" t="n"/>
      <c r="BP80" s="210" t="n"/>
      <c r="BQ80" s="210" t="n"/>
      <c r="BR80" s="210" t="n"/>
      <c r="BS80" s="210" t="n"/>
      <c r="BT80" s="212" t="n"/>
      <c r="BU80" s="177" t="n"/>
    </row>
    <row r="81" ht="60" customHeight="1">
      <c r="A81" s="178" t="inlineStr">
        <is>
          <t>SUDESTE</t>
        </is>
      </c>
      <c r="B81" s="207" t="inlineStr">
        <is>
          <t>ES</t>
        </is>
      </c>
      <c r="C81" s="29" t="inlineStr">
        <is>
          <t>VITORIA</t>
        </is>
      </c>
      <c r="D81" s="178" t="inlineStr">
        <is>
          <t>ASSOCIACAO FEMININA DE EDUCACAO E COMBATE AO CANCER</t>
        </is>
      </c>
      <c r="E81" s="208" t="inlineStr">
        <is>
          <t>28137925000106</t>
        </is>
      </c>
      <c r="F81" s="29" t="inlineStr">
        <is>
          <t>ASSOCIACAO FEMININA DE EDUCACAO E COMBATE AO CANCER</t>
        </is>
      </c>
      <c r="G81" s="254" t="inlineStr">
        <is>
          <t>0011738</t>
        </is>
      </c>
      <c r="H81" s="210" t="n"/>
      <c r="I81" s="210" t="n"/>
      <c r="J81" s="210" t="n"/>
      <c r="K81" s="210" t="inlineStr">
        <is>
          <t>Indireta</t>
        </is>
      </c>
      <c r="L81" s="211" t="inlineStr">
        <is>
          <t>Transferegov/SEI</t>
        </is>
      </c>
      <c r="M81" s="211" t="inlineStr">
        <is>
          <t>Convênio</t>
        </is>
      </c>
      <c r="N81" s="207" t="n">
        <v>2023</v>
      </c>
      <c r="O81" s="207" t="n">
        <v>947097</v>
      </c>
      <c r="P81" s="207" t="n">
        <v>92813723003</v>
      </c>
      <c r="Q81" s="210" t="n"/>
      <c r="R81" s="178" t="n"/>
      <c r="S81" s="210" t="n"/>
      <c r="T81" s="29" t="inlineStr">
        <is>
          <t>Monitor Multiparâmetros</t>
        </is>
      </c>
      <c r="U81" s="210" t="n"/>
      <c r="V81" s="210" t="n">
        <v>2</v>
      </c>
      <c r="W81" s="182" t="inlineStr">
        <is>
          <t xml:space="preserve"> UND</t>
        </is>
      </c>
      <c r="X81" s="210" t="inlineStr">
        <is>
          <t>EQUIPAMENTO</t>
        </is>
      </c>
      <c r="Y81" s="178" t="n"/>
      <c r="Z81" s="211" t="inlineStr">
        <is>
          <t xml:space="preserve"> NA</t>
        </is>
      </c>
      <c r="AA81" s="212" t="n"/>
      <c r="AB81" s="212" t="n"/>
      <c r="AC81" s="212" t="n"/>
      <c r="AD81" s="211" t="inlineStr">
        <is>
          <t>NI</t>
        </is>
      </c>
      <c r="AE81" s="211" t="inlineStr">
        <is>
          <t>NI</t>
        </is>
      </c>
      <c r="AF81" s="211" t="inlineStr">
        <is>
          <t>NI</t>
        </is>
      </c>
      <c r="AG81" s="177" t="n">
        <v>500000</v>
      </c>
      <c r="AH81" s="177" t="n"/>
      <c r="AI81" s="212" t="n"/>
      <c r="AJ81" s="182" t="n">
        <v>8535</v>
      </c>
      <c r="AK81" s="183" t="inlineStr">
        <is>
          <t> </t>
        </is>
      </c>
      <c r="AL81" s="183" t="inlineStr">
        <is>
          <t> </t>
        </is>
      </c>
      <c r="AM81" s="183" t="inlineStr">
        <is>
          <t> </t>
        </is>
      </c>
      <c r="AN81" s="183" t="inlineStr">
        <is>
          <t> </t>
        </is>
      </c>
      <c r="AO81" s="183" t="inlineStr">
        <is>
          <t> </t>
        </is>
      </c>
      <c r="AP81" s="183" t="inlineStr">
        <is>
          <t> </t>
        </is>
      </c>
      <c r="AQ81" s="183" t="inlineStr">
        <is>
          <t> </t>
        </is>
      </c>
      <c r="AR81" s="183" t="inlineStr">
        <is>
          <t> </t>
        </is>
      </c>
      <c r="AS81" s="183" t="inlineStr">
        <is>
          <t> </t>
        </is>
      </c>
      <c r="AT81" s="183" t="inlineStr">
        <is>
          <t> </t>
        </is>
      </c>
      <c r="AU81" s="183" t="inlineStr">
        <is>
          <t> </t>
        </is>
      </c>
      <c r="AV81" s="183" t="inlineStr">
        <is>
          <t> </t>
        </is>
      </c>
      <c r="AW81" s="183" t="inlineStr">
        <is>
          <t> </t>
        </is>
      </c>
      <c r="AX81" s="183" t="inlineStr">
        <is>
          <t> </t>
        </is>
      </c>
      <c r="AY81" s="210" t="inlineStr">
        <is>
          <t>PRESTAÇÃO DE CONTAS EM ANÁLISE</t>
        </is>
      </c>
      <c r="AZ81" s="210" t="inlineStr">
        <is>
          <t>NI</t>
        </is>
      </c>
      <c r="BA81" s="210" t="inlineStr">
        <is>
          <t>NI</t>
        </is>
      </c>
      <c r="BB81" s="210" t="inlineStr">
        <is>
          <t>NI</t>
        </is>
      </c>
      <c r="BC81" s="212" t="n"/>
      <c r="BD81" s="210" t="n"/>
      <c r="BE81" s="210" t="n"/>
      <c r="BF81" s="178" t="n"/>
      <c r="BG81" s="210" t="n"/>
      <c r="BH81" s="210" t="n"/>
      <c r="BI81" s="210" t="n"/>
      <c r="BJ81" s="210" t="n"/>
      <c r="BK81" s="210" t="n"/>
      <c r="BL81" s="210" t="n"/>
      <c r="BM81" s="210" t="n"/>
      <c r="BN81" s="210" t="n"/>
      <c r="BO81" s="210" t="n"/>
      <c r="BP81" s="210" t="n"/>
      <c r="BQ81" s="210" t="n"/>
      <c r="BR81" s="210" t="n"/>
      <c r="BS81" s="210" t="n"/>
      <c r="BT81" s="212" t="n"/>
      <c r="BU81" s="177" t="n"/>
    </row>
    <row r="82" ht="60" customHeight="1">
      <c r="A82" s="178" t="inlineStr">
        <is>
          <t>SUDESTE</t>
        </is>
      </c>
      <c r="B82" s="207" t="inlineStr">
        <is>
          <t>ES</t>
        </is>
      </c>
      <c r="C82" s="29" t="inlineStr">
        <is>
          <t>VITORIA</t>
        </is>
      </c>
      <c r="D82" s="178" t="inlineStr">
        <is>
          <t>ASSOCIACAO FEMININA DE EDUCACAO E COMBATE AO CANCER</t>
        </is>
      </c>
      <c r="E82" s="208" t="inlineStr">
        <is>
          <t>28137925000106</t>
        </is>
      </c>
      <c r="F82" s="29" t="inlineStr">
        <is>
          <t>ASSOCIACAO FEMININA DE EDUCACAO E COMBATE AO CANCER</t>
        </is>
      </c>
      <c r="G82" s="254" t="inlineStr">
        <is>
          <t>0011738</t>
        </is>
      </c>
      <c r="H82" s="210" t="n"/>
      <c r="I82" s="210" t="n"/>
      <c r="J82" s="210" t="n"/>
      <c r="K82" s="210" t="inlineStr">
        <is>
          <t>Indireta</t>
        </is>
      </c>
      <c r="L82" s="211" t="inlineStr">
        <is>
          <t>Transferegov/SEI</t>
        </is>
      </c>
      <c r="M82" s="211" t="inlineStr">
        <is>
          <t>Convênio</t>
        </is>
      </c>
      <c r="N82" s="207" t="n">
        <v>2023</v>
      </c>
      <c r="O82" s="207" t="n">
        <v>947097</v>
      </c>
      <c r="P82" s="207" t="n">
        <v>92813723003</v>
      </c>
      <c r="Q82" s="210" t="n"/>
      <c r="R82" s="178" t="n"/>
      <c r="S82" s="210" t="n"/>
      <c r="T82" s="29" t="inlineStr">
        <is>
          <t>Bomba Injetora de Contraste</t>
        </is>
      </c>
      <c r="U82" s="210" t="n"/>
      <c r="V82" s="210" t="n">
        <v>1</v>
      </c>
      <c r="W82" s="182" t="inlineStr">
        <is>
          <t xml:space="preserve"> UND</t>
        </is>
      </c>
      <c r="X82" s="210" t="inlineStr">
        <is>
          <t>EQUIPAMENTO</t>
        </is>
      </c>
      <c r="Y82" s="178" t="n"/>
      <c r="Z82" s="211" t="inlineStr">
        <is>
          <t xml:space="preserve"> NA</t>
        </is>
      </c>
      <c r="AA82" s="212" t="n"/>
      <c r="AB82" s="212" t="n"/>
      <c r="AC82" s="212" t="n"/>
      <c r="AD82" s="211" t="inlineStr">
        <is>
          <t>NI</t>
        </is>
      </c>
      <c r="AE82" s="211" t="inlineStr">
        <is>
          <t>NI</t>
        </is>
      </c>
      <c r="AF82" s="211" t="inlineStr">
        <is>
          <t>NI</t>
        </is>
      </c>
      <c r="AG82" s="177" t="n">
        <v>500000</v>
      </c>
      <c r="AH82" s="177" t="n"/>
      <c r="AI82" s="212" t="n"/>
      <c r="AJ82" s="182" t="n">
        <v>8535</v>
      </c>
      <c r="AK82" s="183" t="inlineStr">
        <is>
          <t> </t>
        </is>
      </c>
      <c r="AL82" s="183" t="inlineStr">
        <is>
          <t> </t>
        </is>
      </c>
      <c r="AM82" s="183" t="inlineStr">
        <is>
          <t> </t>
        </is>
      </c>
      <c r="AN82" s="183" t="inlineStr">
        <is>
          <t> </t>
        </is>
      </c>
      <c r="AO82" s="183" t="inlineStr">
        <is>
          <t> </t>
        </is>
      </c>
      <c r="AP82" s="183" t="inlineStr">
        <is>
          <t> </t>
        </is>
      </c>
      <c r="AQ82" s="183" t="inlineStr">
        <is>
          <t> </t>
        </is>
      </c>
      <c r="AR82" s="183" t="inlineStr">
        <is>
          <t> </t>
        </is>
      </c>
      <c r="AS82" s="183" t="inlineStr">
        <is>
          <t> </t>
        </is>
      </c>
      <c r="AT82" s="183" t="inlineStr">
        <is>
          <t> </t>
        </is>
      </c>
      <c r="AU82" s="183" t="inlineStr">
        <is>
          <t> </t>
        </is>
      </c>
      <c r="AV82" s="183" t="inlineStr">
        <is>
          <t> </t>
        </is>
      </c>
      <c r="AW82" s="183" t="inlineStr">
        <is>
          <t> </t>
        </is>
      </c>
      <c r="AX82" s="183" t="inlineStr">
        <is>
          <t> </t>
        </is>
      </c>
      <c r="AY82" s="210" t="inlineStr">
        <is>
          <t>PRESTAÇÃO DE CONTAS EM ANÁLISE</t>
        </is>
      </c>
      <c r="AZ82" s="210" t="inlineStr">
        <is>
          <t>NI</t>
        </is>
      </c>
      <c r="BA82" s="210" t="inlineStr">
        <is>
          <t>NI</t>
        </is>
      </c>
      <c r="BB82" s="210" t="inlineStr">
        <is>
          <t>NI</t>
        </is>
      </c>
      <c r="BC82" s="212" t="n"/>
      <c r="BD82" s="210" t="n"/>
      <c r="BE82" s="210" t="n"/>
      <c r="BF82" s="178" t="n"/>
      <c r="BG82" s="210" t="n"/>
      <c r="BH82" s="210" t="n"/>
      <c r="BI82" s="210" t="n"/>
      <c r="BJ82" s="210" t="n"/>
      <c r="BK82" s="210" t="n"/>
      <c r="BL82" s="210" t="n"/>
      <c r="BM82" s="210" t="n"/>
      <c r="BN82" s="210" t="n"/>
      <c r="BO82" s="210" t="n"/>
      <c r="BP82" s="210" t="n"/>
      <c r="BQ82" s="210" t="n"/>
      <c r="BR82" s="210" t="n"/>
      <c r="BS82" s="210" t="n"/>
      <c r="BT82" s="212" t="n"/>
      <c r="BU82" s="177" t="n"/>
    </row>
    <row r="83" ht="60" customHeight="1">
      <c r="A83" s="178" t="inlineStr">
        <is>
          <t>SUDESTE</t>
        </is>
      </c>
      <c r="B83" s="207" t="inlineStr">
        <is>
          <t>ES</t>
        </is>
      </c>
      <c r="C83" s="29" t="inlineStr">
        <is>
          <t>VITORIA</t>
        </is>
      </c>
      <c r="D83" s="178" t="inlineStr">
        <is>
          <t>ASSOCIACAO FEMININA DE EDUCACAO E COMBATE AO CANCER</t>
        </is>
      </c>
      <c r="E83" s="208" t="inlineStr">
        <is>
          <t>28137925000106</t>
        </is>
      </c>
      <c r="F83" s="29" t="inlineStr">
        <is>
          <t>ASSOCIACAO FEMININA DE EDUCACAO E COMBATE AO CANCER</t>
        </is>
      </c>
      <c r="G83" s="254" t="inlineStr">
        <is>
          <t>0011738</t>
        </is>
      </c>
      <c r="H83" s="210" t="n"/>
      <c r="I83" s="210" t="n"/>
      <c r="J83" s="210" t="n"/>
      <c r="K83" s="210" t="inlineStr">
        <is>
          <t>Indireta</t>
        </is>
      </c>
      <c r="L83" s="211" t="inlineStr">
        <is>
          <t>Transferegov/SEI</t>
        </is>
      </c>
      <c r="M83" s="211" t="inlineStr">
        <is>
          <t>Convênio</t>
        </is>
      </c>
      <c r="N83" s="207" t="n">
        <v>2023</v>
      </c>
      <c r="O83" s="207" t="n">
        <v>947097</v>
      </c>
      <c r="P83" s="207" t="n">
        <v>92813723003</v>
      </c>
      <c r="Q83" s="210" t="n"/>
      <c r="R83" s="178" t="n"/>
      <c r="S83" s="210" t="n"/>
      <c r="T83" s="29" t="inlineStr">
        <is>
          <t>Monitor Multiparâmetros</t>
        </is>
      </c>
      <c r="U83" s="210" t="n"/>
      <c r="V83" s="210" t="n">
        <v>2</v>
      </c>
      <c r="W83" s="182" t="inlineStr">
        <is>
          <t xml:space="preserve"> UND</t>
        </is>
      </c>
      <c r="X83" s="210" t="inlineStr">
        <is>
          <t>EQUIPAMENTO</t>
        </is>
      </c>
      <c r="Y83" s="178" t="n"/>
      <c r="Z83" s="211" t="inlineStr">
        <is>
          <t xml:space="preserve"> NA</t>
        </is>
      </c>
      <c r="AA83" s="212" t="n"/>
      <c r="AB83" s="212" t="n"/>
      <c r="AC83" s="212" t="n"/>
      <c r="AD83" s="211" t="inlineStr">
        <is>
          <t>NI</t>
        </is>
      </c>
      <c r="AE83" s="211" t="inlineStr">
        <is>
          <t>NI</t>
        </is>
      </c>
      <c r="AF83" s="211" t="inlineStr">
        <is>
          <t>NI</t>
        </is>
      </c>
      <c r="AG83" s="177" t="n">
        <v>500000</v>
      </c>
      <c r="AH83" s="177" t="n"/>
      <c r="AI83" s="212" t="n"/>
      <c r="AJ83" s="182" t="n">
        <v>8535</v>
      </c>
      <c r="AK83" s="183" t="inlineStr">
        <is>
          <t> </t>
        </is>
      </c>
      <c r="AL83" s="183" t="inlineStr">
        <is>
          <t> </t>
        </is>
      </c>
      <c r="AM83" s="183" t="inlineStr">
        <is>
          <t> </t>
        </is>
      </c>
      <c r="AN83" s="183" t="inlineStr">
        <is>
          <t> </t>
        </is>
      </c>
      <c r="AO83" s="183" t="inlineStr">
        <is>
          <t> </t>
        </is>
      </c>
      <c r="AP83" s="183" t="inlineStr">
        <is>
          <t> </t>
        </is>
      </c>
      <c r="AQ83" s="183" t="inlineStr">
        <is>
          <t> </t>
        </is>
      </c>
      <c r="AR83" s="183" t="inlineStr">
        <is>
          <t> </t>
        </is>
      </c>
      <c r="AS83" s="183" t="inlineStr">
        <is>
          <t> </t>
        </is>
      </c>
      <c r="AT83" s="183" t="inlineStr">
        <is>
          <t> </t>
        </is>
      </c>
      <c r="AU83" s="183" t="inlineStr">
        <is>
          <t> </t>
        </is>
      </c>
      <c r="AV83" s="183" t="inlineStr">
        <is>
          <t> </t>
        </is>
      </c>
      <c r="AW83" s="183" t="inlineStr">
        <is>
          <t> </t>
        </is>
      </c>
      <c r="AX83" s="183" t="inlineStr">
        <is>
          <t> </t>
        </is>
      </c>
      <c r="AY83" s="210" t="inlineStr">
        <is>
          <t>PRESTAÇÃO DE CONTAS EM ANÁLISE</t>
        </is>
      </c>
      <c r="AZ83" s="210" t="inlineStr">
        <is>
          <t>NI</t>
        </is>
      </c>
      <c r="BA83" s="210" t="inlineStr">
        <is>
          <t>NI</t>
        </is>
      </c>
      <c r="BB83" s="210" t="inlineStr">
        <is>
          <t>NI</t>
        </is>
      </c>
      <c r="BC83" s="212" t="n"/>
      <c r="BD83" s="210" t="n"/>
      <c r="BE83" s="210" t="n"/>
      <c r="BF83" s="178" t="n"/>
      <c r="BG83" s="210" t="n"/>
      <c r="BH83" s="210" t="n"/>
      <c r="BI83" s="210" t="n"/>
      <c r="BJ83" s="210" t="n"/>
      <c r="BK83" s="210" t="n"/>
      <c r="BL83" s="210" t="n"/>
      <c r="BM83" s="210" t="n"/>
      <c r="BN83" s="210" t="n"/>
      <c r="BO83" s="210" t="n"/>
      <c r="BP83" s="210" t="n"/>
      <c r="BQ83" s="210" t="n"/>
      <c r="BR83" s="210" t="n"/>
      <c r="BS83" s="210" t="n"/>
      <c r="BT83" s="212" t="n"/>
      <c r="BU83" s="177" t="n"/>
    </row>
    <row r="84" ht="60" customHeight="1">
      <c r="A84" s="178" t="inlineStr">
        <is>
          <t>SUDESTE</t>
        </is>
      </c>
      <c r="B84" s="207" t="inlineStr">
        <is>
          <t>ES</t>
        </is>
      </c>
      <c r="C84" s="29" t="inlineStr">
        <is>
          <t>VITORIA</t>
        </is>
      </c>
      <c r="D84" s="178" t="inlineStr">
        <is>
          <t>ASSOCIACAO FEMININA DE EDUCACAO E COMBATE AO CANCER</t>
        </is>
      </c>
      <c r="E84" s="208" t="inlineStr">
        <is>
          <t>28137925000106</t>
        </is>
      </c>
      <c r="F84" s="29" t="inlineStr">
        <is>
          <t>ASSOCIACAO FEMININA DE EDUCACAO E COMBATE AO CANCER</t>
        </is>
      </c>
      <c r="G84" s="254" t="inlineStr">
        <is>
          <t>0011738</t>
        </is>
      </c>
      <c r="H84" s="210" t="n"/>
      <c r="I84" s="210" t="n"/>
      <c r="J84" s="210" t="n"/>
      <c r="K84" s="210" t="inlineStr">
        <is>
          <t>Indireta</t>
        </is>
      </c>
      <c r="L84" s="211" t="inlineStr">
        <is>
          <t>Transferegov/SEI</t>
        </is>
      </c>
      <c r="M84" s="211" t="inlineStr">
        <is>
          <t>Convênio</t>
        </is>
      </c>
      <c r="N84" s="207" t="n">
        <v>2023</v>
      </c>
      <c r="O84" s="207" t="n">
        <v>947097</v>
      </c>
      <c r="P84" s="207" t="n">
        <v>92813723003</v>
      </c>
      <c r="Q84" s="210" t="n"/>
      <c r="R84" s="178" t="n"/>
      <c r="S84" s="210" t="n"/>
      <c r="T84" s="29" t="inlineStr">
        <is>
          <t>Monitor Multiparâmetros para Centro Cirúrgico</t>
        </is>
      </c>
      <c r="U84" s="210" t="n"/>
      <c r="V84" s="210" t="n">
        <v>3</v>
      </c>
      <c r="W84" s="182" t="inlineStr">
        <is>
          <t xml:space="preserve"> UND</t>
        </is>
      </c>
      <c r="X84" s="210" t="inlineStr">
        <is>
          <t>EQUIPAMENTO</t>
        </is>
      </c>
      <c r="Y84" s="178" t="n"/>
      <c r="Z84" s="211" t="inlineStr">
        <is>
          <t xml:space="preserve"> NA</t>
        </is>
      </c>
      <c r="AA84" s="212" t="n"/>
      <c r="AB84" s="212" t="n"/>
      <c r="AC84" s="212" t="n"/>
      <c r="AD84" s="211" t="inlineStr">
        <is>
          <t>NI</t>
        </is>
      </c>
      <c r="AE84" s="211" t="inlineStr">
        <is>
          <t>NI</t>
        </is>
      </c>
      <c r="AF84" s="211" t="inlineStr">
        <is>
          <t>NI</t>
        </is>
      </c>
      <c r="AG84" s="177" t="n">
        <v>500000</v>
      </c>
      <c r="AH84" s="177" t="n"/>
      <c r="AI84" s="212" t="n"/>
      <c r="AJ84" s="182" t="n">
        <v>8535</v>
      </c>
      <c r="AK84" s="183" t="inlineStr">
        <is>
          <t> </t>
        </is>
      </c>
      <c r="AL84" s="183" t="inlineStr">
        <is>
          <t> </t>
        </is>
      </c>
      <c r="AM84" s="183" t="inlineStr">
        <is>
          <t> </t>
        </is>
      </c>
      <c r="AN84" s="183" t="inlineStr">
        <is>
          <t> </t>
        </is>
      </c>
      <c r="AO84" s="183" t="inlineStr">
        <is>
          <t> </t>
        </is>
      </c>
      <c r="AP84" s="183" t="inlineStr">
        <is>
          <t> </t>
        </is>
      </c>
      <c r="AQ84" s="183" t="inlineStr">
        <is>
          <t> </t>
        </is>
      </c>
      <c r="AR84" s="183" t="inlineStr">
        <is>
          <t> </t>
        </is>
      </c>
      <c r="AS84" s="183" t="inlineStr">
        <is>
          <t> </t>
        </is>
      </c>
      <c r="AT84" s="183" t="inlineStr">
        <is>
          <t> </t>
        </is>
      </c>
      <c r="AU84" s="183" t="inlineStr">
        <is>
          <t> </t>
        </is>
      </c>
      <c r="AV84" s="183" t="inlineStr">
        <is>
          <t> </t>
        </is>
      </c>
      <c r="AW84" s="183" t="inlineStr">
        <is>
          <t> </t>
        </is>
      </c>
      <c r="AX84" s="183" t="inlineStr">
        <is>
          <t> </t>
        </is>
      </c>
      <c r="AY84" s="210" t="inlineStr">
        <is>
          <t>PRESTAÇÃO DE CONTAS EM ANÁLISE</t>
        </is>
      </c>
      <c r="AZ84" s="210" t="inlineStr">
        <is>
          <t>NI</t>
        </is>
      </c>
      <c r="BA84" s="210" t="inlineStr">
        <is>
          <t>NI</t>
        </is>
      </c>
      <c r="BB84" s="210" t="inlineStr">
        <is>
          <t>NI</t>
        </is>
      </c>
      <c r="BC84" s="212" t="n"/>
      <c r="BD84" s="210" t="n"/>
      <c r="BE84" s="210" t="n"/>
      <c r="BF84" s="178" t="n"/>
      <c r="BG84" s="210" t="n"/>
      <c r="BH84" s="210" t="n"/>
      <c r="BI84" s="210" t="n"/>
      <c r="BJ84" s="210" t="n"/>
      <c r="BK84" s="210" t="n"/>
      <c r="BL84" s="210" t="n"/>
      <c r="BM84" s="210" t="n"/>
      <c r="BN84" s="210" t="n"/>
      <c r="BO84" s="210" t="n"/>
      <c r="BP84" s="210" t="n"/>
      <c r="BQ84" s="210" t="n"/>
      <c r="BR84" s="210" t="n"/>
      <c r="BS84" s="210" t="n"/>
      <c r="BT84" s="212" t="n"/>
      <c r="BU84" s="177" t="n"/>
    </row>
    <row r="85" ht="60" customHeight="1">
      <c r="A85" s="178" t="inlineStr">
        <is>
          <t>CENTRO-OESTE</t>
        </is>
      </c>
      <c r="B85" s="207" t="inlineStr">
        <is>
          <t>GO</t>
        </is>
      </c>
      <c r="C85" s="29" t="inlineStr">
        <is>
          <t>GOIANIA</t>
        </is>
      </c>
      <c r="D85" s="178" t="inlineStr">
        <is>
          <t>ASSOCIACAO DE COMBATE AO CANCER EM GOIAS</t>
        </is>
      </c>
      <c r="E85" s="208" t="inlineStr">
        <is>
          <t>01585595000157</t>
        </is>
      </c>
      <c r="F85" s="29" t="inlineStr">
        <is>
          <t>ASSOCIACAO DE COMBATE AO CANCER EM GOIAS</t>
        </is>
      </c>
      <c r="G85" s="254" t="inlineStr">
        <is>
          <t>2506815</t>
        </is>
      </c>
      <c r="H85" s="210" t="n"/>
      <c r="I85" s="210" t="n"/>
      <c r="J85" s="210" t="n"/>
      <c r="K85" s="210" t="inlineStr">
        <is>
          <t>Indireta</t>
        </is>
      </c>
      <c r="L85" s="211" t="inlineStr">
        <is>
          <t>Transferegov/SEI</t>
        </is>
      </c>
      <c r="M85" s="211" t="inlineStr">
        <is>
          <t>Convênio</t>
        </is>
      </c>
      <c r="N85" s="207" t="n">
        <v>2023</v>
      </c>
      <c r="O85" s="207" t="n">
        <v>950111</v>
      </c>
      <c r="P85" s="207" t="n">
        <v>90158523003</v>
      </c>
      <c r="Q85" s="210" t="n"/>
      <c r="R85" s="178" t="n"/>
      <c r="S85" s="210" t="n"/>
      <c r="T85" s="29" t="inlineStr">
        <is>
          <t>Máquina Unitarizadora de Medicamentos</t>
        </is>
      </c>
      <c r="U85" s="210" t="n"/>
      <c r="V85" s="210" t="n">
        <v>1</v>
      </c>
      <c r="W85" s="182" t="inlineStr">
        <is>
          <t xml:space="preserve"> UND</t>
        </is>
      </c>
      <c r="X85" s="210" t="inlineStr">
        <is>
          <t>EQUIPAMENTO</t>
        </is>
      </c>
      <c r="Y85" s="178" t="n"/>
      <c r="Z85" s="211" t="inlineStr">
        <is>
          <t xml:space="preserve"> NA</t>
        </is>
      </c>
      <c r="AA85" s="212" t="n"/>
      <c r="AB85" s="212" t="n"/>
      <c r="AC85" s="212" t="n"/>
      <c r="AD85" s="211" t="inlineStr">
        <is>
          <t>NI</t>
        </is>
      </c>
      <c r="AE85" s="211" t="inlineStr">
        <is>
          <t>NI</t>
        </is>
      </c>
      <c r="AF85" s="211" t="inlineStr">
        <is>
          <t>NI</t>
        </is>
      </c>
      <c r="AG85" s="177" t="n">
        <v>283060</v>
      </c>
      <c r="AH85" s="177" t="n"/>
      <c r="AI85" s="212" t="n"/>
      <c r="AJ85" s="182" t="n">
        <v>8535</v>
      </c>
      <c r="AK85" s="183" t="inlineStr">
        <is>
          <t> </t>
        </is>
      </c>
      <c r="AL85" s="183" t="inlineStr">
        <is>
          <t> </t>
        </is>
      </c>
      <c r="AM85" s="183" t="inlineStr">
        <is>
          <t> </t>
        </is>
      </c>
      <c r="AN85" s="183" t="inlineStr">
        <is>
          <t> </t>
        </is>
      </c>
      <c r="AO85" s="183" t="inlineStr">
        <is>
          <t> </t>
        </is>
      </c>
      <c r="AP85" s="183" t="inlineStr">
        <is>
          <t> </t>
        </is>
      </c>
      <c r="AQ85" s="183" t="inlineStr">
        <is>
          <t> </t>
        </is>
      </c>
      <c r="AR85" s="183" t="inlineStr">
        <is>
          <t> </t>
        </is>
      </c>
      <c r="AS85" s="183" t="inlineStr">
        <is>
          <t> </t>
        </is>
      </c>
      <c r="AT85" s="183" t="inlineStr">
        <is>
          <t> </t>
        </is>
      </c>
      <c r="AU85" s="183" t="inlineStr">
        <is>
          <t> </t>
        </is>
      </c>
      <c r="AV85" s="183" t="inlineStr">
        <is>
          <t> </t>
        </is>
      </c>
      <c r="AW85" s="183" t="inlineStr">
        <is>
          <t> </t>
        </is>
      </c>
      <c r="AX85" s="183" t="inlineStr">
        <is>
          <t> </t>
        </is>
      </c>
      <c r="AY85" s="210" t="inlineStr">
        <is>
          <t>NORMAL</t>
        </is>
      </c>
      <c r="AZ85" s="210" t="inlineStr">
        <is>
          <t>NI</t>
        </is>
      </c>
      <c r="BA85" s="210" t="inlineStr">
        <is>
          <t>NI</t>
        </is>
      </c>
      <c r="BB85" s="210" t="inlineStr">
        <is>
          <t>NI</t>
        </is>
      </c>
      <c r="BC85" s="212" t="n"/>
      <c r="BD85" s="210" t="n"/>
      <c r="BE85" s="210" t="n"/>
      <c r="BF85" s="178" t="n"/>
      <c r="BG85" s="210" t="n"/>
      <c r="BH85" s="210" t="n"/>
      <c r="BI85" s="210" t="n"/>
      <c r="BJ85" s="210" t="n"/>
      <c r="BK85" s="210" t="n"/>
      <c r="BL85" s="210" t="n"/>
      <c r="BM85" s="210" t="n"/>
      <c r="BN85" s="210" t="n"/>
      <c r="BO85" s="210" t="n"/>
      <c r="BP85" s="210" t="n"/>
      <c r="BQ85" s="210" t="n"/>
      <c r="BR85" s="210" t="n"/>
      <c r="BS85" s="210" t="n"/>
      <c r="BT85" s="212" t="n"/>
      <c r="BU85" s="177" t="n"/>
    </row>
    <row r="86" ht="60" customHeight="1">
      <c r="A86" s="178" t="inlineStr">
        <is>
          <t>CENTRO-OESTE</t>
        </is>
      </c>
      <c r="B86" s="207" t="inlineStr">
        <is>
          <t>GO</t>
        </is>
      </c>
      <c r="C86" s="29" t="inlineStr">
        <is>
          <t>GOIANIA</t>
        </is>
      </c>
      <c r="D86" s="178" t="inlineStr">
        <is>
          <t>ASSOCIACAO DE COMBATE AO CANCER EM GOIAS</t>
        </is>
      </c>
      <c r="E86" s="208" t="inlineStr">
        <is>
          <t>01585595000157</t>
        </is>
      </c>
      <c r="F86" s="29" t="inlineStr">
        <is>
          <t>ASSOCIACAO DE COMBATE AO CANCER EM GOIAS</t>
        </is>
      </c>
      <c r="G86" s="254" t="inlineStr">
        <is>
          <t>2506815</t>
        </is>
      </c>
      <c r="H86" s="210" t="n"/>
      <c r="I86" s="210" t="n"/>
      <c r="J86" s="210" t="n"/>
      <c r="K86" s="210" t="inlineStr">
        <is>
          <t>Indireta</t>
        </is>
      </c>
      <c r="L86" s="211" t="inlineStr">
        <is>
          <t>Transferegov/SEI</t>
        </is>
      </c>
      <c r="M86" s="211" t="inlineStr">
        <is>
          <t>Convênio</t>
        </is>
      </c>
      <c r="N86" s="207" t="n">
        <v>2023</v>
      </c>
      <c r="O86" s="207" t="n">
        <v>950111</v>
      </c>
      <c r="P86" s="207" t="n">
        <v>90158523003</v>
      </c>
      <c r="Q86" s="210" t="n"/>
      <c r="R86" s="178" t="n"/>
      <c r="S86" s="210" t="n"/>
      <c r="T86" s="29" t="inlineStr">
        <is>
          <t>Cama Hospitalar Tipo Fawler Elétrica</t>
        </is>
      </c>
      <c r="U86" s="256" t="n"/>
      <c r="V86" s="210" t="n">
        <v>2</v>
      </c>
      <c r="W86" s="182" t="inlineStr">
        <is>
          <t xml:space="preserve"> UND</t>
        </is>
      </c>
      <c r="X86" s="210" t="inlineStr">
        <is>
          <t>EQUIPAMENTO</t>
        </is>
      </c>
      <c r="Y86" s="178" t="n"/>
      <c r="Z86" s="211" t="inlineStr">
        <is>
          <t xml:space="preserve"> NA</t>
        </is>
      </c>
      <c r="AA86" s="212" t="n"/>
      <c r="AB86" s="212" t="n"/>
      <c r="AC86" s="212" t="n"/>
      <c r="AD86" s="211" t="inlineStr">
        <is>
          <t>NI</t>
        </is>
      </c>
      <c r="AE86" s="211" t="inlineStr">
        <is>
          <t>NI</t>
        </is>
      </c>
      <c r="AF86" s="211" t="inlineStr">
        <is>
          <t>NI</t>
        </is>
      </c>
      <c r="AG86" s="177" t="n">
        <v>283060</v>
      </c>
      <c r="AH86" s="177" t="n"/>
      <c r="AI86" s="212" t="n"/>
      <c r="AJ86" s="182" t="n">
        <v>8535</v>
      </c>
      <c r="AK86" s="183" t="inlineStr">
        <is>
          <t> </t>
        </is>
      </c>
      <c r="AL86" s="183" t="inlineStr">
        <is>
          <t> </t>
        </is>
      </c>
      <c r="AM86" s="183" t="inlineStr">
        <is>
          <t> </t>
        </is>
      </c>
      <c r="AN86" s="183" t="inlineStr">
        <is>
          <t> </t>
        </is>
      </c>
      <c r="AO86" s="183" t="inlineStr">
        <is>
          <t> </t>
        </is>
      </c>
      <c r="AP86" s="183" t="inlineStr">
        <is>
          <t> </t>
        </is>
      </c>
      <c r="AQ86" s="183" t="inlineStr">
        <is>
          <t> </t>
        </is>
      </c>
      <c r="AR86" s="183" t="inlineStr">
        <is>
          <t> </t>
        </is>
      </c>
      <c r="AS86" s="183" t="inlineStr">
        <is>
          <t> </t>
        </is>
      </c>
      <c r="AT86" s="183" t="inlineStr">
        <is>
          <t> </t>
        </is>
      </c>
      <c r="AU86" s="183" t="inlineStr">
        <is>
          <t> </t>
        </is>
      </c>
      <c r="AV86" s="183" t="inlineStr">
        <is>
          <t> </t>
        </is>
      </c>
      <c r="AW86" s="183" t="inlineStr">
        <is>
          <t> </t>
        </is>
      </c>
      <c r="AX86" s="183" t="inlineStr">
        <is>
          <t> </t>
        </is>
      </c>
      <c r="AY86" s="210" t="inlineStr">
        <is>
          <t>NORMAL</t>
        </is>
      </c>
      <c r="AZ86" s="210" t="inlineStr">
        <is>
          <t>NI</t>
        </is>
      </c>
      <c r="BA86" s="210" t="inlineStr">
        <is>
          <t>NI</t>
        </is>
      </c>
      <c r="BB86" s="210" t="inlineStr">
        <is>
          <t>NI</t>
        </is>
      </c>
      <c r="BC86" s="212" t="n"/>
      <c r="BD86" s="210" t="n"/>
      <c r="BE86" s="210" t="n"/>
      <c r="BF86" s="178" t="n"/>
      <c r="BG86" s="210" t="n"/>
      <c r="BH86" s="210" t="n"/>
      <c r="BI86" s="210" t="n"/>
      <c r="BJ86" s="210" t="n"/>
      <c r="BK86" s="210" t="n"/>
      <c r="BL86" s="210" t="n"/>
      <c r="BM86" s="210" t="n"/>
      <c r="BN86" s="210" t="n"/>
      <c r="BO86" s="210" t="n"/>
      <c r="BP86" s="210" t="n"/>
      <c r="BQ86" s="210" t="n"/>
      <c r="BR86" s="210" t="n"/>
      <c r="BS86" s="210" t="n"/>
      <c r="BT86" s="212" t="n"/>
      <c r="BU86" s="177" t="n"/>
    </row>
    <row r="87" ht="60" customHeight="1">
      <c r="A87" s="178" t="inlineStr">
        <is>
          <t>SUDESTE</t>
        </is>
      </c>
      <c r="B87" s="207" t="inlineStr">
        <is>
          <t>MG</t>
        </is>
      </c>
      <c r="C87" s="29" t="inlineStr">
        <is>
          <t>BELO HORIZONTE</t>
        </is>
      </c>
      <c r="D87" s="178" t="inlineStr">
        <is>
          <t>ASSOCIACAO MARIO PENNA</t>
        </is>
      </c>
      <c r="E87" s="208" t="inlineStr">
        <is>
          <t>17513235000180</t>
        </is>
      </c>
      <c r="F87" s="29" t="inlineStr">
        <is>
          <t>ASSOCIACAO MARIO PENNA</t>
        </is>
      </c>
      <c r="G87" s="254" t="inlineStr">
        <is>
          <t>2200457</t>
        </is>
      </c>
      <c r="H87" s="210" t="n"/>
      <c r="I87" s="210" t="n"/>
      <c r="J87" s="210" t="n"/>
      <c r="K87" s="210" t="inlineStr">
        <is>
          <t>Indireta</t>
        </is>
      </c>
      <c r="L87" s="211" t="inlineStr">
        <is>
          <t>Transferegov/SEI</t>
        </is>
      </c>
      <c r="M87" s="211" t="inlineStr">
        <is>
          <t>Convênio</t>
        </is>
      </c>
      <c r="N87" s="207" t="n">
        <v>2023</v>
      </c>
      <c r="O87" s="207" t="n">
        <v>947098</v>
      </c>
      <c r="P87" s="207" t="n">
        <v>91751323001</v>
      </c>
      <c r="Q87" s="210" t="n"/>
      <c r="R87" s="178" t="n"/>
      <c r="S87" s="210" t="n"/>
      <c r="T87" s="29" t="inlineStr">
        <is>
          <t>Máquina Unitarizadora de Medicamentos</t>
        </is>
      </c>
      <c r="U87" s="210" t="n"/>
      <c r="V87" s="210" t="n">
        <v>2</v>
      </c>
      <c r="W87" s="182" t="inlineStr">
        <is>
          <t xml:space="preserve"> UND</t>
        </is>
      </c>
      <c r="X87" s="210" t="inlineStr">
        <is>
          <t>EQUIPAMENTO</t>
        </is>
      </c>
      <c r="Y87" s="178" t="n"/>
      <c r="Z87" s="211" t="inlineStr">
        <is>
          <t xml:space="preserve"> NA</t>
        </is>
      </c>
      <c r="AA87" s="212" t="n"/>
      <c r="AB87" s="212" t="n"/>
      <c r="AC87" s="212" t="n"/>
      <c r="AD87" s="211" t="inlineStr">
        <is>
          <t>NI</t>
        </is>
      </c>
      <c r="AE87" s="211" t="inlineStr">
        <is>
          <t>NI</t>
        </is>
      </c>
      <c r="AF87" s="211" t="inlineStr">
        <is>
          <t>NI</t>
        </is>
      </c>
      <c r="AG87" s="177" t="n">
        <v>539600</v>
      </c>
      <c r="AH87" s="177" t="n"/>
      <c r="AI87" s="212" t="n"/>
      <c r="AJ87" s="182" t="n">
        <v>8535</v>
      </c>
      <c r="AK87" s="183" t="inlineStr">
        <is>
          <t> </t>
        </is>
      </c>
      <c r="AL87" s="183" t="inlineStr">
        <is>
          <t> </t>
        </is>
      </c>
      <c r="AM87" s="183" t="inlineStr">
        <is>
          <t> </t>
        </is>
      </c>
      <c r="AN87" s="183" t="inlineStr">
        <is>
          <t> </t>
        </is>
      </c>
      <c r="AO87" s="183" t="inlineStr">
        <is>
          <t> </t>
        </is>
      </c>
      <c r="AP87" s="183" t="inlineStr">
        <is>
          <t> </t>
        </is>
      </c>
      <c r="AQ87" s="183" t="inlineStr">
        <is>
          <t> </t>
        </is>
      </c>
      <c r="AR87" s="183" t="inlineStr">
        <is>
          <t> </t>
        </is>
      </c>
      <c r="AS87" s="183" t="inlineStr">
        <is>
          <t> </t>
        </is>
      </c>
      <c r="AT87" s="183" t="inlineStr">
        <is>
          <t> </t>
        </is>
      </c>
      <c r="AU87" s="183" t="inlineStr">
        <is>
          <t> </t>
        </is>
      </c>
      <c r="AV87" s="183" t="inlineStr">
        <is>
          <t> </t>
        </is>
      </c>
      <c r="AW87" s="183" t="inlineStr">
        <is>
          <t> </t>
        </is>
      </c>
      <c r="AX87" s="183" t="inlineStr">
        <is>
          <t> </t>
        </is>
      </c>
      <c r="AY87" s="210" t="inlineStr">
        <is>
          <t>EM EXECUÇÃO</t>
        </is>
      </c>
      <c r="AZ87" s="210" t="inlineStr">
        <is>
          <t>NI</t>
        </is>
      </c>
      <c r="BA87" s="210" t="inlineStr">
        <is>
          <t>NI</t>
        </is>
      </c>
      <c r="BB87" s="210" t="inlineStr">
        <is>
          <t>NI</t>
        </is>
      </c>
      <c r="BC87" s="212" t="n"/>
      <c r="BD87" s="210" t="n"/>
      <c r="BE87" s="210" t="n"/>
      <c r="BF87" s="178" t="n"/>
      <c r="BG87" s="210" t="n"/>
      <c r="BH87" s="210" t="n"/>
      <c r="BI87" s="210" t="n"/>
      <c r="BJ87" s="210" t="n"/>
      <c r="BK87" s="210" t="n"/>
      <c r="BL87" s="210" t="n"/>
      <c r="BM87" s="210" t="n"/>
      <c r="BN87" s="210" t="n"/>
      <c r="BO87" s="210" t="n"/>
      <c r="BP87" s="210" t="n"/>
      <c r="BQ87" s="210" t="n"/>
      <c r="BR87" s="210" t="n"/>
      <c r="BS87" s="210" t="n"/>
      <c r="BT87" s="212" t="n"/>
      <c r="BU87" s="177" t="n"/>
    </row>
    <row r="88" ht="60" customHeight="1">
      <c r="A88" s="178" t="inlineStr">
        <is>
          <t>SUDESTE</t>
        </is>
      </c>
      <c r="B88" s="207" t="inlineStr">
        <is>
          <t>MG</t>
        </is>
      </c>
      <c r="C88" s="29" t="inlineStr">
        <is>
          <t>BELO HORIZONTE</t>
        </is>
      </c>
      <c r="D88" s="178" t="inlineStr">
        <is>
          <t>ASSOCIACAO MARIO PENNA</t>
        </is>
      </c>
      <c r="E88" s="208" t="inlineStr">
        <is>
          <t>17513235000180</t>
        </is>
      </c>
      <c r="F88" s="29" t="inlineStr">
        <is>
          <t>ASSOCIACAO MARIO PENNA</t>
        </is>
      </c>
      <c r="G88" s="254" t="inlineStr">
        <is>
          <t>2200457</t>
        </is>
      </c>
      <c r="H88" s="210" t="n"/>
      <c r="I88" s="210" t="n"/>
      <c r="J88" s="210" t="n"/>
      <c r="K88" s="210" t="inlineStr">
        <is>
          <t>Indireta</t>
        </is>
      </c>
      <c r="L88" s="211" t="inlineStr">
        <is>
          <t>Transferegov/SEI</t>
        </is>
      </c>
      <c r="M88" s="211" t="inlineStr">
        <is>
          <t>Convênio</t>
        </is>
      </c>
      <c r="N88" s="207" t="n">
        <v>2023</v>
      </c>
      <c r="O88" s="207" t="n">
        <v>947098</v>
      </c>
      <c r="P88" s="207" t="n">
        <v>91751323001</v>
      </c>
      <c r="Q88" s="210" t="n"/>
      <c r="R88" s="178" t="n"/>
      <c r="S88" s="210" t="n"/>
      <c r="T88" s="29" t="inlineStr">
        <is>
          <t>Microscópio Laboratorial</t>
        </is>
      </c>
      <c r="U88" s="210" t="n"/>
      <c r="V88" s="210" t="n">
        <v>1</v>
      </c>
      <c r="W88" s="182" t="inlineStr">
        <is>
          <t xml:space="preserve"> UND</t>
        </is>
      </c>
      <c r="X88" s="210" t="inlineStr">
        <is>
          <t>EQUIPAMENTO</t>
        </is>
      </c>
      <c r="Y88" s="178" t="n"/>
      <c r="Z88" s="211" t="inlineStr">
        <is>
          <t xml:space="preserve"> NA</t>
        </is>
      </c>
      <c r="AA88" s="212" t="n"/>
      <c r="AB88" s="212" t="n"/>
      <c r="AC88" s="212" t="n"/>
      <c r="AD88" s="211" t="inlineStr">
        <is>
          <t>NI</t>
        </is>
      </c>
      <c r="AE88" s="211" t="inlineStr">
        <is>
          <t>NI</t>
        </is>
      </c>
      <c r="AF88" s="211" t="inlineStr">
        <is>
          <t>NI</t>
        </is>
      </c>
      <c r="AG88" s="177" t="n">
        <v>539600</v>
      </c>
      <c r="AH88" s="177" t="n"/>
      <c r="AI88" s="212" t="n"/>
      <c r="AJ88" s="182" t="n">
        <v>8535</v>
      </c>
      <c r="AK88" s="183" t="inlineStr">
        <is>
          <t> </t>
        </is>
      </c>
      <c r="AL88" s="183" t="inlineStr">
        <is>
          <t> </t>
        </is>
      </c>
      <c r="AM88" s="183" t="inlineStr">
        <is>
          <t> </t>
        </is>
      </c>
      <c r="AN88" s="183" t="inlineStr">
        <is>
          <t> </t>
        </is>
      </c>
      <c r="AO88" s="183" t="inlineStr">
        <is>
          <t> </t>
        </is>
      </c>
      <c r="AP88" s="183" t="inlineStr">
        <is>
          <t> </t>
        </is>
      </c>
      <c r="AQ88" s="183" t="inlineStr">
        <is>
          <t> </t>
        </is>
      </c>
      <c r="AR88" s="183" t="inlineStr">
        <is>
          <t> </t>
        </is>
      </c>
      <c r="AS88" s="183" t="inlineStr">
        <is>
          <t> </t>
        </is>
      </c>
      <c r="AT88" s="183" t="inlineStr">
        <is>
          <t> </t>
        </is>
      </c>
      <c r="AU88" s="183" t="inlineStr">
        <is>
          <t> </t>
        </is>
      </c>
      <c r="AV88" s="183" t="inlineStr">
        <is>
          <t> </t>
        </is>
      </c>
      <c r="AW88" s="183" t="inlineStr">
        <is>
          <t> </t>
        </is>
      </c>
      <c r="AX88" s="183" t="inlineStr">
        <is>
          <t> </t>
        </is>
      </c>
      <c r="AY88" s="210" t="inlineStr">
        <is>
          <t>EM EXECUÇÃO</t>
        </is>
      </c>
      <c r="AZ88" s="210" t="inlineStr">
        <is>
          <t>NI</t>
        </is>
      </c>
      <c r="BA88" s="210" t="inlineStr">
        <is>
          <t>NI</t>
        </is>
      </c>
      <c r="BB88" s="210" t="inlineStr">
        <is>
          <t>NI</t>
        </is>
      </c>
      <c r="BC88" s="212" t="n"/>
      <c r="BD88" s="210" t="n"/>
      <c r="BE88" s="210" t="n"/>
      <c r="BF88" s="178" t="n"/>
      <c r="BG88" s="210" t="n"/>
      <c r="BH88" s="210" t="n"/>
      <c r="BI88" s="210" t="n"/>
      <c r="BJ88" s="210" t="n"/>
      <c r="BK88" s="210" t="n"/>
      <c r="BL88" s="210" t="n"/>
      <c r="BM88" s="210" t="n"/>
      <c r="BN88" s="210" t="n"/>
      <c r="BO88" s="210" t="n"/>
      <c r="BP88" s="210" t="n"/>
      <c r="BQ88" s="210" t="n"/>
      <c r="BR88" s="210" t="n"/>
      <c r="BS88" s="210" t="n"/>
      <c r="BT88" s="212" t="n"/>
      <c r="BU88" s="177" t="n"/>
    </row>
    <row r="89" ht="60" customHeight="1">
      <c r="A89" s="178" t="inlineStr">
        <is>
          <t>SUDESTE</t>
        </is>
      </c>
      <c r="B89" s="207" t="inlineStr">
        <is>
          <t>MG</t>
        </is>
      </c>
      <c r="C89" s="29" t="inlineStr">
        <is>
          <t>BELO HORIZONTE</t>
        </is>
      </c>
      <c r="D89" s="178" t="inlineStr">
        <is>
          <t>ASSOCIACAO MARIO PENNA</t>
        </is>
      </c>
      <c r="E89" s="208" t="inlineStr">
        <is>
          <t>17513235000180</t>
        </is>
      </c>
      <c r="F89" s="29" t="inlineStr">
        <is>
          <t>ASSOCIACAO MARIO PENNA</t>
        </is>
      </c>
      <c r="G89" s="254" t="inlineStr">
        <is>
          <t>2200457</t>
        </is>
      </c>
      <c r="H89" s="210" t="n"/>
      <c r="I89" s="210" t="n"/>
      <c r="J89" s="210" t="n"/>
      <c r="K89" s="210" t="inlineStr">
        <is>
          <t>Indireta</t>
        </is>
      </c>
      <c r="L89" s="211" t="inlineStr">
        <is>
          <t>Transferegov/SEI</t>
        </is>
      </c>
      <c r="M89" s="211" t="inlineStr">
        <is>
          <t>Convênio</t>
        </is>
      </c>
      <c r="N89" s="207" t="n">
        <v>2023</v>
      </c>
      <c r="O89" s="207" t="n">
        <v>947098</v>
      </c>
      <c r="P89" s="207" t="n">
        <v>91751323001</v>
      </c>
      <c r="Q89" s="210" t="n"/>
      <c r="R89" s="178" t="n"/>
      <c r="S89" s="210" t="n"/>
      <c r="T89" s="29" t="inlineStr">
        <is>
          <t>Cardioversor</t>
        </is>
      </c>
      <c r="U89" s="210" t="n"/>
      <c r="V89" s="210" t="n">
        <v>2</v>
      </c>
      <c r="W89" s="182" t="inlineStr">
        <is>
          <t xml:space="preserve"> UND</t>
        </is>
      </c>
      <c r="X89" s="210" t="inlineStr">
        <is>
          <t>EQUIPAMENTO</t>
        </is>
      </c>
      <c r="Y89" s="178" t="n"/>
      <c r="Z89" s="211" t="inlineStr">
        <is>
          <t xml:space="preserve"> NA</t>
        </is>
      </c>
      <c r="AA89" s="212" t="n"/>
      <c r="AB89" s="212" t="n"/>
      <c r="AC89" s="212" t="n"/>
      <c r="AD89" s="211" t="inlineStr">
        <is>
          <t>NI</t>
        </is>
      </c>
      <c r="AE89" s="211" t="inlineStr">
        <is>
          <t>NI</t>
        </is>
      </c>
      <c r="AF89" s="211" t="inlineStr">
        <is>
          <t>NI</t>
        </is>
      </c>
      <c r="AG89" s="177" t="n">
        <v>539600</v>
      </c>
      <c r="AH89" s="177" t="n"/>
      <c r="AI89" s="212" t="n"/>
      <c r="AJ89" s="182" t="n">
        <v>8535</v>
      </c>
      <c r="AK89" s="183" t="inlineStr">
        <is>
          <t> </t>
        </is>
      </c>
      <c r="AL89" s="183" t="inlineStr">
        <is>
          <t> </t>
        </is>
      </c>
      <c r="AM89" s="183" t="inlineStr">
        <is>
          <t> </t>
        </is>
      </c>
      <c r="AN89" s="183" t="inlineStr">
        <is>
          <t> </t>
        </is>
      </c>
      <c r="AO89" s="183" t="inlineStr">
        <is>
          <t> </t>
        </is>
      </c>
      <c r="AP89" s="183" t="inlineStr">
        <is>
          <t> </t>
        </is>
      </c>
      <c r="AQ89" s="183" t="inlineStr">
        <is>
          <t> </t>
        </is>
      </c>
      <c r="AR89" s="183" t="inlineStr">
        <is>
          <t> </t>
        </is>
      </c>
      <c r="AS89" s="183" t="inlineStr">
        <is>
          <t> </t>
        </is>
      </c>
      <c r="AT89" s="183" t="inlineStr">
        <is>
          <t> </t>
        </is>
      </c>
      <c r="AU89" s="183" t="inlineStr">
        <is>
          <t> </t>
        </is>
      </c>
      <c r="AV89" s="183" t="inlineStr">
        <is>
          <t> </t>
        </is>
      </c>
      <c r="AW89" s="183" t="inlineStr">
        <is>
          <t> </t>
        </is>
      </c>
      <c r="AX89" s="183" t="inlineStr">
        <is>
          <t> </t>
        </is>
      </c>
      <c r="AY89" s="210" t="inlineStr">
        <is>
          <t>EM EXECUÇÃO</t>
        </is>
      </c>
      <c r="AZ89" s="210" t="inlineStr">
        <is>
          <t>NI</t>
        </is>
      </c>
      <c r="BA89" s="210" t="inlineStr">
        <is>
          <t>NI</t>
        </is>
      </c>
      <c r="BB89" s="210" t="inlineStr">
        <is>
          <t>NI</t>
        </is>
      </c>
      <c r="BC89" s="212" t="n"/>
      <c r="BD89" s="210" t="n"/>
      <c r="BE89" s="210" t="n"/>
      <c r="BF89" s="178" t="n"/>
      <c r="BG89" s="210" t="n"/>
      <c r="BH89" s="210" t="n"/>
      <c r="BI89" s="210" t="n"/>
      <c r="BJ89" s="210" t="n"/>
      <c r="BK89" s="210" t="n"/>
      <c r="BL89" s="210" t="n"/>
      <c r="BM89" s="210" t="n"/>
      <c r="BN89" s="210" t="n"/>
      <c r="BO89" s="210" t="n"/>
      <c r="BP89" s="210" t="n"/>
      <c r="BQ89" s="210" t="n"/>
      <c r="BR89" s="210" t="n"/>
      <c r="BS89" s="210" t="n"/>
      <c r="BT89" s="212" t="n"/>
      <c r="BU89" s="177" t="n"/>
    </row>
    <row r="90" ht="60" customHeight="1">
      <c r="A90" s="178" t="inlineStr">
        <is>
          <t>SUDESTE</t>
        </is>
      </c>
      <c r="B90" s="207" t="inlineStr">
        <is>
          <t>MG</t>
        </is>
      </c>
      <c r="C90" s="29" t="inlineStr">
        <is>
          <t>BELO HORIZONTE</t>
        </is>
      </c>
      <c r="D90" s="178" t="inlineStr">
        <is>
          <t>ASSOCIACAO MARIO PENNA</t>
        </is>
      </c>
      <c r="E90" s="208" t="inlineStr">
        <is>
          <t>17513235000180</t>
        </is>
      </c>
      <c r="F90" s="29" t="inlineStr">
        <is>
          <t>ASSOCIACAO MARIO PENNA</t>
        </is>
      </c>
      <c r="G90" s="254" t="inlineStr">
        <is>
          <t>2200457</t>
        </is>
      </c>
      <c r="H90" s="210" t="n"/>
      <c r="I90" s="210" t="n"/>
      <c r="J90" s="210" t="n"/>
      <c r="K90" s="210" t="inlineStr">
        <is>
          <t>Indireta</t>
        </is>
      </c>
      <c r="L90" s="211" t="inlineStr">
        <is>
          <t>Transferegov/SEI</t>
        </is>
      </c>
      <c r="M90" s="211" t="inlineStr">
        <is>
          <t>Convênio</t>
        </is>
      </c>
      <c r="N90" s="207" t="n">
        <v>2023</v>
      </c>
      <c r="O90" s="207" t="n">
        <v>949775</v>
      </c>
      <c r="P90" s="207" t="n">
        <v>91751323002</v>
      </c>
      <c r="Q90" s="210" t="n"/>
      <c r="R90" s="178" t="n"/>
      <c r="S90" s="210" t="n"/>
      <c r="T90" s="29" t="inlineStr">
        <is>
          <t>Centrífuga Laboratorial</t>
        </is>
      </c>
      <c r="U90" s="210" t="n"/>
      <c r="V90" s="210" t="n">
        <v>1</v>
      </c>
      <c r="W90" s="182" t="inlineStr">
        <is>
          <t xml:space="preserve"> UND</t>
        </is>
      </c>
      <c r="X90" s="210" t="inlineStr">
        <is>
          <t>EQUIPAMENTO</t>
        </is>
      </c>
      <c r="Y90" s="178" t="n"/>
      <c r="Z90" s="211" t="inlineStr">
        <is>
          <t xml:space="preserve"> NA</t>
        </is>
      </c>
      <c r="AA90" s="212" t="n"/>
      <c r="AB90" s="212" t="n"/>
      <c r="AC90" s="212" t="n"/>
      <c r="AD90" s="211" t="inlineStr">
        <is>
          <t>NI</t>
        </is>
      </c>
      <c r="AE90" s="211" t="inlineStr">
        <is>
          <t>NI</t>
        </is>
      </c>
      <c r="AF90" s="211" t="inlineStr">
        <is>
          <t>NI</t>
        </is>
      </c>
      <c r="AG90" s="177" t="n">
        <v>8821503</v>
      </c>
      <c r="AH90" s="177" t="n"/>
      <c r="AI90" s="212" t="n"/>
      <c r="AJ90" s="182" t="n">
        <v>8535</v>
      </c>
      <c r="AK90" s="183" t="inlineStr">
        <is>
          <t> </t>
        </is>
      </c>
      <c r="AL90" s="183" t="inlineStr">
        <is>
          <t> </t>
        </is>
      </c>
      <c r="AM90" s="183" t="inlineStr">
        <is>
          <t> </t>
        </is>
      </c>
      <c r="AN90" s="183" t="inlineStr">
        <is>
          <t> </t>
        </is>
      </c>
      <c r="AO90" s="183" t="inlineStr">
        <is>
          <t> </t>
        </is>
      </c>
      <c r="AP90" s="183" t="inlineStr">
        <is>
          <t> </t>
        </is>
      </c>
      <c r="AQ90" s="183" t="inlineStr">
        <is>
          <t> </t>
        </is>
      </c>
      <c r="AR90" s="183" t="inlineStr">
        <is>
          <t> </t>
        </is>
      </c>
      <c r="AS90" s="183" t="inlineStr">
        <is>
          <t> </t>
        </is>
      </c>
      <c r="AT90" s="183" t="inlineStr">
        <is>
          <t> </t>
        </is>
      </c>
      <c r="AU90" s="183" t="inlineStr">
        <is>
          <t> </t>
        </is>
      </c>
      <c r="AV90" s="183" t="inlineStr">
        <is>
          <t> </t>
        </is>
      </c>
      <c r="AW90" s="183" t="inlineStr">
        <is>
          <t> </t>
        </is>
      </c>
      <c r="AX90" s="183" t="inlineStr">
        <is>
          <t> </t>
        </is>
      </c>
      <c r="AY90" s="210" t="inlineStr">
        <is>
          <t>EM EXECUÇÃO</t>
        </is>
      </c>
      <c r="AZ90" s="210" t="inlineStr">
        <is>
          <t>NI</t>
        </is>
      </c>
      <c r="BA90" s="210" t="inlineStr">
        <is>
          <t>NI</t>
        </is>
      </c>
      <c r="BB90" s="210" t="inlineStr">
        <is>
          <t>NI</t>
        </is>
      </c>
      <c r="BC90" s="212" t="n"/>
      <c r="BD90" s="210" t="n"/>
      <c r="BE90" s="210" t="n"/>
      <c r="BF90" s="178" t="n"/>
      <c r="BG90" s="210" t="n"/>
      <c r="BH90" s="210" t="n"/>
      <c r="BI90" s="210" t="n"/>
      <c r="BJ90" s="210" t="n"/>
      <c r="BK90" s="210" t="n"/>
      <c r="BL90" s="210" t="n"/>
      <c r="BM90" s="210" t="n"/>
      <c r="BN90" s="210" t="n"/>
      <c r="BO90" s="210" t="n"/>
      <c r="BP90" s="210" t="n"/>
      <c r="BQ90" s="210" t="n"/>
      <c r="BR90" s="210" t="n"/>
      <c r="BS90" s="210" t="n"/>
      <c r="BT90" s="212" t="n"/>
      <c r="BU90" s="177" t="n"/>
    </row>
    <row r="91" ht="60" customHeight="1">
      <c r="A91" s="178" t="inlineStr">
        <is>
          <t>SUDESTE</t>
        </is>
      </c>
      <c r="B91" s="207" t="inlineStr">
        <is>
          <t>MG</t>
        </is>
      </c>
      <c r="C91" s="29" t="inlineStr">
        <is>
          <t>MURIAE</t>
        </is>
      </c>
      <c r="D91" s="178" t="inlineStr">
        <is>
          <t>FUNDACAO CRISTIANO VARELLA</t>
        </is>
      </c>
      <c r="E91" s="208" t="inlineStr">
        <is>
          <t>00961315000103</t>
        </is>
      </c>
      <c r="F91" s="29" t="inlineStr">
        <is>
          <t>FUNDACAO CRISTIANO VARELLA</t>
        </is>
      </c>
      <c r="G91" s="254" t="inlineStr">
        <is>
          <t>2195453</t>
        </is>
      </c>
      <c r="H91" s="210" t="n"/>
      <c r="I91" s="210" t="n"/>
      <c r="J91" s="210" t="n"/>
      <c r="K91" s="210" t="inlineStr">
        <is>
          <t>Indireta</t>
        </is>
      </c>
      <c r="L91" s="211" t="inlineStr">
        <is>
          <t>Transferegov/SEI</t>
        </is>
      </c>
      <c r="M91" s="211" t="inlineStr">
        <is>
          <t>Convênio</t>
        </is>
      </c>
      <c r="N91" s="207" t="n">
        <v>2023</v>
      </c>
      <c r="O91" s="207" t="n">
        <v>949372</v>
      </c>
      <c r="P91" s="207" t="n">
        <v>90096123003</v>
      </c>
      <c r="Q91" s="210" t="n"/>
      <c r="R91" s="178" t="n"/>
      <c r="S91" s="210" t="n"/>
      <c r="T91" s="29" t="inlineStr">
        <is>
          <t>Cama Hospitalar Tipo Fawler Elétrica</t>
        </is>
      </c>
      <c r="U91" s="210" t="n"/>
      <c r="V91" s="210" t="n">
        <v>8</v>
      </c>
      <c r="W91" s="182" t="inlineStr">
        <is>
          <t xml:space="preserve"> UND</t>
        </is>
      </c>
      <c r="X91" s="210" t="inlineStr">
        <is>
          <t>EQUIPAMENTO</t>
        </is>
      </c>
      <c r="Y91" s="178" t="n"/>
      <c r="Z91" s="211" t="inlineStr">
        <is>
          <t xml:space="preserve"> NA</t>
        </is>
      </c>
      <c r="AA91" s="212" t="n"/>
      <c r="AB91" s="212" t="n"/>
      <c r="AC91" s="212" t="n"/>
      <c r="AD91" s="211" t="inlineStr">
        <is>
          <t>NI</t>
        </is>
      </c>
      <c r="AE91" s="211" t="inlineStr">
        <is>
          <t>NI</t>
        </is>
      </c>
      <c r="AF91" s="211" t="inlineStr">
        <is>
          <t>NI</t>
        </is>
      </c>
      <c r="AG91" s="177" t="n">
        <v>2900000</v>
      </c>
      <c r="AH91" s="177" t="n"/>
      <c r="AI91" s="212" t="n"/>
      <c r="AJ91" s="182" t="n">
        <v>8535</v>
      </c>
      <c r="AK91" s="183" t="inlineStr">
        <is>
          <t> </t>
        </is>
      </c>
      <c r="AL91" s="183" t="inlineStr">
        <is>
          <t> </t>
        </is>
      </c>
      <c r="AM91" s="183" t="inlineStr">
        <is>
          <t> </t>
        </is>
      </c>
      <c r="AN91" s="183" t="inlineStr">
        <is>
          <t> </t>
        </is>
      </c>
      <c r="AO91" s="183" t="inlineStr">
        <is>
          <t> </t>
        </is>
      </c>
      <c r="AP91" s="183" t="inlineStr">
        <is>
          <t> </t>
        </is>
      </c>
      <c r="AQ91" s="183" t="inlineStr">
        <is>
          <t> </t>
        </is>
      </c>
      <c r="AR91" s="183" t="inlineStr">
        <is>
          <t> </t>
        </is>
      </c>
      <c r="AS91" s="183" t="inlineStr">
        <is>
          <t> </t>
        </is>
      </c>
      <c r="AT91" s="183" t="inlineStr">
        <is>
          <t> </t>
        </is>
      </c>
      <c r="AU91" s="183" t="inlineStr">
        <is>
          <t> </t>
        </is>
      </c>
      <c r="AV91" s="183" t="inlineStr">
        <is>
          <t> </t>
        </is>
      </c>
      <c r="AW91" s="183" t="inlineStr">
        <is>
          <t> </t>
        </is>
      </c>
      <c r="AX91" s="183" t="inlineStr">
        <is>
          <t> </t>
        </is>
      </c>
      <c r="AY91" s="210" t="inlineStr">
        <is>
          <t>NORMAL</t>
        </is>
      </c>
      <c r="AZ91" s="210" t="inlineStr">
        <is>
          <t>NI</t>
        </is>
      </c>
      <c r="BA91" s="210" t="inlineStr">
        <is>
          <t>NI</t>
        </is>
      </c>
      <c r="BB91" s="210" t="inlineStr">
        <is>
          <t>NI</t>
        </is>
      </c>
      <c r="BC91" s="212" t="n"/>
      <c r="BD91" s="210" t="n"/>
      <c r="BE91" s="210" t="n"/>
      <c r="BF91" s="178" t="n"/>
      <c r="BG91" s="210" t="n"/>
      <c r="BH91" s="210" t="n"/>
      <c r="BI91" s="210" t="n"/>
      <c r="BJ91" s="210" t="n"/>
      <c r="BK91" s="210" t="n"/>
      <c r="BL91" s="210" t="n"/>
      <c r="BM91" s="210" t="n"/>
      <c r="BN91" s="210" t="n"/>
      <c r="BO91" s="210" t="n"/>
      <c r="BP91" s="210" t="n"/>
      <c r="BQ91" s="210" t="n"/>
      <c r="BR91" s="210" t="n"/>
      <c r="BS91" s="210" t="n"/>
      <c r="BT91" s="212" t="n"/>
      <c r="BU91" s="177" t="n"/>
    </row>
    <row r="92" ht="60" customHeight="1">
      <c r="A92" s="178" t="inlineStr">
        <is>
          <t>SUDESTE</t>
        </is>
      </c>
      <c r="B92" s="207" t="inlineStr">
        <is>
          <t>MG</t>
        </is>
      </c>
      <c r="C92" s="29" t="inlineStr">
        <is>
          <t>MURIAE</t>
        </is>
      </c>
      <c r="D92" s="178" t="inlineStr">
        <is>
          <t>FUNDACAO CRISTIANO VARELLA</t>
        </is>
      </c>
      <c r="E92" s="208" t="inlineStr">
        <is>
          <t>00961315000103</t>
        </is>
      </c>
      <c r="F92" s="29" t="inlineStr">
        <is>
          <t>FUNDACAO CRISTIANO VARELLA</t>
        </is>
      </c>
      <c r="G92" s="254" t="inlineStr">
        <is>
          <t>2195453</t>
        </is>
      </c>
      <c r="H92" s="210" t="n"/>
      <c r="I92" s="210" t="n"/>
      <c r="J92" s="210" t="n"/>
      <c r="K92" s="210" t="inlineStr">
        <is>
          <t>Indireta</t>
        </is>
      </c>
      <c r="L92" s="211" t="inlineStr">
        <is>
          <t>Transferegov/SEI</t>
        </is>
      </c>
      <c r="M92" s="211" t="inlineStr">
        <is>
          <t>Convênio</t>
        </is>
      </c>
      <c r="N92" s="207" t="n">
        <v>2023</v>
      </c>
      <c r="O92" s="207" t="n">
        <v>949372</v>
      </c>
      <c r="P92" s="207" t="n">
        <v>90096123003</v>
      </c>
      <c r="Q92" s="210" t="n"/>
      <c r="R92" s="178" t="n"/>
      <c r="S92" s="210" t="n"/>
      <c r="T92" s="29" t="inlineStr">
        <is>
          <t>Aparelho de Raios X - Móvel</t>
        </is>
      </c>
      <c r="U92" s="210" t="n"/>
      <c r="V92" s="210" t="n">
        <v>1</v>
      </c>
      <c r="W92" s="182" t="inlineStr">
        <is>
          <t xml:space="preserve"> UND</t>
        </is>
      </c>
      <c r="X92" s="210" t="inlineStr">
        <is>
          <t>EQUIPAMENTO</t>
        </is>
      </c>
      <c r="Y92" s="178" t="n"/>
      <c r="Z92" s="211" t="inlineStr">
        <is>
          <t xml:space="preserve"> NA</t>
        </is>
      </c>
      <c r="AA92" s="212" t="n"/>
      <c r="AB92" s="212" t="n"/>
      <c r="AC92" s="212" t="n"/>
      <c r="AD92" s="211" t="inlineStr">
        <is>
          <t>NI</t>
        </is>
      </c>
      <c r="AE92" s="211" t="inlineStr">
        <is>
          <t>NI</t>
        </is>
      </c>
      <c r="AF92" s="211" t="inlineStr">
        <is>
          <t>NI</t>
        </is>
      </c>
      <c r="AG92" s="177" t="n">
        <v>2900000</v>
      </c>
      <c r="AH92" s="177" t="n"/>
      <c r="AI92" s="212" t="n"/>
      <c r="AJ92" s="182" t="n">
        <v>8535</v>
      </c>
      <c r="AK92" s="183" t="inlineStr">
        <is>
          <t> </t>
        </is>
      </c>
      <c r="AL92" s="183" t="inlineStr">
        <is>
          <t> </t>
        </is>
      </c>
      <c r="AM92" s="183" t="inlineStr">
        <is>
          <t> </t>
        </is>
      </c>
      <c r="AN92" s="183" t="inlineStr">
        <is>
          <t> </t>
        </is>
      </c>
      <c r="AO92" s="183" t="inlineStr">
        <is>
          <t> </t>
        </is>
      </c>
      <c r="AP92" s="183" t="inlineStr">
        <is>
          <t> </t>
        </is>
      </c>
      <c r="AQ92" s="183" t="inlineStr">
        <is>
          <t> </t>
        </is>
      </c>
      <c r="AR92" s="183" t="inlineStr">
        <is>
          <t> </t>
        </is>
      </c>
      <c r="AS92" s="183" t="inlineStr">
        <is>
          <t> </t>
        </is>
      </c>
      <c r="AT92" s="183" t="inlineStr">
        <is>
          <t> </t>
        </is>
      </c>
      <c r="AU92" s="183" t="inlineStr">
        <is>
          <t> </t>
        </is>
      </c>
      <c r="AV92" s="183" t="inlineStr">
        <is>
          <t> </t>
        </is>
      </c>
      <c r="AW92" s="183" t="inlineStr">
        <is>
          <t> </t>
        </is>
      </c>
      <c r="AX92" s="183" t="inlineStr">
        <is>
          <t> </t>
        </is>
      </c>
      <c r="AY92" s="210" t="inlineStr">
        <is>
          <t>NORMAL</t>
        </is>
      </c>
      <c r="AZ92" s="210" t="inlineStr">
        <is>
          <t>NI</t>
        </is>
      </c>
      <c r="BA92" s="210" t="inlineStr">
        <is>
          <t>NI</t>
        </is>
      </c>
      <c r="BB92" s="210" t="inlineStr">
        <is>
          <t>NI</t>
        </is>
      </c>
      <c r="BC92" s="212" t="n"/>
      <c r="BD92" s="210" t="n"/>
      <c r="BE92" s="210" t="n"/>
      <c r="BF92" s="178" t="n"/>
      <c r="BG92" s="210" t="n"/>
      <c r="BH92" s="210" t="n"/>
      <c r="BI92" s="210" t="n"/>
      <c r="BJ92" s="210" t="n"/>
      <c r="BK92" s="210" t="n"/>
      <c r="BL92" s="210" t="n"/>
      <c r="BM92" s="210" t="n"/>
      <c r="BN92" s="210" t="n"/>
      <c r="BO92" s="210" t="n"/>
      <c r="BP92" s="210" t="n"/>
      <c r="BQ92" s="210" t="n"/>
      <c r="BR92" s="210" t="n"/>
      <c r="BS92" s="210" t="n"/>
      <c r="BT92" s="212" t="n"/>
      <c r="BU92" s="177" t="n"/>
    </row>
    <row r="93" ht="60" customHeight="1">
      <c r="A93" s="178" t="inlineStr">
        <is>
          <t>SUDESTE</t>
        </is>
      </c>
      <c r="B93" s="207" t="inlineStr">
        <is>
          <t>MG</t>
        </is>
      </c>
      <c r="C93" s="29" t="inlineStr">
        <is>
          <t>MURIAE</t>
        </is>
      </c>
      <c r="D93" s="178" t="inlineStr">
        <is>
          <t>FUNDACAO CRISTIANO VARELLA</t>
        </is>
      </c>
      <c r="E93" s="208" t="inlineStr">
        <is>
          <t>00961315000103</t>
        </is>
      </c>
      <c r="F93" s="29" t="inlineStr">
        <is>
          <t>FUNDACAO CRISTIANO VARELLA</t>
        </is>
      </c>
      <c r="G93" s="254" t="inlineStr">
        <is>
          <t>2195453</t>
        </is>
      </c>
      <c r="H93" s="210" t="n"/>
      <c r="I93" s="210" t="n"/>
      <c r="J93" s="210" t="n"/>
      <c r="K93" s="210" t="inlineStr">
        <is>
          <t>Indireta</t>
        </is>
      </c>
      <c r="L93" s="211" t="inlineStr">
        <is>
          <t>Transferegov/SEI</t>
        </is>
      </c>
      <c r="M93" s="211" t="inlineStr">
        <is>
          <t>Convênio</t>
        </is>
      </c>
      <c r="N93" s="207" t="n">
        <v>2023</v>
      </c>
      <c r="O93" s="207" t="n">
        <v>949372</v>
      </c>
      <c r="P93" s="207" t="n">
        <v>90096123003</v>
      </c>
      <c r="Q93" s="210" t="n"/>
      <c r="R93" s="178" t="n"/>
      <c r="S93" s="210" t="n"/>
      <c r="T93" s="29" t="inlineStr">
        <is>
          <t>Lavadora de Endoscópio</t>
        </is>
      </c>
      <c r="U93" s="210" t="n"/>
      <c r="V93" s="210" t="n">
        <v>2</v>
      </c>
      <c r="W93" s="182" t="inlineStr">
        <is>
          <t xml:space="preserve"> UND</t>
        </is>
      </c>
      <c r="X93" s="210" t="inlineStr">
        <is>
          <t>EQUIPAMENTO</t>
        </is>
      </c>
      <c r="Y93" s="178" t="n"/>
      <c r="Z93" s="211" t="inlineStr">
        <is>
          <t xml:space="preserve"> NA</t>
        </is>
      </c>
      <c r="AA93" s="212" t="n"/>
      <c r="AB93" s="212" t="n"/>
      <c r="AC93" s="212" t="n"/>
      <c r="AD93" s="211" t="inlineStr">
        <is>
          <t>NI</t>
        </is>
      </c>
      <c r="AE93" s="211" t="inlineStr">
        <is>
          <t>NI</t>
        </is>
      </c>
      <c r="AF93" s="211" t="inlineStr">
        <is>
          <t>NI</t>
        </is>
      </c>
      <c r="AG93" s="177" t="n">
        <v>2900000</v>
      </c>
      <c r="AH93" s="177" t="n"/>
      <c r="AI93" s="212" t="n"/>
      <c r="AJ93" s="182" t="n">
        <v>8535</v>
      </c>
      <c r="AK93" s="183" t="inlineStr">
        <is>
          <t> </t>
        </is>
      </c>
      <c r="AL93" s="183" t="inlineStr">
        <is>
          <t> </t>
        </is>
      </c>
      <c r="AM93" s="183" t="inlineStr">
        <is>
          <t> </t>
        </is>
      </c>
      <c r="AN93" s="183" t="inlineStr">
        <is>
          <t> </t>
        </is>
      </c>
      <c r="AO93" s="183" t="inlineStr">
        <is>
          <t> </t>
        </is>
      </c>
      <c r="AP93" s="183" t="inlineStr">
        <is>
          <t> </t>
        </is>
      </c>
      <c r="AQ93" s="183" t="inlineStr">
        <is>
          <t> </t>
        </is>
      </c>
      <c r="AR93" s="183" t="inlineStr">
        <is>
          <t> </t>
        </is>
      </c>
      <c r="AS93" s="183" t="inlineStr">
        <is>
          <t> </t>
        </is>
      </c>
      <c r="AT93" s="183" t="inlineStr">
        <is>
          <t> </t>
        </is>
      </c>
      <c r="AU93" s="183" t="inlineStr">
        <is>
          <t> </t>
        </is>
      </c>
      <c r="AV93" s="183" t="inlineStr">
        <is>
          <t> </t>
        </is>
      </c>
      <c r="AW93" s="183" t="inlineStr">
        <is>
          <t> </t>
        </is>
      </c>
      <c r="AX93" s="183" t="inlineStr">
        <is>
          <t> </t>
        </is>
      </c>
      <c r="AY93" s="210" t="inlineStr">
        <is>
          <t>NORMAL</t>
        </is>
      </c>
      <c r="AZ93" s="210" t="inlineStr">
        <is>
          <t>NI</t>
        </is>
      </c>
      <c r="BA93" s="210" t="inlineStr">
        <is>
          <t>NI</t>
        </is>
      </c>
      <c r="BB93" s="210" t="inlineStr">
        <is>
          <t>NI</t>
        </is>
      </c>
      <c r="BC93" s="212" t="n"/>
      <c r="BD93" s="210" t="n"/>
      <c r="BE93" s="210" t="n"/>
      <c r="BF93" s="178" t="n"/>
      <c r="BG93" s="210" t="n"/>
      <c r="BH93" s="210" t="n"/>
      <c r="BI93" s="210" t="n"/>
      <c r="BJ93" s="210" t="n"/>
      <c r="BK93" s="210" t="n"/>
      <c r="BL93" s="210" t="n"/>
      <c r="BM93" s="210" t="n"/>
      <c r="BN93" s="210" t="n"/>
      <c r="BO93" s="210" t="n"/>
      <c r="BP93" s="210" t="n"/>
      <c r="BQ93" s="210" t="n"/>
      <c r="BR93" s="210" t="n"/>
      <c r="BS93" s="210" t="n"/>
      <c r="BT93" s="212" t="n"/>
      <c r="BU93" s="177" t="n"/>
    </row>
    <row r="94" ht="60" customHeight="1">
      <c r="A94" s="178" t="inlineStr">
        <is>
          <t>SUDESTE</t>
        </is>
      </c>
      <c r="B94" s="207" t="inlineStr">
        <is>
          <t>MG</t>
        </is>
      </c>
      <c r="C94" s="29" t="inlineStr">
        <is>
          <t>MURIAE</t>
        </is>
      </c>
      <c r="D94" s="178" t="inlineStr">
        <is>
          <t>FUNDACAO CRISTIANO VARELLA</t>
        </is>
      </c>
      <c r="E94" s="208" t="inlineStr">
        <is>
          <t>00961315000103</t>
        </is>
      </c>
      <c r="F94" s="29" t="inlineStr">
        <is>
          <t>FUNDACAO CRISTIANO VARELLA</t>
        </is>
      </c>
      <c r="G94" s="254" t="inlineStr">
        <is>
          <t>2195453</t>
        </is>
      </c>
      <c r="H94" s="210" t="n"/>
      <c r="I94" s="210" t="n"/>
      <c r="J94" s="210" t="n"/>
      <c r="K94" s="210" t="inlineStr">
        <is>
          <t>Indireta</t>
        </is>
      </c>
      <c r="L94" s="211" t="inlineStr">
        <is>
          <t>Transferegov/SEI</t>
        </is>
      </c>
      <c r="M94" s="211" t="inlineStr">
        <is>
          <t>Convênio</t>
        </is>
      </c>
      <c r="N94" s="207" t="n">
        <v>2023</v>
      </c>
      <c r="O94" s="207" t="n">
        <v>949372</v>
      </c>
      <c r="P94" s="207" t="n">
        <v>90096123003</v>
      </c>
      <c r="Q94" s="210" t="n"/>
      <c r="R94" s="178" t="n"/>
      <c r="S94" s="210" t="n"/>
      <c r="T94" s="29" t="inlineStr">
        <is>
          <t>Endoscópio Rígido</t>
        </is>
      </c>
      <c r="U94" s="210" t="n"/>
      <c r="V94" s="210" t="n">
        <v>1</v>
      </c>
      <c r="W94" s="182" t="inlineStr">
        <is>
          <t xml:space="preserve"> UND</t>
        </is>
      </c>
      <c r="X94" s="210" t="inlineStr">
        <is>
          <t>EQUIPAMENTO</t>
        </is>
      </c>
      <c r="Y94" s="178" t="n"/>
      <c r="Z94" s="211" t="inlineStr">
        <is>
          <t xml:space="preserve"> NA</t>
        </is>
      </c>
      <c r="AA94" s="212" t="n"/>
      <c r="AB94" s="212" t="n"/>
      <c r="AC94" s="212" t="n"/>
      <c r="AD94" s="211" t="inlineStr">
        <is>
          <t>NI</t>
        </is>
      </c>
      <c r="AE94" s="211" t="inlineStr">
        <is>
          <t>NI</t>
        </is>
      </c>
      <c r="AF94" s="211" t="inlineStr">
        <is>
          <t>NI</t>
        </is>
      </c>
      <c r="AG94" s="177" t="n">
        <v>2900000</v>
      </c>
      <c r="AH94" s="177" t="n"/>
      <c r="AI94" s="212" t="n"/>
      <c r="AJ94" s="182" t="n">
        <v>8535</v>
      </c>
      <c r="AK94" s="183" t="inlineStr">
        <is>
          <t> </t>
        </is>
      </c>
      <c r="AL94" s="183" t="inlineStr">
        <is>
          <t> </t>
        </is>
      </c>
      <c r="AM94" s="183" t="inlineStr">
        <is>
          <t> </t>
        </is>
      </c>
      <c r="AN94" s="183" t="inlineStr">
        <is>
          <t> </t>
        </is>
      </c>
      <c r="AO94" s="183" t="inlineStr">
        <is>
          <t> </t>
        </is>
      </c>
      <c r="AP94" s="183" t="inlineStr">
        <is>
          <t> </t>
        </is>
      </c>
      <c r="AQ94" s="183" t="inlineStr">
        <is>
          <t> </t>
        </is>
      </c>
      <c r="AR94" s="183" t="inlineStr">
        <is>
          <t> </t>
        </is>
      </c>
      <c r="AS94" s="183" t="inlineStr">
        <is>
          <t> </t>
        </is>
      </c>
      <c r="AT94" s="183" t="inlineStr">
        <is>
          <t> </t>
        </is>
      </c>
      <c r="AU94" s="183" t="inlineStr">
        <is>
          <t> </t>
        </is>
      </c>
      <c r="AV94" s="183" t="inlineStr">
        <is>
          <t> </t>
        </is>
      </c>
      <c r="AW94" s="183" t="inlineStr">
        <is>
          <t> </t>
        </is>
      </c>
      <c r="AX94" s="183" t="inlineStr">
        <is>
          <t> </t>
        </is>
      </c>
      <c r="AY94" s="210" t="inlineStr">
        <is>
          <t>NORMAL</t>
        </is>
      </c>
      <c r="AZ94" s="210" t="inlineStr">
        <is>
          <t>NI</t>
        </is>
      </c>
      <c r="BA94" s="210" t="inlineStr">
        <is>
          <t>NI</t>
        </is>
      </c>
      <c r="BB94" s="210" t="inlineStr">
        <is>
          <t>NI</t>
        </is>
      </c>
      <c r="BC94" s="212" t="n"/>
      <c r="BD94" s="210" t="n"/>
      <c r="BE94" s="210" t="n"/>
      <c r="BF94" s="178" t="n"/>
      <c r="BG94" s="210" t="n"/>
      <c r="BH94" s="210" t="n"/>
      <c r="BI94" s="210" t="n"/>
      <c r="BJ94" s="210" t="n"/>
      <c r="BK94" s="210" t="n"/>
      <c r="BL94" s="210" t="n"/>
      <c r="BM94" s="210" t="n"/>
      <c r="BN94" s="210" t="n"/>
      <c r="BO94" s="210" t="n"/>
      <c r="BP94" s="210" t="n"/>
      <c r="BQ94" s="210" t="n"/>
      <c r="BR94" s="210" t="n"/>
      <c r="BS94" s="210" t="n"/>
      <c r="BT94" s="212" t="n"/>
      <c r="BU94" s="177" t="n"/>
    </row>
    <row r="95" ht="60" customHeight="1">
      <c r="A95" s="178" t="inlineStr">
        <is>
          <t>SUDESTE</t>
        </is>
      </c>
      <c r="B95" s="207" t="inlineStr">
        <is>
          <t>MG</t>
        </is>
      </c>
      <c r="C95" s="29" t="inlineStr">
        <is>
          <t>MURIAE</t>
        </is>
      </c>
      <c r="D95" s="178" t="inlineStr">
        <is>
          <t>FUNDACAO CRISTIANO VARELLA</t>
        </is>
      </c>
      <c r="E95" s="208" t="inlineStr">
        <is>
          <t>00961315000103</t>
        </is>
      </c>
      <c r="F95" s="29" t="inlineStr">
        <is>
          <t>FUNDACAO CRISTIANO VARELLA</t>
        </is>
      </c>
      <c r="G95" s="254" t="inlineStr">
        <is>
          <t>2195453</t>
        </is>
      </c>
      <c r="H95" s="210" t="n"/>
      <c r="I95" s="210" t="n"/>
      <c r="J95" s="210" t="n"/>
      <c r="K95" s="210" t="inlineStr">
        <is>
          <t>Indireta</t>
        </is>
      </c>
      <c r="L95" s="211" t="inlineStr">
        <is>
          <t>Transferegov/SEI</t>
        </is>
      </c>
      <c r="M95" s="211" t="inlineStr">
        <is>
          <t>Convênio</t>
        </is>
      </c>
      <c r="N95" s="207" t="n">
        <v>2023</v>
      </c>
      <c r="O95" s="207" t="n">
        <v>949372</v>
      </c>
      <c r="P95" s="207" t="n">
        <v>90096123003</v>
      </c>
      <c r="Q95" s="210" t="n"/>
      <c r="R95" s="178" t="n"/>
      <c r="S95" s="210" t="n"/>
      <c r="T95" s="29" t="inlineStr">
        <is>
          <t>Mesa Cirúrgica Elétrica</t>
        </is>
      </c>
      <c r="U95" s="210" t="n"/>
      <c r="V95" s="210" t="n">
        <v>2</v>
      </c>
      <c r="W95" s="182" t="inlineStr">
        <is>
          <t xml:space="preserve"> UND</t>
        </is>
      </c>
      <c r="X95" s="210" t="inlineStr">
        <is>
          <t>EQUIPAMENTO</t>
        </is>
      </c>
      <c r="Y95" s="178" t="n"/>
      <c r="Z95" s="211" t="inlineStr">
        <is>
          <t xml:space="preserve"> NA</t>
        </is>
      </c>
      <c r="AA95" s="212" t="n"/>
      <c r="AB95" s="212" t="n"/>
      <c r="AC95" s="212" t="n"/>
      <c r="AD95" s="211" t="inlineStr">
        <is>
          <t>NI</t>
        </is>
      </c>
      <c r="AE95" s="211" t="inlineStr">
        <is>
          <t>NI</t>
        </is>
      </c>
      <c r="AF95" s="211" t="inlineStr">
        <is>
          <t>NI</t>
        </is>
      </c>
      <c r="AG95" s="177" t="n">
        <v>2900000</v>
      </c>
      <c r="AH95" s="177" t="n"/>
      <c r="AI95" s="212" t="n"/>
      <c r="AJ95" s="182" t="n">
        <v>8535</v>
      </c>
      <c r="AK95" s="183" t="inlineStr">
        <is>
          <t> </t>
        </is>
      </c>
      <c r="AL95" s="183" t="inlineStr">
        <is>
          <t> </t>
        </is>
      </c>
      <c r="AM95" s="183" t="inlineStr">
        <is>
          <t> </t>
        </is>
      </c>
      <c r="AN95" s="183" t="inlineStr">
        <is>
          <t> </t>
        </is>
      </c>
      <c r="AO95" s="183" t="inlineStr">
        <is>
          <t> </t>
        </is>
      </c>
      <c r="AP95" s="183" t="inlineStr">
        <is>
          <t> </t>
        </is>
      </c>
      <c r="AQ95" s="183" t="inlineStr">
        <is>
          <t> </t>
        </is>
      </c>
      <c r="AR95" s="183" t="inlineStr">
        <is>
          <t> </t>
        </is>
      </c>
      <c r="AS95" s="183" t="inlineStr">
        <is>
          <t> </t>
        </is>
      </c>
      <c r="AT95" s="183" t="inlineStr">
        <is>
          <t> </t>
        </is>
      </c>
      <c r="AU95" s="183" t="inlineStr">
        <is>
          <t> </t>
        </is>
      </c>
      <c r="AV95" s="183" t="inlineStr">
        <is>
          <t> </t>
        </is>
      </c>
      <c r="AW95" s="183" t="inlineStr">
        <is>
          <t> </t>
        </is>
      </c>
      <c r="AX95" s="183" t="inlineStr">
        <is>
          <t> </t>
        </is>
      </c>
      <c r="AY95" s="210" t="inlineStr">
        <is>
          <t>NORMAL</t>
        </is>
      </c>
      <c r="AZ95" s="210" t="inlineStr">
        <is>
          <t>NI</t>
        </is>
      </c>
      <c r="BA95" s="210" t="inlineStr">
        <is>
          <t>NI</t>
        </is>
      </c>
      <c r="BB95" s="210" t="inlineStr">
        <is>
          <t>NI</t>
        </is>
      </c>
      <c r="BC95" s="212" t="n"/>
      <c r="BD95" s="210" t="n"/>
      <c r="BE95" s="210" t="n"/>
      <c r="BF95" s="178" t="n"/>
      <c r="BG95" s="210" t="n"/>
      <c r="BH95" s="210" t="n"/>
      <c r="BI95" s="210" t="n"/>
      <c r="BJ95" s="210" t="n"/>
      <c r="BK95" s="210" t="n"/>
      <c r="BL95" s="210" t="n"/>
      <c r="BM95" s="210" t="n"/>
      <c r="BN95" s="210" t="n"/>
      <c r="BO95" s="210" t="n"/>
      <c r="BP95" s="210" t="n"/>
      <c r="BQ95" s="210" t="n"/>
      <c r="BR95" s="210" t="n"/>
      <c r="BS95" s="210" t="n"/>
      <c r="BT95" s="212" t="n"/>
      <c r="BU95" s="177" t="n"/>
    </row>
    <row r="96" ht="60" customHeight="1">
      <c r="A96" s="178" t="inlineStr">
        <is>
          <t>SUDESTE</t>
        </is>
      </c>
      <c r="B96" s="207" t="inlineStr">
        <is>
          <t>MG</t>
        </is>
      </c>
      <c r="C96" s="29" t="inlineStr">
        <is>
          <t>MURIAE</t>
        </is>
      </c>
      <c r="D96" s="178" t="inlineStr">
        <is>
          <t>FUNDACAO CRISTIANO VARELLA</t>
        </is>
      </c>
      <c r="E96" s="208" t="inlineStr">
        <is>
          <t>00961315000103</t>
        </is>
      </c>
      <c r="F96" s="29" t="inlineStr">
        <is>
          <t>FUNDACAO CRISTIANO VARELLA</t>
        </is>
      </c>
      <c r="G96" s="254" t="inlineStr">
        <is>
          <t>2195453</t>
        </is>
      </c>
      <c r="H96" s="210" t="n"/>
      <c r="I96" s="210" t="n"/>
      <c r="J96" s="210" t="n"/>
      <c r="K96" s="210" t="inlineStr">
        <is>
          <t>Indireta</t>
        </is>
      </c>
      <c r="L96" s="211" t="inlineStr">
        <is>
          <t>Transferegov/SEI</t>
        </is>
      </c>
      <c r="M96" s="211" t="inlineStr">
        <is>
          <t>Convênio</t>
        </is>
      </c>
      <c r="N96" s="207" t="n">
        <v>2023</v>
      </c>
      <c r="O96" s="207" t="n">
        <v>949372</v>
      </c>
      <c r="P96" s="207" t="n">
        <v>90096123003</v>
      </c>
      <c r="Q96" s="210" t="n"/>
      <c r="R96" s="178" t="n"/>
      <c r="S96" s="210" t="n"/>
      <c r="T96" s="29" t="inlineStr">
        <is>
          <t>Sistema de Microscopia Cirúrgica com Vídeo Angiografia</t>
        </is>
      </c>
      <c r="U96" s="210" t="n"/>
      <c r="V96" s="210" t="n">
        <v>1</v>
      </c>
      <c r="W96" s="182" t="inlineStr">
        <is>
          <t xml:space="preserve"> UND</t>
        </is>
      </c>
      <c r="X96" s="210" t="inlineStr">
        <is>
          <t>EQUIPAMENTO</t>
        </is>
      </c>
      <c r="Y96" s="178" t="n"/>
      <c r="Z96" s="211" t="inlineStr">
        <is>
          <t xml:space="preserve"> NA</t>
        </is>
      </c>
      <c r="AA96" s="212" t="n"/>
      <c r="AB96" s="212" t="n"/>
      <c r="AC96" s="212" t="n"/>
      <c r="AD96" s="211" t="inlineStr">
        <is>
          <t>NI</t>
        </is>
      </c>
      <c r="AE96" s="211" t="inlineStr">
        <is>
          <t>NI</t>
        </is>
      </c>
      <c r="AF96" s="211" t="inlineStr">
        <is>
          <t>NI</t>
        </is>
      </c>
      <c r="AG96" s="177" t="n">
        <v>2900000</v>
      </c>
      <c r="AH96" s="177" t="n"/>
      <c r="AI96" s="212" t="n"/>
      <c r="AJ96" s="182" t="n">
        <v>8535</v>
      </c>
      <c r="AK96" s="183" t="inlineStr">
        <is>
          <t> </t>
        </is>
      </c>
      <c r="AL96" s="183" t="inlineStr">
        <is>
          <t> </t>
        </is>
      </c>
      <c r="AM96" s="183" t="inlineStr">
        <is>
          <t> </t>
        </is>
      </c>
      <c r="AN96" s="183" t="inlineStr">
        <is>
          <t> </t>
        </is>
      </c>
      <c r="AO96" s="183" t="inlineStr">
        <is>
          <t> </t>
        </is>
      </c>
      <c r="AP96" s="183" t="inlineStr">
        <is>
          <t> </t>
        </is>
      </c>
      <c r="AQ96" s="183" t="inlineStr">
        <is>
          <t> </t>
        </is>
      </c>
      <c r="AR96" s="183" t="inlineStr">
        <is>
          <t> </t>
        </is>
      </c>
      <c r="AS96" s="183" t="inlineStr">
        <is>
          <t> </t>
        </is>
      </c>
      <c r="AT96" s="183" t="inlineStr">
        <is>
          <t> </t>
        </is>
      </c>
      <c r="AU96" s="183" t="inlineStr">
        <is>
          <t> </t>
        </is>
      </c>
      <c r="AV96" s="183" t="inlineStr">
        <is>
          <t> </t>
        </is>
      </c>
      <c r="AW96" s="183" t="inlineStr">
        <is>
          <t> </t>
        </is>
      </c>
      <c r="AX96" s="183" t="inlineStr">
        <is>
          <t> </t>
        </is>
      </c>
      <c r="AY96" s="210" t="inlineStr">
        <is>
          <t>NORMAL</t>
        </is>
      </c>
      <c r="AZ96" s="210" t="inlineStr">
        <is>
          <t>NI</t>
        </is>
      </c>
      <c r="BA96" s="210" t="inlineStr">
        <is>
          <t>NI</t>
        </is>
      </c>
      <c r="BB96" s="210" t="inlineStr">
        <is>
          <t>NI</t>
        </is>
      </c>
      <c r="BC96" s="212" t="n"/>
      <c r="BD96" s="210" t="n"/>
      <c r="BE96" s="210" t="n"/>
      <c r="BF96" s="178" t="n"/>
      <c r="BG96" s="210" t="n"/>
      <c r="BH96" s="210" t="n"/>
      <c r="BI96" s="210" t="n"/>
      <c r="BJ96" s="210" t="n"/>
      <c r="BK96" s="210" t="n"/>
      <c r="BL96" s="210" t="n"/>
      <c r="BM96" s="210" t="n"/>
      <c r="BN96" s="210" t="n"/>
      <c r="BO96" s="210" t="n"/>
      <c r="BP96" s="210" t="n"/>
      <c r="BQ96" s="210" t="n"/>
      <c r="BR96" s="210" t="n"/>
      <c r="BS96" s="210" t="n"/>
      <c r="BT96" s="212" t="n"/>
      <c r="BU96" s="177" t="n"/>
    </row>
    <row r="97" ht="60" customHeight="1">
      <c r="A97" s="178" t="inlineStr">
        <is>
          <t>SUDESTE</t>
        </is>
      </c>
      <c r="B97" s="207" t="inlineStr">
        <is>
          <t>MG</t>
        </is>
      </c>
      <c r="C97" s="29" t="inlineStr">
        <is>
          <t>MURIAE</t>
        </is>
      </c>
      <c r="D97" s="178" t="inlineStr">
        <is>
          <t>FUNDACAO CRISTIANO VARELLA</t>
        </is>
      </c>
      <c r="E97" s="208" t="inlineStr">
        <is>
          <t>00961315000103</t>
        </is>
      </c>
      <c r="F97" s="29" t="inlineStr">
        <is>
          <t>FUNDACAO CRISTIANO VARELLA</t>
        </is>
      </c>
      <c r="G97" s="254" t="inlineStr">
        <is>
          <t>2195453</t>
        </is>
      </c>
      <c r="H97" s="210" t="n"/>
      <c r="I97" s="210" t="n"/>
      <c r="J97" s="210" t="n"/>
      <c r="K97" s="210" t="inlineStr">
        <is>
          <t>Indireta</t>
        </is>
      </c>
      <c r="L97" s="211" t="inlineStr">
        <is>
          <t>Transferegov/SEI</t>
        </is>
      </c>
      <c r="M97" s="211" t="inlineStr">
        <is>
          <t>Convênio</t>
        </is>
      </c>
      <c r="N97" s="207" t="n">
        <v>2023</v>
      </c>
      <c r="O97" s="207" t="n">
        <v>950115</v>
      </c>
      <c r="P97" s="207" t="n">
        <v>90096123004</v>
      </c>
      <c r="Q97" s="210" t="n"/>
      <c r="R97" s="178" t="n"/>
      <c r="S97" s="210" t="n"/>
      <c r="T97" s="29" t="inlineStr">
        <is>
          <t>Bomba de Infusão de Seringa</t>
        </is>
      </c>
      <c r="U97" s="210" t="n"/>
      <c r="V97" s="210" t="n">
        <v>4</v>
      </c>
      <c r="W97" s="182" t="inlineStr">
        <is>
          <t xml:space="preserve"> UND</t>
        </is>
      </c>
      <c r="X97" s="210" t="inlineStr">
        <is>
          <t>EQUIPAMENTO</t>
        </is>
      </c>
      <c r="Y97" s="178" t="n"/>
      <c r="Z97" s="211" t="inlineStr">
        <is>
          <t xml:space="preserve"> NA</t>
        </is>
      </c>
      <c r="AA97" s="212" t="n"/>
      <c r="AB97" s="212" t="n"/>
      <c r="AC97" s="212" t="n"/>
      <c r="AD97" s="211" t="inlineStr">
        <is>
          <t>NI</t>
        </is>
      </c>
      <c r="AE97" s="211" t="inlineStr">
        <is>
          <t>NI</t>
        </is>
      </c>
      <c r="AF97" s="211" t="inlineStr">
        <is>
          <t>NI</t>
        </is>
      </c>
      <c r="AG97" s="177" t="n">
        <v>3215250</v>
      </c>
      <c r="AH97" s="177" t="n"/>
      <c r="AI97" s="212" t="n"/>
      <c r="AJ97" s="182" t="n">
        <v>8535</v>
      </c>
      <c r="AK97" s="183" t="inlineStr">
        <is>
          <t> </t>
        </is>
      </c>
      <c r="AL97" s="183" t="inlineStr">
        <is>
          <t> </t>
        </is>
      </c>
      <c r="AM97" s="183" t="inlineStr">
        <is>
          <t> </t>
        </is>
      </c>
      <c r="AN97" s="183" t="inlineStr">
        <is>
          <t> </t>
        </is>
      </c>
      <c r="AO97" s="183" t="inlineStr">
        <is>
          <t> </t>
        </is>
      </c>
      <c r="AP97" s="183" t="inlineStr">
        <is>
          <t> </t>
        </is>
      </c>
      <c r="AQ97" s="183" t="inlineStr">
        <is>
          <t> </t>
        </is>
      </c>
      <c r="AR97" s="183" t="inlineStr">
        <is>
          <t> </t>
        </is>
      </c>
      <c r="AS97" s="183" t="inlineStr">
        <is>
          <t> </t>
        </is>
      </c>
      <c r="AT97" s="183" t="inlineStr">
        <is>
          <t> </t>
        </is>
      </c>
      <c r="AU97" s="183" t="inlineStr">
        <is>
          <t> </t>
        </is>
      </c>
      <c r="AV97" s="183" t="inlineStr">
        <is>
          <t> </t>
        </is>
      </c>
      <c r="AW97" s="183" t="inlineStr">
        <is>
          <t> </t>
        </is>
      </c>
      <c r="AX97" s="183" t="inlineStr">
        <is>
          <t> </t>
        </is>
      </c>
      <c r="AY97" s="210" t="inlineStr">
        <is>
          <t>NORMAL</t>
        </is>
      </c>
      <c r="AZ97" s="210" t="inlineStr">
        <is>
          <t>NI</t>
        </is>
      </c>
      <c r="BA97" s="210" t="inlineStr">
        <is>
          <t>NI</t>
        </is>
      </c>
      <c r="BB97" s="210" t="inlineStr">
        <is>
          <t>NI</t>
        </is>
      </c>
      <c r="BC97" s="212" t="n"/>
      <c r="BD97" s="210" t="n"/>
      <c r="BE97" s="210" t="n"/>
      <c r="BF97" s="178" t="n"/>
      <c r="BG97" s="210" t="n"/>
      <c r="BH97" s="210" t="n"/>
      <c r="BI97" s="210" t="n"/>
      <c r="BJ97" s="210" t="n"/>
      <c r="BK97" s="210" t="n"/>
      <c r="BL97" s="210" t="n"/>
      <c r="BM97" s="210" t="n"/>
      <c r="BN97" s="210" t="n"/>
      <c r="BO97" s="210" t="n"/>
      <c r="BP97" s="210" t="n"/>
      <c r="BQ97" s="210" t="n"/>
      <c r="BR97" s="210" t="n"/>
      <c r="BS97" s="210" t="n"/>
      <c r="BT97" s="212" t="n"/>
      <c r="BU97" s="177" t="n"/>
    </row>
    <row r="98" ht="60" customHeight="1">
      <c r="A98" s="178" t="inlineStr">
        <is>
          <t>NORDESTE</t>
        </is>
      </c>
      <c r="B98" s="207" t="inlineStr">
        <is>
          <t>PB</t>
        </is>
      </c>
      <c r="C98" s="29" t="inlineStr">
        <is>
          <t>JOAO PESSOA</t>
        </is>
      </c>
      <c r="D98" s="178" t="inlineStr">
        <is>
          <t>FUNDACAO NAPOLEAO LAUREANO</t>
        </is>
      </c>
      <c r="E98" s="208" t="inlineStr">
        <is>
          <t>09112236000194</t>
        </is>
      </c>
      <c r="F98" s="29" t="inlineStr">
        <is>
          <t>FUNDACAO NAPOLEAO LAUREANO</t>
        </is>
      </c>
      <c r="G98" s="254" t="inlineStr">
        <is>
          <t>2399741</t>
        </is>
      </c>
      <c r="H98" s="210" t="n"/>
      <c r="I98" s="210" t="n"/>
      <c r="J98" s="210" t="n"/>
      <c r="K98" s="210" t="inlineStr">
        <is>
          <t>Indireta</t>
        </is>
      </c>
      <c r="L98" s="211" t="inlineStr">
        <is>
          <t>Transferegov/SEI</t>
        </is>
      </c>
      <c r="M98" s="211" t="inlineStr">
        <is>
          <t>Convênio</t>
        </is>
      </c>
      <c r="N98" s="207" t="n">
        <v>2023</v>
      </c>
      <c r="O98" s="207" t="n">
        <v>947238</v>
      </c>
      <c r="P98" s="207" t="n">
        <v>90911223008</v>
      </c>
      <c r="Q98" s="210" t="n"/>
      <c r="R98" s="178" t="n"/>
      <c r="S98" s="210" t="n"/>
      <c r="T98" s="29" t="inlineStr">
        <is>
          <t>Computador (Desktop-Básico)</t>
        </is>
      </c>
      <c r="U98" s="210" t="n"/>
      <c r="V98" s="210" t="n">
        <v>21</v>
      </c>
      <c r="W98" s="182" t="inlineStr">
        <is>
          <t xml:space="preserve"> UND</t>
        </is>
      </c>
      <c r="X98" s="210" t="inlineStr">
        <is>
          <t>EQUIPAMENTO</t>
        </is>
      </c>
      <c r="Y98" s="178" t="n"/>
      <c r="Z98" s="211" t="inlineStr">
        <is>
          <t xml:space="preserve"> NA</t>
        </is>
      </c>
      <c r="AA98" s="212" t="n"/>
      <c r="AB98" s="212" t="n"/>
      <c r="AC98" s="212" t="n"/>
      <c r="AD98" s="211" t="inlineStr">
        <is>
          <t>NI</t>
        </is>
      </c>
      <c r="AE98" s="211" t="inlineStr">
        <is>
          <t>NI</t>
        </is>
      </c>
      <c r="AF98" s="211" t="inlineStr">
        <is>
          <t>NI</t>
        </is>
      </c>
      <c r="AG98" s="177" t="n">
        <v>100000</v>
      </c>
      <c r="AH98" s="177" t="n"/>
      <c r="AI98" s="212" t="n"/>
      <c r="AJ98" s="182" t="n">
        <v>8535</v>
      </c>
      <c r="AK98" s="183" t="inlineStr">
        <is>
          <t> </t>
        </is>
      </c>
      <c r="AL98" s="183" t="inlineStr">
        <is>
          <t> </t>
        </is>
      </c>
      <c r="AM98" s="183" t="inlineStr">
        <is>
          <t> </t>
        </is>
      </c>
      <c r="AN98" s="183" t="inlineStr">
        <is>
          <t> </t>
        </is>
      </c>
      <c r="AO98" s="183" t="inlineStr">
        <is>
          <t> </t>
        </is>
      </c>
      <c r="AP98" s="183" t="inlineStr">
        <is>
          <t> </t>
        </is>
      </c>
      <c r="AQ98" s="183" t="inlineStr">
        <is>
          <t> </t>
        </is>
      </c>
      <c r="AR98" s="183" t="inlineStr">
        <is>
          <t> </t>
        </is>
      </c>
      <c r="AS98" s="183" t="inlineStr">
        <is>
          <t> </t>
        </is>
      </c>
      <c r="AT98" s="183" t="inlineStr">
        <is>
          <t> </t>
        </is>
      </c>
      <c r="AU98" s="183" t="inlineStr">
        <is>
          <t> </t>
        </is>
      </c>
      <c r="AV98" s="183" t="inlineStr">
        <is>
          <t> </t>
        </is>
      </c>
      <c r="AW98" s="183" t="inlineStr">
        <is>
          <t> </t>
        </is>
      </c>
      <c r="AX98" s="183" t="inlineStr">
        <is>
          <t> </t>
        </is>
      </c>
      <c r="AY98" s="210" t="inlineStr">
        <is>
          <t>NORMAL</t>
        </is>
      </c>
      <c r="AZ98" s="210" t="inlineStr">
        <is>
          <t>NI</t>
        </is>
      </c>
      <c r="BA98" s="210" t="inlineStr">
        <is>
          <t>NI</t>
        </is>
      </c>
      <c r="BB98" s="210" t="inlineStr">
        <is>
          <t>NI</t>
        </is>
      </c>
      <c r="BC98" s="212" t="n"/>
      <c r="BD98" s="210" t="n"/>
      <c r="BE98" s="210" t="n"/>
      <c r="BF98" s="178" t="n"/>
      <c r="BG98" s="210" t="n"/>
      <c r="BH98" s="210" t="n"/>
      <c r="BI98" s="210" t="n"/>
      <c r="BJ98" s="210" t="n"/>
      <c r="BK98" s="210" t="n"/>
      <c r="BL98" s="210" t="n"/>
      <c r="BM98" s="210" t="n"/>
      <c r="BN98" s="210" t="n"/>
      <c r="BO98" s="210" t="n"/>
      <c r="BP98" s="210" t="n"/>
      <c r="BQ98" s="210" t="n"/>
      <c r="BR98" s="210" t="n"/>
      <c r="BS98" s="210" t="n"/>
      <c r="BT98" s="212" t="n"/>
      <c r="BU98" s="177" t="n"/>
    </row>
    <row r="99" ht="60" customHeight="1">
      <c r="A99" s="178" t="inlineStr">
        <is>
          <t>NORDESTE</t>
        </is>
      </c>
      <c r="B99" s="207" t="inlineStr">
        <is>
          <t>PB</t>
        </is>
      </c>
      <c r="C99" s="29" t="inlineStr">
        <is>
          <t>JOAO PESSOA</t>
        </is>
      </c>
      <c r="D99" s="178" t="inlineStr">
        <is>
          <t>FUNDACAO NAPOLEAO LAUREANO</t>
        </is>
      </c>
      <c r="E99" s="208" t="inlineStr">
        <is>
          <t>09112236000194</t>
        </is>
      </c>
      <c r="F99" s="29" t="inlineStr">
        <is>
          <t>FUNDACAO NAPOLEAO LAUREANO</t>
        </is>
      </c>
      <c r="G99" s="254" t="inlineStr">
        <is>
          <t>2399741</t>
        </is>
      </c>
      <c r="H99" s="210" t="n"/>
      <c r="I99" s="210" t="n"/>
      <c r="J99" s="210" t="n"/>
      <c r="K99" s="210" t="inlineStr">
        <is>
          <t>Indireta</t>
        </is>
      </c>
      <c r="L99" s="211" t="inlineStr">
        <is>
          <t>Transferegov/SEI</t>
        </is>
      </c>
      <c r="M99" s="211" t="inlineStr">
        <is>
          <t>Convênio</t>
        </is>
      </c>
      <c r="N99" s="207" t="n">
        <v>2023</v>
      </c>
      <c r="O99" s="207" t="n">
        <v>947238</v>
      </c>
      <c r="P99" s="207" t="n">
        <v>90911223008</v>
      </c>
      <c r="Q99" s="210" t="n"/>
      <c r="R99" s="178" t="n"/>
      <c r="S99" s="210" t="n"/>
      <c r="T99" s="29" t="inlineStr">
        <is>
          <t>No-Break (Para Computador/Impressora)</t>
        </is>
      </c>
      <c r="U99" s="210" t="n"/>
      <c r="V99" s="210" t="n">
        <v>3</v>
      </c>
      <c r="W99" s="182" t="inlineStr">
        <is>
          <t xml:space="preserve"> UND</t>
        </is>
      </c>
      <c r="X99" s="210" t="inlineStr">
        <is>
          <t>EQUIPAMENTO</t>
        </is>
      </c>
      <c r="Y99" s="178" t="n"/>
      <c r="Z99" s="211" t="inlineStr">
        <is>
          <t xml:space="preserve"> NA</t>
        </is>
      </c>
      <c r="AA99" s="212" t="n"/>
      <c r="AB99" s="212" t="n"/>
      <c r="AC99" s="212" t="n"/>
      <c r="AD99" s="211" t="inlineStr">
        <is>
          <t>NI</t>
        </is>
      </c>
      <c r="AE99" s="211" t="inlineStr">
        <is>
          <t>NI</t>
        </is>
      </c>
      <c r="AF99" s="211" t="inlineStr">
        <is>
          <t>NI</t>
        </is>
      </c>
      <c r="AG99" s="177" t="n">
        <v>100000</v>
      </c>
      <c r="AH99" s="177" t="n"/>
      <c r="AI99" s="212" t="n"/>
      <c r="AJ99" s="182" t="n">
        <v>8535</v>
      </c>
      <c r="AK99" s="183" t="inlineStr">
        <is>
          <t> </t>
        </is>
      </c>
      <c r="AL99" s="183" t="inlineStr">
        <is>
          <t> </t>
        </is>
      </c>
      <c r="AM99" s="183" t="inlineStr">
        <is>
          <t> </t>
        </is>
      </c>
      <c r="AN99" s="183" t="inlineStr">
        <is>
          <t> </t>
        </is>
      </c>
      <c r="AO99" s="183" t="inlineStr">
        <is>
          <t> </t>
        </is>
      </c>
      <c r="AP99" s="183" t="inlineStr">
        <is>
          <t> </t>
        </is>
      </c>
      <c r="AQ99" s="183" t="inlineStr">
        <is>
          <t> </t>
        </is>
      </c>
      <c r="AR99" s="183" t="inlineStr">
        <is>
          <t> </t>
        </is>
      </c>
      <c r="AS99" s="183" t="inlineStr">
        <is>
          <t> </t>
        </is>
      </c>
      <c r="AT99" s="183" t="inlineStr">
        <is>
          <t> </t>
        </is>
      </c>
      <c r="AU99" s="183" t="inlineStr">
        <is>
          <t> </t>
        </is>
      </c>
      <c r="AV99" s="183" t="inlineStr">
        <is>
          <t> </t>
        </is>
      </c>
      <c r="AW99" s="183" t="inlineStr">
        <is>
          <t> </t>
        </is>
      </c>
      <c r="AX99" s="183" t="inlineStr">
        <is>
          <t> </t>
        </is>
      </c>
      <c r="AY99" s="210" t="inlineStr">
        <is>
          <t>NORMAL</t>
        </is>
      </c>
      <c r="AZ99" s="210" t="inlineStr">
        <is>
          <t>NI</t>
        </is>
      </c>
      <c r="BA99" s="210" t="inlineStr">
        <is>
          <t>NI</t>
        </is>
      </c>
      <c r="BB99" s="210" t="inlineStr">
        <is>
          <t>NI</t>
        </is>
      </c>
      <c r="BC99" s="212" t="n"/>
      <c r="BD99" s="210" t="n"/>
      <c r="BE99" s="210" t="n"/>
      <c r="BF99" s="178" t="n"/>
      <c r="BG99" s="210" t="n"/>
      <c r="BH99" s="210" t="n"/>
      <c r="BI99" s="210" t="n"/>
      <c r="BJ99" s="210" t="n"/>
      <c r="BK99" s="210" t="n"/>
      <c r="BL99" s="210" t="n"/>
      <c r="BM99" s="210" t="n"/>
      <c r="BN99" s="210" t="n"/>
      <c r="BO99" s="210" t="n"/>
      <c r="BP99" s="210" t="n"/>
      <c r="BQ99" s="210" t="n"/>
      <c r="BR99" s="210" t="n"/>
      <c r="BS99" s="210" t="n"/>
      <c r="BT99" s="212" t="n"/>
      <c r="BU99" s="177" t="n"/>
    </row>
    <row r="100" ht="60" customHeight="1">
      <c r="A100" s="178" t="inlineStr">
        <is>
          <t>NORDESTE</t>
        </is>
      </c>
      <c r="B100" s="207" t="inlineStr">
        <is>
          <t>PE</t>
        </is>
      </c>
      <c r="C100" s="29" t="inlineStr">
        <is>
          <t>RECIFE</t>
        </is>
      </c>
      <c r="D100" s="178" t="inlineStr">
        <is>
          <t>SOCIEDADE PERNAMBUCANA DO COMBATE AO CANCER</t>
        </is>
      </c>
      <c r="E100" s="208" t="inlineStr">
        <is>
          <t>10894988000133</t>
        </is>
      </c>
      <c r="F100" s="29" t="inlineStr">
        <is>
          <t>SOCIEDADE PERNAMBUCANA DO COMBATE AO CANCER</t>
        </is>
      </c>
      <c r="G100" s="254" t="inlineStr">
        <is>
          <t>0000582</t>
        </is>
      </c>
      <c r="H100" s="210" t="n"/>
      <c r="I100" s="210" t="n"/>
      <c r="J100" s="210" t="n"/>
      <c r="K100" s="210" t="inlineStr">
        <is>
          <t>Indireta</t>
        </is>
      </c>
      <c r="L100" s="211" t="inlineStr">
        <is>
          <t>Transferegov/SEI</t>
        </is>
      </c>
      <c r="M100" s="211" t="inlineStr">
        <is>
          <t>Convênio</t>
        </is>
      </c>
      <c r="N100" s="207" t="n">
        <v>2023</v>
      </c>
      <c r="O100" s="207" t="n">
        <v>943918</v>
      </c>
      <c r="P100" s="207" t="n">
        <v>91089423002</v>
      </c>
      <c r="Q100" s="210" t="n"/>
      <c r="R100" s="178" t="n"/>
      <c r="S100" s="210" t="n"/>
      <c r="T100" s="29" t="inlineStr">
        <is>
          <t>Ventilador Pulmonar Pressométrico e Volumétrico</t>
        </is>
      </c>
      <c r="U100" s="210" t="n"/>
      <c r="V100" s="210" t="n">
        <v>3</v>
      </c>
      <c r="W100" s="182" t="inlineStr">
        <is>
          <t xml:space="preserve"> UND</t>
        </is>
      </c>
      <c r="X100" s="210" t="inlineStr">
        <is>
          <t>EQUIPAMENTO</t>
        </is>
      </c>
      <c r="Y100" s="178" t="n"/>
      <c r="Z100" s="211" t="inlineStr">
        <is>
          <t xml:space="preserve"> NA</t>
        </is>
      </c>
      <c r="AA100" s="212" t="n"/>
      <c r="AB100" s="212" t="n"/>
      <c r="AC100" s="212" t="n"/>
      <c r="AD100" s="211" t="inlineStr">
        <is>
          <t>NI</t>
        </is>
      </c>
      <c r="AE100" s="211" t="inlineStr">
        <is>
          <t>NI</t>
        </is>
      </c>
      <c r="AF100" s="211" t="inlineStr">
        <is>
          <t>NI</t>
        </is>
      </c>
      <c r="AG100" s="177" t="n">
        <v>313223</v>
      </c>
      <c r="AH100" s="177" t="n"/>
      <c r="AI100" s="212" t="n"/>
      <c r="AJ100" s="182" t="n">
        <v>8535</v>
      </c>
      <c r="AK100" s="183" t="inlineStr">
        <is>
          <t> </t>
        </is>
      </c>
      <c r="AL100" s="183" t="inlineStr">
        <is>
          <t> </t>
        </is>
      </c>
      <c r="AM100" s="183" t="inlineStr">
        <is>
          <t> </t>
        </is>
      </c>
      <c r="AN100" s="183" t="inlineStr">
        <is>
          <t> </t>
        </is>
      </c>
      <c r="AO100" s="183" t="inlineStr">
        <is>
          <t> </t>
        </is>
      </c>
      <c r="AP100" s="183" t="inlineStr">
        <is>
          <t> </t>
        </is>
      </c>
      <c r="AQ100" s="183" t="inlineStr">
        <is>
          <t> </t>
        </is>
      </c>
      <c r="AR100" s="183" t="inlineStr">
        <is>
          <t> </t>
        </is>
      </c>
      <c r="AS100" s="183" t="inlineStr">
        <is>
          <t> </t>
        </is>
      </c>
      <c r="AT100" s="183" t="inlineStr">
        <is>
          <t> </t>
        </is>
      </c>
      <c r="AU100" s="183" t="inlineStr">
        <is>
          <t> </t>
        </is>
      </c>
      <c r="AV100" s="183" t="inlineStr">
        <is>
          <t> </t>
        </is>
      </c>
      <c r="AW100" s="183" t="inlineStr">
        <is>
          <t> </t>
        </is>
      </c>
      <c r="AX100" s="183" t="inlineStr">
        <is>
          <t> </t>
        </is>
      </c>
      <c r="AY100" s="210" t="inlineStr">
        <is>
          <t>EM EXECUÇÃO</t>
        </is>
      </c>
      <c r="AZ100" s="210" t="inlineStr">
        <is>
          <t>NI</t>
        </is>
      </c>
      <c r="BA100" s="210" t="inlineStr">
        <is>
          <t>NI</t>
        </is>
      </c>
      <c r="BB100" s="210" t="inlineStr">
        <is>
          <t>NI</t>
        </is>
      </c>
      <c r="BC100" s="212" t="n"/>
      <c r="BD100" s="210" t="n"/>
      <c r="BE100" s="210" t="n"/>
      <c r="BF100" s="178" t="n"/>
      <c r="BG100" s="210" t="n"/>
      <c r="BH100" s="210" t="n"/>
      <c r="BI100" s="210" t="n"/>
      <c r="BJ100" s="210" t="n"/>
      <c r="BK100" s="210" t="n"/>
      <c r="BL100" s="210" t="n"/>
      <c r="BM100" s="210" t="n"/>
      <c r="BN100" s="210" t="n"/>
      <c r="BO100" s="210" t="n"/>
      <c r="BP100" s="210" t="n"/>
      <c r="BQ100" s="210" t="n"/>
      <c r="BR100" s="210" t="n"/>
      <c r="BS100" s="210" t="n"/>
      <c r="BT100" s="212" t="n"/>
      <c r="BU100" s="177" t="n"/>
    </row>
    <row r="101" ht="60" customHeight="1">
      <c r="A101" s="178" t="inlineStr">
        <is>
          <t>NORDESTE</t>
        </is>
      </c>
      <c r="B101" s="207" t="inlineStr">
        <is>
          <t>PE</t>
        </is>
      </c>
      <c r="C101" s="29" t="inlineStr">
        <is>
          <t>RECIFE</t>
        </is>
      </c>
      <c r="D101" s="178" t="inlineStr">
        <is>
          <t>SOCIEDADE PERNAMBUCANA DO COMBATE AO CANCER</t>
        </is>
      </c>
      <c r="E101" s="208" t="inlineStr">
        <is>
          <t>10894988000133</t>
        </is>
      </c>
      <c r="F101" s="29" t="inlineStr">
        <is>
          <t>SOCIEDADE PERNAMBUCANA DO COMBATE AO CANCER</t>
        </is>
      </c>
      <c r="G101" s="254" t="inlineStr">
        <is>
          <t>0000582</t>
        </is>
      </c>
      <c r="H101" s="210" t="n"/>
      <c r="I101" s="210" t="n"/>
      <c r="J101" s="210" t="n"/>
      <c r="K101" s="210" t="inlineStr">
        <is>
          <t>Indireta</t>
        </is>
      </c>
      <c r="L101" s="211" t="inlineStr">
        <is>
          <t>Transferegov/SEI</t>
        </is>
      </c>
      <c r="M101" s="211" t="inlineStr">
        <is>
          <t>Convênio</t>
        </is>
      </c>
      <c r="N101" s="207" t="n">
        <v>2023</v>
      </c>
      <c r="O101" s="207" t="n">
        <v>943918</v>
      </c>
      <c r="P101" s="207" t="n">
        <v>91089423002</v>
      </c>
      <c r="Q101" s="210" t="n"/>
      <c r="R101" s="178" t="n"/>
      <c r="S101" s="210" t="n"/>
      <c r="T101" s="29" t="inlineStr">
        <is>
          <t>Centrífuga Laboratorial</t>
        </is>
      </c>
      <c r="U101" s="210" t="n"/>
      <c r="V101" s="210" t="n">
        <v>1</v>
      </c>
      <c r="W101" s="182" t="inlineStr">
        <is>
          <t xml:space="preserve"> UND</t>
        </is>
      </c>
      <c r="X101" s="210" t="inlineStr">
        <is>
          <t>EQUIPAMENTO</t>
        </is>
      </c>
      <c r="Y101" s="178" t="n"/>
      <c r="Z101" s="211" t="inlineStr">
        <is>
          <t xml:space="preserve"> NA</t>
        </is>
      </c>
      <c r="AA101" s="212" t="n"/>
      <c r="AB101" s="212" t="n"/>
      <c r="AC101" s="212" t="n"/>
      <c r="AD101" s="211" t="inlineStr">
        <is>
          <t>NI</t>
        </is>
      </c>
      <c r="AE101" s="211" t="inlineStr">
        <is>
          <t>NI</t>
        </is>
      </c>
      <c r="AF101" s="211" t="inlineStr">
        <is>
          <t>NI</t>
        </is>
      </c>
      <c r="AG101" s="177" t="n">
        <v>313223</v>
      </c>
      <c r="AH101" s="177" t="n"/>
      <c r="AI101" s="212" t="n"/>
      <c r="AJ101" s="182" t="n">
        <v>8535</v>
      </c>
      <c r="AK101" s="183" t="inlineStr">
        <is>
          <t> </t>
        </is>
      </c>
      <c r="AL101" s="183" t="inlineStr">
        <is>
          <t> </t>
        </is>
      </c>
      <c r="AM101" s="183" t="inlineStr">
        <is>
          <t> </t>
        </is>
      </c>
      <c r="AN101" s="183" t="inlineStr">
        <is>
          <t> </t>
        </is>
      </c>
      <c r="AO101" s="183" t="inlineStr">
        <is>
          <t> </t>
        </is>
      </c>
      <c r="AP101" s="183" t="inlineStr">
        <is>
          <t> </t>
        </is>
      </c>
      <c r="AQ101" s="183" t="inlineStr">
        <is>
          <t> </t>
        </is>
      </c>
      <c r="AR101" s="183" t="inlineStr">
        <is>
          <t> </t>
        </is>
      </c>
      <c r="AS101" s="183" t="inlineStr">
        <is>
          <t> </t>
        </is>
      </c>
      <c r="AT101" s="183" t="inlineStr">
        <is>
          <t> </t>
        </is>
      </c>
      <c r="AU101" s="183" t="inlineStr">
        <is>
          <t> </t>
        </is>
      </c>
      <c r="AV101" s="183" t="inlineStr">
        <is>
          <t> </t>
        </is>
      </c>
      <c r="AW101" s="183" t="inlineStr">
        <is>
          <t> </t>
        </is>
      </c>
      <c r="AX101" s="183" t="inlineStr">
        <is>
          <t> </t>
        </is>
      </c>
      <c r="AY101" s="210" t="inlineStr">
        <is>
          <t>EM EXECUÇÃO</t>
        </is>
      </c>
      <c r="AZ101" s="210" t="inlineStr">
        <is>
          <t>NI</t>
        </is>
      </c>
      <c r="BA101" s="210" t="inlineStr">
        <is>
          <t>NI</t>
        </is>
      </c>
      <c r="BB101" s="210" t="inlineStr">
        <is>
          <t>NI</t>
        </is>
      </c>
      <c r="BC101" s="212" t="n"/>
      <c r="BD101" s="210" t="n"/>
      <c r="BE101" s="210" t="n"/>
      <c r="BF101" s="178" t="n"/>
      <c r="BG101" s="210" t="n"/>
      <c r="BH101" s="210" t="n"/>
      <c r="BI101" s="210" t="n"/>
      <c r="BJ101" s="210" t="n"/>
      <c r="BK101" s="210" t="n"/>
      <c r="BL101" s="210" t="n"/>
      <c r="BM101" s="210" t="n"/>
      <c r="BN101" s="210" t="n"/>
      <c r="BO101" s="210" t="n"/>
      <c r="BP101" s="210" t="n"/>
      <c r="BQ101" s="210" t="n"/>
      <c r="BR101" s="210" t="n"/>
      <c r="BS101" s="210" t="n"/>
      <c r="BT101" s="212" t="n"/>
      <c r="BU101" s="177" t="n"/>
    </row>
    <row r="102" ht="60" customHeight="1">
      <c r="A102" s="178" t="inlineStr">
        <is>
          <t>NORDESTE</t>
        </is>
      </c>
      <c r="B102" s="207" t="inlineStr">
        <is>
          <t>PE</t>
        </is>
      </c>
      <c r="C102" s="29" t="inlineStr">
        <is>
          <t>RECIFE</t>
        </is>
      </c>
      <c r="D102" s="178" t="inlineStr">
        <is>
          <t>SOCIEDADE PERNAMBUCANA DO COMBATE AO CANCER</t>
        </is>
      </c>
      <c r="E102" s="208" t="inlineStr">
        <is>
          <t>10894988000133</t>
        </is>
      </c>
      <c r="F102" s="29" t="inlineStr">
        <is>
          <t>SOCIEDADE PERNAMBUCANA DO COMBATE AO CANCER</t>
        </is>
      </c>
      <c r="G102" s="254" t="inlineStr">
        <is>
          <t>0000582</t>
        </is>
      </c>
      <c r="H102" s="210" t="n"/>
      <c r="I102" s="210" t="n"/>
      <c r="J102" s="210" t="n"/>
      <c r="K102" s="210" t="inlineStr">
        <is>
          <t>Indireta</t>
        </is>
      </c>
      <c r="L102" s="211" t="inlineStr">
        <is>
          <t>Transferegov/SEI</t>
        </is>
      </c>
      <c r="M102" s="211" t="inlineStr">
        <is>
          <t>Convênio</t>
        </is>
      </c>
      <c r="N102" s="207" t="n">
        <v>2023</v>
      </c>
      <c r="O102" s="207" t="n">
        <v>943918</v>
      </c>
      <c r="P102" s="207" t="n">
        <v>91089423002</v>
      </c>
      <c r="Q102" s="210" t="n"/>
      <c r="R102" s="178" t="n"/>
      <c r="S102" s="210" t="n"/>
      <c r="T102" s="29" t="inlineStr">
        <is>
          <t>Esfigmomanômetro Adulto</t>
        </is>
      </c>
      <c r="U102" s="210" t="n"/>
      <c r="V102" s="210" t="n">
        <v>2</v>
      </c>
      <c r="W102" s="182" t="inlineStr">
        <is>
          <t xml:space="preserve"> UND</t>
        </is>
      </c>
      <c r="X102" s="210" t="inlineStr">
        <is>
          <t>EQUIPAMENTO</t>
        </is>
      </c>
      <c r="Y102" s="178" t="n"/>
      <c r="Z102" s="211" t="inlineStr">
        <is>
          <t xml:space="preserve"> NA</t>
        </is>
      </c>
      <c r="AA102" s="212" t="n"/>
      <c r="AB102" s="212" t="n"/>
      <c r="AC102" s="212" t="n"/>
      <c r="AD102" s="211" t="inlineStr">
        <is>
          <t>NI</t>
        </is>
      </c>
      <c r="AE102" s="211" t="inlineStr">
        <is>
          <t>NI</t>
        </is>
      </c>
      <c r="AF102" s="211" t="inlineStr">
        <is>
          <t>NI</t>
        </is>
      </c>
      <c r="AG102" s="177" t="n">
        <v>313223</v>
      </c>
      <c r="AH102" s="177" t="n"/>
      <c r="AI102" s="212" t="n"/>
      <c r="AJ102" s="182" t="n">
        <v>8535</v>
      </c>
      <c r="AK102" s="183" t="inlineStr">
        <is>
          <t> </t>
        </is>
      </c>
      <c r="AL102" s="183" t="inlineStr">
        <is>
          <t> </t>
        </is>
      </c>
      <c r="AM102" s="183" t="inlineStr">
        <is>
          <t> </t>
        </is>
      </c>
      <c r="AN102" s="183" t="inlineStr">
        <is>
          <t> </t>
        </is>
      </c>
      <c r="AO102" s="183" t="inlineStr">
        <is>
          <t> </t>
        </is>
      </c>
      <c r="AP102" s="183" t="inlineStr">
        <is>
          <t> </t>
        </is>
      </c>
      <c r="AQ102" s="183" t="inlineStr">
        <is>
          <t> </t>
        </is>
      </c>
      <c r="AR102" s="183" t="inlineStr">
        <is>
          <t> </t>
        </is>
      </c>
      <c r="AS102" s="183" t="inlineStr">
        <is>
          <t> </t>
        </is>
      </c>
      <c r="AT102" s="183" t="inlineStr">
        <is>
          <t> </t>
        </is>
      </c>
      <c r="AU102" s="183" t="inlineStr">
        <is>
          <t> </t>
        </is>
      </c>
      <c r="AV102" s="183" t="inlineStr">
        <is>
          <t> </t>
        </is>
      </c>
      <c r="AW102" s="183" t="inlineStr">
        <is>
          <t> </t>
        </is>
      </c>
      <c r="AX102" s="183" t="inlineStr">
        <is>
          <t> </t>
        </is>
      </c>
      <c r="AY102" s="210" t="inlineStr">
        <is>
          <t>EM EXECUÇÃO</t>
        </is>
      </c>
      <c r="AZ102" s="210" t="inlineStr">
        <is>
          <t>NI</t>
        </is>
      </c>
      <c r="BA102" s="210" t="inlineStr">
        <is>
          <t>NI</t>
        </is>
      </c>
      <c r="BB102" s="210" t="inlineStr">
        <is>
          <t>NI</t>
        </is>
      </c>
      <c r="BC102" s="212" t="n"/>
      <c r="BD102" s="210" t="n"/>
      <c r="BE102" s="210" t="n"/>
      <c r="BF102" s="178" t="n"/>
      <c r="BG102" s="210" t="n"/>
      <c r="BH102" s="210" t="n"/>
      <c r="BI102" s="210" t="n"/>
      <c r="BJ102" s="210" t="n"/>
      <c r="BK102" s="210" t="n"/>
      <c r="BL102" s="210" t="n"/>
      <c r="BM102" s="210" t="n"/>
      <c r="BN102" s="210" t="n"/>
      <c r="BO102" s="210" t="n"/>
      <c r="BP102" s="210" t="n"/>
      <c r="BQ102" s="210" t="n"/>
      <c r="BR102" s="210" t="n"/>
      <c r="BS102" s="210" t="n"/>
      <c r="BT102" s="212" t="n"/>
      <c r="BU102" s="177" t="n"/>
    </row>
    <row r="103" ht="60" customHeight="1">
      <c r="A103" s="178" t="inlineStr">
        <is>
          <t>NORDESTE</t>
        </is>
      </c>
      <c r="B103" s="207" t="inlineStr">
        <is>
          <t>PE</t>
        </is>
      </c>
      <c r="C103" s="29" t="inlineStr">
        <is>
          <t>RECIFE</t>
        </is>
      </c>
      <c r="D103" s="178" t="inlineStr">
        <is>
          <t>SOCIEDADE PERNAMBUCANA DO COMBATE AO CANCER</t>
        </is>
      </c>
      <c r="E103" s="208" t="inlineStr">
        <is>
          <t>10894988000133</t>
        </is>
      </c>
      <c r="F103" s="29" t="inlineStr">
        <is>
          <t>SOCIEDADE PERNAMBUCANA DO COMBATE AO CANCER</t>
        </is>
      </c>
      <c r="G103" s="254" t="inlineStr">
        <is>
          <t>0000582</t>
        </is>
      </c>
      <c r="H103" s="210" t="n"/>
      <c r="I103" s="210" t="n"/>
      <c r="J103" s="210" t="n"/>
      <c r="K103" s="210" t="inlineStr">
        <is>
          <t>Indireta</t>
        </is>
      </c>
      <c r="L103" s="211" t="inlineStr">
        <is>
          <t>Transferegov/SEI</t>
        </is>
      </c>
      <c r="M103" s="211" t="inlineStr">
        <is>
          <t>Convênio</t>
        </is>
      </c>
      <c r="N103" s="207" t="n">
        <v>2023</v>
      </c>
      <c r="O103" s="207" t="n">
        <v>945441</v>
      </c>
      <c r="P103" s="207" t="n">
        <v>91089423004</v>
      </c>
      <c r="Q103" s="210" t="n"/>
      <c r="R103" s="178" t="n"/>
      <c r="S103" s="210" t="n"/>
      <c r="T103" s="29" t="inlineStr">
        <is>
          <t>Analisador de Gases Respiratórios/Hemogasômetro</t>
        </is>
      </c>
      <c r="U103" s="210" t="n"/>
      <c r="V103" s="210" t="n">
        <v>1</v>
      </c>
      <c r="W103" s="182" t="inlineStr">
        <is>
          <t xml:space="preserve"> UND</t>
        </is>
      </c>
      <c r="X103" s="210" t="inlineStr">
        <is>
          <t>EQUIPAMENTO</t>
        </is>
      </c>
      <c r="Y103" s="178" t="n"/>
      <c r="Z103" s="211" t="inlineStr">
        <is>
          <t xml:space="preserve"> NA</t>
        </is>
      </c>
      <c r="AA103" s="212" t="n"/>
      <c r="AB103" s="212" t="n"/>
      <c r="AC103" s="212" t="n"/>
      <c r="AD103" s="211" t="inlineStr">
        <is>
          <t>NI</t>
        </is>
      </c>
      <c r="AE103" s="211" t="inlineStr">
        <is>
          <t>NI</t>
        </is>
      </c>
      <c r="AF103" s="211" t="inlineStr">
        <is>
          <t>NI</t>
        </is>
      </c>
      <c r="AG103" s="177" t="n">
        <v>299762</v>
      </c>
      <c r="AH103" s="177" t="n"/>
      <c r="AI103" s="212" t="n"/>
      <c r="AJ103" s="182" t="n">
        <v>8535</v>
      </c>
      <c r="AK103" s="183" t="inlineStr">
        <is>
          <t> </t>
        </is>
      </c>
      <c r="AL103" s="183" t="inlineStr">
        <is>
          <t> </t>
        </is>
      </c>
      <c r="AM103" s="183" t="inlineStr">
        <is>
          <t> </t>
        </is>
      </c>
      <c r="AN103" s="183" t="inlineStr">
        <is>
          <t> </t>
        </is>
      </c>
      <c r="AO103" s="183" t="inlineStr">
        <is>
          <t> </t>
        </is>
      </c>
      <c r="AP103" s="183" t="inlineStr">
        <is>
          <t> </t>
        </is>
      </c>
      <c r="AQ103" s="183" t="inlineStr">
        <is>
          <t> </t>
        </is>
      </c>
      <c r="AR103" s="183" t="inlineStr">
        <is>
          <t> </t>
        </is>
      </c>
      <c r="AS103" s="183" t="inlineStr">
        <is>
          <t> </t>
        </is>
      </c>
      <c r="AT103" s="183" t="inlineStr">
        <is>
          <t> </t>
        </is>
      </c>
      <c r="AU103" s="183" t="inlineStr">
        <is>
          <t> </t>
        </is>
      </c>
      <c r="AV103" s="183" t="inlineStr">
        <is>
          <t> </t>
        </is>
      </c>
      <c r="AW103" s="183" t="inlineStr">
        <is>
          <t> </t>
        </is>
      </c>
      <c r="AX103" s="183" t="inlineStr">
        <is>
          <t> </t>
        </is>
      </c>
      <c r="AY103" s="210" t="inlineStr">
        <is>
          <t>PRESTAÇÃO DE CONTAS ENVIADA PARA ANÁLISE</t>
        </is>
      </c>
      <c r="AZ103" s="210" t="inlineStr">
        <is>
          <t>NI</t>
        </is>
      </c>
      <c r="BA103" s="210" t="inlineStr">
        <is>
          <t>NI</t>
        </is>
      </c>
      <c r="BB103" s="210" t="inlineStr">
        <is>
          <t>NI</t>
        </is>
      </c>
      <c r="BC103" s="212" t="n"/>
      <c r="BD103" s="210" t="n"/>
      <c r="BE103" s="210" t="n"/>
      <c r="BF103" s="178" t="n"/>
      <c r="BG103" s="210" t="n"/>
      <c r="BH103" s="210" t="n"/>
      <c r="BI103" s="210" t="n"/>
      <c r="BJ103" s="210" t="n"/>
      <c r="BK103" s="210" t="n"/>
      <c r="BL103" s="210" t="n"/>
      <c r="BM103" s="210" t="n"/>
      <c r="BN103" s="210" t="n"/>
      <c r="BO103" s="210" t="n"/>
      <c r="BP103" s="210" t="n"/>
      <c r="BQ103" s="210" t="n"/>
      <c r="BR103" s="210" t="n"/>
      <c r="BS103" s="210" t="n"/>
      <c r="BT103" s="212" t="n"/>
      <c r="BU103" s="177" t="n"/>
    </row>
    <row r="104" ht="60" customHeight="1">
      <c r="A104" s="178" t="inlineStr">
        <is>
          <t>NORDESTE</t>
        </is>
      </c>
      <c r="B104" s="207" t="inlineStr">
        <is>
          <t>PE</t>
        </is>
      </c>
      <c r="C104" s="29" t="inlineStr">
        <is>
          <t>RECIFE</t>
        </is>
      </c>
      <c r="D104" s="178" t="inlineStr">
        <is>
          <t>SOCIEDADE PERNAMBUCANA DO COMBATE AO CANCER</t>
        </is>
      </c>
      <c r="E104" s="208" t="inlineStr">
        <is>
          <t>10894988000133</t>
        </is>
      </c>
      <c r="F104" s="29" t="inlineStr">
        <is>
          <t>SOCIEDADE PERNAMBUCANA DO COMBATE AO CANCER</t>
        </is>
      </c>
      <c r="G104" s="254" t="inlineStr">
        <is>
          <t>0000582</t>
        </is>
      </c>
      <c r="H104" s="210" t="n"/>
      <c r="I104" s="210" t="n"/>
      <c r="J104" s="210" t="n"/>
      <c r="K104" s="210" t="inlineStr">
        <is>
          <t>Indireta</t>
        </is>
      </c>
      <c r="L104" s="211" t="inlineStr">
        <is>
          <t>Transferegov/SEI</t>
        </is>
      </c>
      <c r="M104" s="211" t="inlineStr">
        <is>
          <t>Convênio</t>
        </is>
      </c>
      <c r="N104" s="207" t="n">
        <v>2023</v>
      </c>
      <c r="O104" s="207" t="n">
        <v>945441</v>
      </c>
      <c r="P104" s="207" t="n">
        <v>91089423004</v>
      </c>
      <c r="Q104" s="210" t="n"/>
      <c r="R104" s="178" t="n"/>
      <c r="S104" s="210" t="n"/>
      <c r="T104" s="29" t="inlineStr">
        <is>
          <t>Eletrocardiógrafo</t>
        </is>
      </c>
      <c r="U104" s="210" t="n"/>
      <c r="V104" s="210" t="n">
        <v>1</v>
      </c>
      <c r="W104" s="182" t="inlineStr">
        <is>
          <t xml:space="preserve"> UND</t>
        </is>
      </c>
      <c r="X104" s="210" t="inlineStr">
        <is>
          <t>EQUIPAMENTO</t>
        </is>
      </c>
      <c r="Y104" s="178" t="n"/>
      <c r="Z104" s="211" t="inlineStr">
        <is>
          <t xml:space="preserve"> NA</t>
        </is>
      </c>
      <c r="AA104" s="212" t="n"/>
      <c r="AB104" s="212" t="n"/>
      <c r="AC104" s="212" t="n"/>
      <c r="AD104" s="211" t="inlineStr">
        <is>
          <t>NI</t>
        </is>
      </c>
      <c r="AE104" s="211" t="inlineStr">
        <is>
          <t>NI</t>
        </is>
      </c>
      <c r="AF104" s="211" t="inlineStr">
        <is>
          <t>NI</t>
        </is>
      </c>
      <c r="AG104" s="177" t="n">
        <v>299762</v>
      </c>
      <c r="AH104" s="177" t="n"/>
      <c r="AI104" s="212" t="n"/>
      <c r="AJ104" s="182" t="n">
        <v>8535</v>
      </c>
      <c r="AK104" s="183" t="inlineStr">
        <is>
          <t> </t>
        </is>
      </c>
      <c r="AL104" s="183" t="inlineStr">
        <is>
          <t> </t>
        </is>
      </c>
      <c r="AM104" s="183" t="inlineStr">
        <is>
          <t> </t>
        </is>
      </c>
      <c r="AN104" s="183" t="inlineStr">
        <is>
          <t> </t>
        </is>
      </c>
      <c r="AO104" s="183" t="inlineStr">
        <is>
          <t> </t>
        </is>
      </c>
      <c r="AP104" s="183" t="inlineStr">
        <is>
          <t> </t>
        </is>
      </c>
      <c r="AQ104" s="183" t="inlineStr">
        <is>
          <t> </t>
        </is>
      </c>
      <c r="AR104" s="183" t="inlineStr">
        <is>
          <t> </t>
        </is>
      </c>
      <c r="AS104" s="183" t="inlineStr">
        <is>
          <t> </t>
        </is>
      </c>
      <c r="AT104" s="183" t="inlineStr">
        <is>
          <t> </t>
        </is>
      </c>
      <c r="AU104" s="183" t="inlineStr">
        <is>
          <t> </t>
        </is>
      </c>
      <c r="AV104" s="183" t="inlineStr">
        <is>
          <t> </t>
        </is>
      </c>
      <c r="AW104" s="183" t="inlineStr">
        <is>
          <t> </t>
        </is>
      </c>
      <c r="AX104" s="183" t="inlineStr">
        <is>
          <t> </t>
        </is>
      </c>
      <c r="AY104" s="210" t="inlineStr">
        <is>
          <t>PRESTAÇÃO DE CONTAS ENVIADA PARA ANÁLISE</t>
        </is>
      </c>
      <c r="AZ104" s="210" t="inlineStr">
        <is>
          <t>NI</t>
        </is>
      </c>
      <c r="BA104" s="210" t="inlineStr">
        <is>
          <t>NI</t>
        </is>
      </c>
      <c r="BB104" s="210" t="inlineStr">
        <is>
          <t>NI</t>
        </is>
      </c>
      <c r="BC104" s="212" t="n"/>
      <c r="BD104" s="210" t="n"/>
      <c r="BE104" s="210" t="n"/>
      <c r="BF104" s="178" t="n"/>
      <c r="BG104" s="210" t="n"/>
      <c r="BH104" s="210" t="n"/>
      <c r="BI104" s="210" t="n"/>
      <c r="BJ104" s="210" t="n"/>
      <c r="BK104" s="210" t="n"/>
      <c r="BL104" s="210" t="n"/>
      <c r="BM104" s="210" t="n"/>
      <c r="BN104" s="210" t="n"/>
      <c r="BO104" s="210" t="n"/>
      <c r="BP104" s="210" t="n"/>
      <c r="BQ104" s="210" t="n"/>
      <c r="BR104" s="210" t="n"/>
      <c r="BS104" s="210" t="n"/>
      <c r="BT104" s="212" t="n"/>
      <c r="BU104" s="177" t="n"/>
    </row>
    <row r="105" ht="60" customHeight="1">
      <c r="A105" s="178" t="inlineStr">
        <is>
          <t>NORDESTE</t>
        </is>
      </c>
      <c r="B105" s="207" t="inlineStr">
        <is>
          <t>PE</t>
        </is>
      </c>
      <c r="C105" s="29" t="inlineStr">
        <is>
          <t>RECIFE</t>
        </is>
      </c>
      <c r="D105" s="178" t="inlineStr">
        <is>
          <t>SOCIEDADE PERNAMBUCANA DO COMBATE AO CANCER</t>
        </is>
      </c>
      <c r="E105" s="208" t="inlineStr">
        <is>
          <t>10894988000133</t>
        </is>
      </c>
      <c r="F105" s="29" t="inlineStr">
        <is>
          <t>SOCIEDADE PERNAMBUCANA DO COMBATE AO CANCER</t>
        </is>
      </c>
      <c r="G105" s="254" t="inlineStr">
        <is>
          <t>0000582</t>
        </is>
      </c>
      <c r="H105" s="210" t="n"/>
      <c r="I105" s="210" t="n"/>
      <c r="J105" s="210" t="n"/>
      <c r="K105" s="210" t="inlineStr">
        <is>
          <t>Indireta</t>
        </is>
      </c>
      <c r="L105" s="211" t="inlineStr">
        <is>
          <t>Transferegov/SEI</t>
        </is>
      </c>
      <c r="M105" s="211" t="inlineStr">
        <is>
          <t>Convênio</t>
        </is>
      </c>
      <c r="N105" s="207" t="n">
        <v>2023</v>
      </c>
      <c r="O105" s="207" t="n">
        <v>945441</v>
      </c>
      <c r="P105" s="207" t="n">
        <v>91089423004</v>
      </c>
      <c r="Q105" s="210" t="n"/>
      <c r="R105" s="178" t="n"/>
      <c r="S105" s="210" t="n"/>
      <c r="T105" s="29" t="inlineStr">
        <is>
          <t>Monitor Multiparâmetros para UTI</t>
        </is>
      </c>
      <c r="U105" s="210" t="n"/>
      <c r="V105" s="210" t="n">
        <v>4</v>
      </c>
      <c r="W105" s="182" t="inlineStr">
        <is>
          <t xml:space="preserve"> UND</t>
        </is>
      </c>
      <c r="X105" s="210" t="inlineStr">
        <is>
          <t>EQUIPAMENTO</t>
        </is>
      </c>
      <c r="Y105" s="178" t="n"/>
      <c r="Z105" s="211" t="inlineStr">
        <is>
          <t xml:space="preserve"> NA</t>
        </is>
      </c>
      <c r="AA105" s="212" t="n"/>
      <c r="AB105" s="212" t="n"/>
      <c r="AC105" s="212" t="n"/>
      <c r="AD105" s="211" t="inlineStr">
        <is>
          <t>NI</t>
        </is>
      </c>
      <c r="AE105" s="211" t="inlineStr">
        <is>
          <t>NI</t>
        </is>
      </c>
      <c r="AF105" s="211" t="inlineStr">
        <is>
          <t>NI</t>
        </is>
      </c>
      <c r="AG105" s="177" t="n">
        <v>299762</v>
      </c>
      <c r="AH105" s="177" t="n"/>
      <c r="AI105" s="212" t="n"/>
      <c r="AJ105" s="182" t="n">
        <v>8535</v>
      </c>
      <c r="AK105" s="183" t="inlineStr">
        <is>
          <t> </t>
        </is>
      </c>
      <c r="AL105" s="183" t="inlineStr">
        <is>
          <t> </t>
        </is>
      </c>
      <c r="AM105" s="183" t="inlineStr">
        <is>
          <t> </t>
        </is>
      </c>
      <c r="AN105" s="183" t="inlineStr">
        <is>
          <t> </t>
        </is>
      </c>
      <c r="AO105" s="183" t="inlineStr">
        <is>
          <t> </t>
        </is>
      </c>
      <c r="AP105" s="183" t="inlineStr">
        <is>
          <t> </t>
        </is>
      </c>
      <c r="AQ105" s="183" t="inlineStr">
        <is>
          <t> </t>
        </is>
      </c>
      <c r="AR105" s="183" t="inlineStr">
        <is>
          <t> </t>
        </is>
      </c>
      <c r="AS105" s="183" t="inlineStr">
        <is>
          <t> </t>
        </is>
      </c>
      <c r="AT105" s="183" t="inlineStr">
        <is>
          <t> </t>
        </is>
      </c>
      <c r="AU105" s="183" t="inlineStr">
        <is>
          <t> </t>
        </is>
      </c>
      <c r="AV105" s="183" t="inlineStr">
        <is>
          <t> </t>
        </is>
      </c>
      <c r="AW105" s="183" t="inlineStr">
        <is>
          <t> </t>
        </is>
      </c>
      <c r="AX105" s="183" t="inlineStr">
        <is>
          <t> </t>
        </is>
      </c>
      <c r="AY105" s="210" t="inlineStr">
        <is>
          <t>PRESTAÇÃO DE CONTAS ENVIADA PARA ANÁLISE</t>
        </is>
      </c>
      <c r="AZ105" s="210" t="inlineStr">
        <is>
          <t>NI</t>
        </is>
      </c>
      <c r="BA105" s="210" t="inlineStr">
        <is>
          <t>NI</t>
        </is>
      </c>
      <c r="BB105" s="210" t="inlineStr">
        <is>
          <t>NI</t>
        </is>
      </c>
      <c r="BC105" s="212" t="n"/>
      <c r="BD105" s="210" t="n"/>
      <c r="BE105" s="210" t="n"/>
      <c r="BF105" s="178" t="n"/>
      <c r="BG105" s="210" t="n"/>
      <c r="BH105" s="210" t="n"/>
      <c r="BI105" s="210" t="n"/>
      <c r="BJ105" s="210" t="n"/>
      <c r="BK105" s="210" t="n"/>
      <c r="BL105" s="210" t="n"/>
      <c r="BM105" s="210" t="n"/>
      <c r="BN105" s="210" t="n"/>
      <c r="BO105" s="210" t="n"/>
      <c r="BP105" s="210" t="n"/>
      <c r="BQ105" s="210" t="n"/>
      <c r="BR105" s="210" t="n"/>
      <c r="BS105" s="210" t="n"/>
      <c r="BT105" s="212" t="n"/>
      <c r="BU105" s="177" t="n"/>
    </row>
    <row r="106" ht="60" customHeight="1">
      <c r="A106" s="178" t="inlineStr">
        <is>
          <t>NORDESTE</t>
        </is>
      </c>
      <c r="B106" s="207" t="inlineStr">
        <is>
          <t>PE</t>
        </is>
      </c>
      <c r="C106" s="29" t="inlineStr">
        <is>
          <t>RECIFE</t>
        </is>
      </c>
      <c r="D106" s="178" t="inlineStr">
        <is>
          <t>SOCIEDADE PERNAMBUCANA DO COMBATE AO CANCER</t>
        </is>
      </c>
      <c r="E106" s="208" t="inlineStr">
        <is>
          <t>10894988000133</t>
        </is>
      </c>
      <c r="F106" s="29" t="inlineStr">
        <is>
          <t>SOCIEDADE PERNAMBUCANA DO COMBATE AO CANCER</t>
        </is>
      </c>
      <c r="G106" s="254" t="inlineStr">
        <is>
          <t>0000582</t>
        </is>
      </c>
      <c r="H106" s="210" t="n"/>
      <c r="I106" s="210" t="n"/>
      <c r="J106" s="210" t="n"/>
      <c r="K106" s="210" t="inlineStr">
        <is>
          <t>Indireta</t>
        </is>
      </c>
      <c r="L106" s="211" t="inlineStr">
        <is>
          <t>Transferegov/SEI</t>
        </is>
      </c>
      <c r="M106" s="211" t="inlineStr">
        <is>
          <t>Convênio</t>
        </is>
      </c>
      <c r="N106" s="207" t="n">
        <v>2023</v>
      </c>
      <c r="O106" s="207" t="n">
        <v>945441</v>
      </c>
      <c r="P106" s="207" t="n">
        <v>91089423004</v>
      </c>
      <c r="Q106" s="210" t="n"/>
      <c r="R106" s="178" t="n"/>
      <c r="S106" s="210" t="n"/>
      <c r="T106" s="29" t="inlineStr">
        <is>
          <t>Monitor Multiparâmetros</t>
        </is>
      </c>
      <c r="U106" s="210" t="n"/>
      <c r="V106" s="210" t="n">
        <v>1</v>
      </c>
      <c r="W106" s="182" t="inlineStr">
        <is>
          <t xml:space="preserve"> UND</t>
        </is>
      </c>
      <c r="X106" s="210" t="inlineStr">
        <is>
          <t>EQUIPAMENTO</t>
        </is>
      </c>
      <c r="Y106" s="178" t="n"/>
      <c r="Z106" s="211" t="inlineStr">
        <is>
          <t xml:space="preserve"> NA</t>
        </is>
      </c>
      <c r="AA106" s="212" t="n"/>
      <c r="AB106" s="212" t="n"/>
      <c r="AC106" s="212" t="n"/>
      <c r="AD106" s="211" t="inlineStr">
        <is>
          <t>NI</t>
        </is>
      </c>
      <c r="AE106" s="211" t="inlineStr">
        <is>
          <t>NI</t>
        </is>
      </c>
      <c r="AF106" s="211" t="inlineStr">
        <is>
          <t>NI</t>
        </is>
      </c>
      <c r="AG106" s="177" t="n">
        <v>299762</v>
      </c>
      <c r="AH106" s="177" t="n"/>
      <c r="AI106" s="212" t="n"/>
      <c r="AJ106" s="182" t="n">
        <v>8535</v>
      </c>
      <c r="AK106" s="183" t="inlineStr">
        <is>
          <t> </t>
        </is>
      </c>
      <c r="AL106" s="183" t="inlineStr">
        <is>
          <t> </t>
        </is>
      </c>
      <c r="AM106" s="183" t="inlineStr">
        <is>
          <t> </t>
        </is>
      </c>
      <c r="AN106" s="183" t="inlineStr">
        <is>
          <t> </t>
        </is>
      </c>
      <c r="AO106" s="183" t="inlineStr">
        <is>
          <t> </t>
        </is>
      </c>
      <c r="AP106" s="183" t="inlineStr">
        <is>
          <t> </t>
        </is>
      </c>
      <c r="AQ106" s="183" t="inlineStr">
        <is>
          <t> </t>
        </is>
      </c>
      <c r="AR106" s="183" t="inlineStr">
        <is>
          <t> </t>
        </is>
      </c>
      <c r="AS106" s="183" t="inlineStr">
        <is>
          <t> </t>
        </is>
      </c>
      <c r="AT106" s="183" t="inlineStr">
        <is>
          <t> </t>
        </is>
      </c>
      <c r="AU106" s="183" t="inlineStr">
        <is>
          <t> </t>
        </is>
      </c>
      <c r="AV106" s="183" t="inlineStr">
        <is>
          <t> </t>
        </is>
      </c>
      <c r="AW106" s="183" t="inlineStr">
        <is>
          <t> </t>
        </is>
      </c>
      <c r="AX106" s="183" t="inlineStr">
        <is>
          <t> </t>
        </is>
      </c>
      <c r="AY106" s="210" t="inlineStr">
        <is>
          <t>PRESTAÇÃO DE CONTAS ENVIADA PARA ANÁLISE</t>
        </is>
      </c>
      <c r="AZ106" s="210" t="inlineStr">
        <is>
          <t>NI</t>
        </is>
      </c>
      <c r="BA106" s="210" t="inlineStr">
        <is>
          <t>NI</t>
        </is>
      </c>
      <c r="BB106" s="210" t="inlineStr">
        <is>
          <t>NI</t>
        </is>
      </c>
      <c r="BC106" s="212" t="n"/>
      <c r="BD106" s="210" t="n"/>
      <c r="BE106" s="210" t="n"/>
      <c r="BF106" s="178" t="n"/>
      <c r="BG106" s="210" t="n"/>
      <c r="BH106" s="210" t="n"/>
      <c r="BI106" s="210" t="n"/>
      <c r="BJ106" s="210" t="n"/>
      <c r="BK106" s="210" t="n"/>
      <c r="BL106" s="210" t="n"/>
      <c r="BM106" s="210" t="n"/>
      <c r="BN106" s="210" t="n"/>
      <c r="BO106" s="210" t="n"/>
      <c r="BP106" s="210" t="n"/>
      <c r="BQ106" s="210" t="n"/>
      <c r="BR106" s="210" t="n"/>
      <c r="BS106" s="210" t="n"/>
      <c r="BT106" s="212" t="n"/>
      <c r="BU106" s="177" t="n"/>
    </row>
    <row r="107" ht="60" customHeight="1">
      <c r="A107" s="178" t="inlineStr">
        <is>
          <t>NORDESTE</t>
        </is>
      </c>
      <c r="B107" s="207" t="inlineStr">
        <is>
          <t>PE</t>
        </is>
      </c>
      <c r="C107" s="29" t="inlineStr">
        <is>
          <t>RECIFE</t>
        </is>
      </c>
      <c r="D107" s="178" t="inlineStr">
        <is>
          <t>SOCIEDADE PERNAMBUCANA DO COMBATE AO CANCER</t>
        </is>
      </c>
      <c r="E107" s="208" t="inlineStr">
        <is>
          <t>10894988000133</t>
        </is>
      </c>
      <c r="F107" s="29" t="inlineStr">
        <is>
          <t>SOCIEDADE PERNAMBUCANA DO COMBATE AO CANCER</t>
        </is>
      </c>
      <c r="G107" s="254" t="inlineStr">
        <is>
          <t>0000582</t>
        </is>
      </c>
      <c r="H107" s="210" t="n"/>
      <c r="I107" s="210" t="n"/>
      <c r="J107" s="210" t="n"/>
      <c r="K107" s="210" t="inlineStr">
        <is>
          <t>Indireta</t>
        </is>
      </c>
      <c r="L107" s="211" t="inlineStr">
        <is>
          <t>Transferegov/SEI</t>
        </is>
      </c>
      <c r="M107" s="211" t="inlineStr">
        <is>
          <t>Convênio</t>
        </is>
      </c>
      <c r="N107" s="207" t="n">
        <v>2023</v>
      </c>
      <c r="O107" s="207" t="n">
        <v>945441</v>
      </c>
      <c r="P107" s="207" t="n">
        <v>91089423004</v>
      </c>
      <c r="Q107" s="210" t="n"/>
      <c r="R107" s="178" t="n"/>
      <c r="S107" s="210" t="n"/>
      <c r="T107" s="29" t="inlineStr">
        <is>
          <t>Maca de Transferência (dois carros)</t>
        </is>
      </c>
      <c r="U107" s="210" t="n"/>
      <c r="V107" s="210" t="n">
        <v>6</v>
      </c>
      <c r="W107" s="182" t="inlineStr">
        <is>
          <t xml:space="preserve"> UND</t>
        </is>
      </c>
      <c r="X107" s="210" t="inlineStr">
        <is>
          <t>EQUIPAMENTO</t>
        </is>
      </c>
      <c r="Y107" s="178" t="n"/>
      <c r="Z107" s="211" t="inlineStr">
        <is>
          <t xml:space="preserve"> NA</t>
        </is>
      </c>
      <c r="AA107" s="212" t="n"/>
      <c r="AB107" s="212" t="n"/>
      <c r="AC107" s="212" t="n"/>
      <c r="AD107" s="211" t="inlineStr">
        <is>
          <t>NI</t>
        </is>
      </c>
      <c r="AE107" s="211" t="inlineStr">
        <is>
          <t>NI</t>
        </is>
      </c>
      <c r="AF107" s="211" t="inlineStr">
        <is>
          <t>NI</t>
        </is>
      </c>
      <c r="AG107" s="177" t="n">
        <v>299762</v>
      </c>
      <c r="AH107" s="177" t="n"/>
      <c r="AI107" s="212" t="n"/>
      <c r="AJ107" s="182" t="n">
        <v>8535</v>
      </c>
      <c r="AK107" s="183" t="inlineStr">
        <is>
          <t> </t>
        </is>
      </c>
      <c r="AL107" s="183" t="inlineStr">
        <is>
          <t> </t>
        </is>
      </c>
      <c r="AM107" s="183" t="inlineStr">
        <is>
          <t> </t>
        </is>
      </c>
      <c r="AN107" s="183" t="inlineStr">
        <is>
          <t> </t>
        </is>
      </c>
      <c r="AO107" s="183" t="inlineStr">
        <is>
          <t> </t>
        </is>
      </c>
      <c r="AP107" s="183" t="inlineStr">
        <is>
          <t> </t>
        </is>
      </c>
      <c r="AQ107" s="183" t="inlineStr">
        <is>
          <t> </t>
        </is>
      </c>
      <c r="AR107" s="183" t="inlineStr">
        <is>
          <t> </t>
        </is>
      </c>
      <c r="AS107" s="183" t="inlineStr">
        <is>
          <t> </t>
        </is>
      </c>
      <c r="AT107" s="183" t="inlineStr">
        <is>
          <t> </t>
        </is>
      </c>
      <c r="AU107" s="183" t="inlineStr">
        <is>
          <t> </t>
        </is>
      </c>
      <c r="AV107" s="183" t="inlineStr">
        <is>
          <t> </t>
        </is>
      </c>
      <c r="AW107" s="183" t="inlineStr">
        <is>
          <t> </t>
        </is>
      </c>
      <c r="AX107" s="183" t="inlineStr">
        <is>
          <t> </t>
        </is>
      </c>
      <c r="AY107" s="210" t="inlineStr">
        <is>
          <t>PRESTAÇÃO DE CONTAS ENVIADA PARA ANÁLISE</t>
        </is>
      </c>
      <c r="AZ107" s="210" t="inlineStr">
        <is>
          <t>NI</t>
        </is>
      </c>
      <c r="BA107" s="210" t="inlineStr">
        <is>
          <t>NI</t>
        </is>
      </c>
      <c r="BB107" s="210" t="inlineStr">
        <is>
          <t>NI</t>
        </is>
      </c>
      <c r="BC107" s="212" t="n"/>
      <c r="BD107" s="210" t="n"/>
      <c r="BE107" s="210" t="n"/>
      <c r="BF107" s="178" t="n"/>
      <c r="BG107" s="210" t="n"/>
      <c r="BH107" s="210" t="n"/>
      <c r="BI107" s="210" t="n"/>
      <c r="BJ107" s="210" t="n"/>
      <c r="BK107" s="210" t="n"/>
      <c r="BL107" s="210" t="n"/>
      <c r="BM107" s="210" t="n"/>
      <c r="BN107" s="210" t="n"/>
      <c r="BO107" s="210" t="n"/>
      <c r="BP107" s="210" t="n"/>
      <c r="BQ107" s="210" t="n"/>
      <c r="BR107" s="210" t="n"/>
      <c r="BS107" s="210" t="n"/>
      <c r="BT107" s="212" t="n"/>
      <c r="BU107" s="177" t="n"/>
    </row>
    <row r="108" ht="60" customHeight="1">
      <c r="A108" s="178" t="inlineStr">
        <is>
          <t>NORDESTE</t>
        </is>
      </c>
      <c r="B108" s="207" t="inlineStr">
        <is>
          <t>PE</t>
        </is>
      </c>
      <c r="C108" s="29" t="inlineStr">
        <is>
          <t>RECIFE</t>
        </is>
      </c>
      <c r="D108" s="178" t="inlineStr">
        <is>
          <t>SOCIEDADE PERNAMBUCANA DO COMBATE AO CANCER</t>
        </is>
      </c>
      <c r="E108" s="208" t="inlineStr">
        <is>
          <t>10894988000133</t>
        </is>
      </c>
      <c r="F108" s="29" t="inlineStr">
        <is>
          <t>SOCIEDADE PERNAMBUCANA DO COMBATE AO CANCER</t>
        </is>
      </c>
      <c r="G108" s="254" t="inlineStr">
        <is>
          <t>0000582</t>
        </is>
      </c>
      <c r="H108" s="210" t="n"/>
      <c r="I108" s="210" t="n"/>
      <c r="J108" s="210" t="n"/>
      <c r="K108" s="210" t="inlineStr">
        <is>
          <t>Indireta</t>
        </is>
      </c>
      <c r="L108" s="211" t="inlineStr">
        <is>
          <t>Transferegov/SEI</t>
        </is>
      </c>
      <c r="M108" s="211" t="inlineStr">
        <is>
          <t>Convênio</t>
        </is>
      </c>
      <c r="N108" s="207" t="n">
        <v>2023</v>
      </c>
      <c r="O108" s="207" t="n">
        <v>945441</v>
      </c>
      <c r="P108" s="207" t="n">
        <v>91089423004</v>
      </c>
      <c r="Q108" s="210" t="n"/>
      <c r="R108" s="178" t="n"/>
      <c r="S108" s="210" t="n"/>
      <c r="T108" s="29" t="inlineStr">
        <is>
          <t>Colposcópio</t>
        </is>
      </c>
      <c r="U108" s="210" t="n"/>
      <c r="V108" s="210" t="n">
        <v>2</v>
      </c>
      <c r="W108" s="182" t="inlineStr">
        <is>
          <t xml:space="preserve"> UND</t>
        </is>
      </c>
      <c r="X108" s="210" t="inlineStr">
        <is>
          <t>EQUIPAMENTO</t>
        </is>
      </c>
      <c r="Y108" s="178" t="n"/>
      <c r="Z108" s="211" t="inlineStr">
        <is>
          <t xml:space="preserve"> NA</t>
        </is>
      </c>
      <c r="AA108" s="212" t="n"/>
      <c r="AB108" s="212" t="n"/>
      <c r="AC108" s="212" t="n"/>
      <c r="AD108" s="211" t="inlineStr">
        <is>
          <t>NI</t>
        </is>
      </c>
      <c r="AE108" s="211" t="inlineStr">
        <is>
          <t>NI</t>
        </is>
      </c>
      <c r="AF108" s="211" t="inlineStr">
        <is>
          <t>NI</t>
        </is>
      </c>
      <c r="AG108" s="177" t="n">
        <v>299762</v>
      </c>
      <c r="AH108" s="177" t="n"/>
      <c r="AI108" s="212" t="n"/>
      <c r="AJ108" s="182" t="n">
        <v>8535</v>
      </c>
      <c r="AK108" s="183" t="inlineStr">
        <is>
          <t> </t>
        </is>
      </c>
      <c r="AL108" s="183" t="inlineStr">
        <is>
          <t> </t>
        </is>
      </c>
      <c r="AM108" s="183" t="inlineStr">
        <is>
          <t> </t>
        </is>
      </c>
      <c r="AN108" s="183" t="inlineStr">
        <is>
          <t> </t>
        </is>
      </c>
      <c r="AO108" s="183" t="inlineStr">
        <is>
          <t> </t>
        </is>
      </c>
      <c r="AP108" s="183" t="inlineStr">
        <is>
          <t> </t>
        </is>
      </c>
      <c r="AQ108" s="183" t="inlineStr">
        <is>
          <t> </t>
        </is>
      </c>
      <c r="AR108" s="183" t="inlineStr">
        <is>
          <t> </t>
        </is>
      </c>
      <c r="AS108" s="183" t="inlineStr">
        <is>
          <t> </t>
        </is>
      </c>
      <c r="AT108" s="183" t="inlineStr">
        <is>
          <t> </t>
        </is>
      </c>
      <c r="AU108" s="183" t="inlineStr">
        <is>
          <t> </t>
        </is>
      </c>
      <c r="AV108" s="183" t="inlineStr">
        <is>
          <t> </t>
        </is>
      </c>
      <c r="AW108" s="183" t="inlineStr">
        <is>
          <t> </t>
        </is>
      </c>
      <c r="AX108" s="183" t="inlineStr">
        <is>
          <t> </t>
        </is>
      </c>
      <c r="AY108" s="210" t="inlineStr">
        <is>
          <t>PRESTAÇÃO DE CONTAS ENVIADA PARA ANÁLISE</t>
        </is>
      </c>
      <c r="AZ108" s="210" t="inlineStr">
        <is>
          <t>NI</t>
        </is>
      </c>
      <c r="BA108" s="210" t="inlineStr">
        <is>
          <t>NI</t>
        </is>
      </c>
      <c r="BB108" s="210" t="inlineStr">
        <is>
          <t>NI</t>
        </is>
      </c>
      <c r="BC108" s="212" t="n"/>
      <c r="BD108" s="210" t="n"/>
      <c r="BE108" s="210" t="n"/>
      <c r="BF108" s="178" t="n"/>
      <c r="BG108" s="210" t="n"/>
      <c r="BH108" s="210" t="n"/>
      <c r="BI108" s="210" t="n"/>
      <c r="BJ108" s="210" t="n"/>
      <c r="BK108" s="210" t="n"/>
      <c r="BL108" s="210" t="n"/>
      <c r="BM108" s="210" t="n"/>
      <c r="BN108" s="210" t="n"/>
      <c r="BO108" s="210" t="n"/>
      <c r="BP108" s="210" t="n"/>
      <c r="BQ108" s="210" t="n"/>
      <c r="BR108" s="210" t="n"/>
      <c r="BS108" s="210" t="n"/>
      <c r="BT108" s="212" t="n"/>
      <c r="BU108" s="177" t="n"/>
    </row>
    <row r="109" ht="60" customHeight="1">
      <c r="A109" s="178" t="inlineStr">
        <is>
          <t>NORDESTE</t>
        </is>
      </c>
      <c r="B109" s="207" t="inlineStr">
        <is>
          <t>PE</t>
        </is>
      </c>
      <c r="C109" s="29" t="inlineStr">
        <is>
          <t>RECIFE</t>
        </is>
      </c>
      <c r="D109" s="178" t="inlineStr">
        <is>
          <t>SOCIEDADE PERNAMBUCANA DO COMBATE AO CANCER</t>
        </is>
      </c>
      <c r="E109" s="208" t="inlineStr">
        <is>
          <t>10894988000133</t>
        </is>
      </c>
      <c r="F109" s="29" t="inlineStr">
        <is>
          <t>SOCIEDADE PERNAMBUCANA DO COMBATE AO CANCER</t>
        </is>
      </c>
      <c r="G109" s="254" t="inlineStr">
        <is>
          <t>0000582</t>
        </is>
      </c>
      <c r="H109" s="210" t="n"/>
      <c r="I109" s="210" t="n"/>
      <c r="J109" s="210" t="n"/>
      <c r="K109" s="210" t="inlineStr">
        <is>
          <t>Indireta</t>
        </is>
      </c>
      <c r="L109" s="211" t="inlineStr">
        <is>
          <t>Transferegov/SEI</t>
        </is>
      </c>
      <c r="M109" s="211" t="inlineStr">
        <is>
          <t>Convênio</t>
        </is>
      </c>
      <c r="N109" s="207" t="n">
        <v>2023</v>
      </c>
      <c r="O109" s="207" t="n">
        <v>947247</v>
      </c>
      <c r="P109" s="207" t="n">
        <v>91089423005</v>
      </c>
      <c r="Q109" s="210" t="n"/>
      <c r="R109" s="178" t="n"/>
      <c r="S109" s="210" t="n"/>
      <c r="T109" s="29" t="inlineStr">
        <is>
          <t>Esfigmomanômetro de Pedestal</t>
        </is>
      </c>
      <c r="U109" s="210" t="n"/>
      <c r="V109" s="210" t="n">
        <v>2</v>
      </c>
      <c r="W109" s="182" t="inlineStr">
        <is>
          <t xml:space="preserve"> UND</t>
        </is>
      </c>
      <c r="X109" s="210" t="inlineStr">
        <is>
          <t>EQUIPAMENTO</t>
        </is>
      </c>
      <c r="Y109" s="178" t="n"/>
      <c r="Z109" s="211" t="inlineStr">
        <is>
          <t xml:space="preserve"> NA</t>
        </is>
      </c>
      <c r="AA109" s="212" t="n"/>
      <c r="AB109" s="212" t="n"/>
      <c r="AC109" s="212" t="n"/>
      <c r="AD109" s="211" t="inlineStr">
        <is>
          <t>NI</t>
        </is>
      </c>
      <c r="AE109" s="211" t="inlineStr">
        <is>
          <t>NI</t>
        </is>
      </c>
      <c r="AF109" s="211" t="inlineStr">
        <is>
          <t>NI</t>
        </is>
      </c>
      <c r="AG109" s="177" t="n">
        <v>199531</v>
      </c>
      <c r="AH109" s="177" t="n"/>
      <c r="AI109" s="212" t="n"/>
      <c r="AJ109" s="182" t="n">
        <v>8535</v>
      </c>
      <c r="AK109" s="183" t="inlineStr">
        <is>
          <t> </t>
        </is>
      </c>
      <c r="AL109" s="183" t="inlineStr">
        <is>
          <t> </t>
        </is>
      </c>
      <c r="AM109" s="183" t="inlineStr">
        <is>
          <t> </t>
        </is>
      </c>
      <c r="AN109" s="183" t="inlineStr">
        <is>
          <t> </t>
        </is>
      </c>
      <c r="AO109" s="183" t="inlineStr">
        <is>
          <t> </t>
        </is>
      </c>
      <c r="AP109" s="183" t="inlineStr">
        <is>
          <t> </t>
        </is>
      </c>
      <c r="AQ109" s="183" t="inlineStr">
        <is>
          <t> </t>
        </is>
      </c>
      <c r="AR109" s="183" t="inlineStr">
        <is>
          <t> </t>
        </is>
      </c>
      <c r="AS109" s="183" t="inlineStr">
        <is>
          <t> </t>
        </is>
      </c>
      <c r="AT109" s="183" t="inlineStr">
        <is>
          <t> </t>
        </is>
      </c>
      <c r="AU109" s="183" t="inlineStr">
        <is>
          <t> </t>
        </is>
      </c>
      <c r="AV109" s="183" t="inlineStr">
        <is>
          <t> </t>
        </is>
      </c>
      <c r="AW109" s="183" t="inlineStr">
        <is>
          <t> </t>
        </is>
      </c>
      <c r="AX109" s="183" t="inlineStr">
        <is>
          <t> </t>
        </is>
      </c>
      <c r="AY109" s="210" t="inlineStr">
        <is>
          <t>EM EXECUÇÃO</t>
        </is>
      </c>
      <c r="AZ109" s="210" t="inlineStr">
        <is>
          <t>NI</t>
        </is>
      </c>
      <c r="BA109" s="210" t="inlineStr">
        <is>
          <t>NI</t>
        </is>
      </c>
      <c r="BB109" s="210" t="inlineStr">
        <is>
          <t>NI</t>
        </is>
      </c>
      <c r="BC109" s="212" t="n"/>
      <c r="BD109" s="210" t="n"/>
      <c r="BE109" s="210" t="n"/>
      <c r="BF109" s="178" t="n"/>
      <c r="BG109" s="210" t="n"/>
      <c r="BH109" s="210" t="n"/>
      <c r="BI109" s="210" t="n"/>
      <c r="BJ109" s="210" t="n"/>
      <c r="BK109" s="210" t="n"/>
      <c r="BL109" s="210" t="n"/>
      <c r="BM109" s="210" t="n"/>
      <c r="BN109" s="210" t="n"/>
      <c r="BO109" s="210" t="n"/>
      <c r="BP109" s="210" t="n"/>
      <c r="BQ109" s="210" t="n"/>
      <c r="BR109" s="210" t="n"/>
      <c r="BS109" s="210" t="n"/>
      <c r="BT109" s="212" t="n"/>
      <c r="BU109" s="177" t="n"/>
    </row>
    <row r="110" ht="60" customHeight="1">
      <c r="A110" s="178" t="inlineStr">
        <is>
          <t>NORDESTE</t>
        </is>
      </c>
      <c r="B110" s="207" t="inlineStr">
        <is>
          <t>PE</t>
        </is>
      </c>
      <c r="C110" s="29" t="inlineStr">
        <is>
          <t>RECIFE</t>
        </is>
      </c>
      <c r="D110" s="178" t="inlineStr">
        <is>
          <t>SOCIEDADE PERNAMBUCANA DO COMBATE AO CANCER</t>
        </is>
      </c>
      <c r="E110" s="208" t="inlineStr">
        <is>
          <t>10894988000133</t>
        </is>
      </c>
      <c r="F110" s="29" t="inlineStr">
        <is>
          <t>SOCIEDADE PERNAMBUCANA DO COMBATE AO CANCER</t>
        </is>
      </c>
      <c r="G110" s="254" t="inlineStr">
        <is>
          <t>0000582</t>
        </is>
      </c>
      <c r="H110" s="210" t="n"/>
      <c r="I110" s="210" t="n"/>
      <c r="J110" s="210" t="n"/>
      <c r="K110" s="210" t="inlineStr">
        <is>
          <t>Indireta</t>
        </is>
      </c>
      <c r="L110" s="211" t="inlineStr">
        <is>
          <t>Transferegov/SEI</t>
        </is>
      </c>
      <c r="M110" s="211" t="inlineStr">
        <is>
          <t>Convênio</t>
        </is>
      </c>
      <c r="N110" s="207" t="n">
        <v>2023</v>
      </c>
      <c r="O110" s="207" t="n">
        <v>947247</v>
      </c>
      <c r="P110" s="207" t="n">
        <v>91089423005</v>
      </c>
      <c r="Q110" s="210" t="n"/>
      <c r="R110" s="178" t="n"/>
      <c r="S110" s="210" t="n"/>
      <c r="T110" s="29" t="inlineStr">
        <is>
          <t>Aparelho de Anestesia</t>
        </is>
      </c>
      <c r="U110" s="210" t="n"/>
      <c r="V110" s="210" t="n">
        <v>1</v>
      </c>
      <c r="W110" s="182" t="inlineStr">
        <is>
          <t xml:space="preserve"> UND</t>
        </is>
      </c>
      <c r="X110" s="210" t="inlineStr">
        <is>
          <t>EQUIPAMENTO</t>
        </is>
      </c>
      <c r="Y110" s="178" t="n"/>
      <c r="Z110" s="211" t="inlineStr">
        <is>
          <t xml:space="preserve"> NA</t>
        </is>
      </c>
      <c r="AA110" s="212" t="n"/>
      <c r="AB110" s="212" t="n"/>
      <c r="AC110" s="212" t="n"/>
      <c r="AD110" s="211" t="inlineStr">
        <is>
          <t>NI</t>
        </is>
      </c>
      <c r="AE110" s="211" t="inlineStr">
        <is>
          <t>NI</t>
        </is>
      </c>
      <c r="AF110" s="211" t="inlineStr">
        <is>
          <t>NI</t>
        </is>
      </c>
      <c r="AG110" s="177" t="n">
        <v>199531</v>
      </c>
      <c r="AH110" s="177" t="n"/>
      <c r="AI110" s="212" t="n"/>
      <c r="AJ110" s="182" t="n">
        <v>8535</v>
      </c>
      <c r="AK110" s="183" t="inlineStr">
        <is>
          <t> </t>
        </is>
      </c>
      <c r="AL110" s="183" t="inlineStr">
        <is>
          <t> </t>
        </is>
      </c>
      <c r="AM110" s="183" t="inlineStr">
        <is>
          <t> </t>
        </is>
      </c>
      <c r="AN110" s="183" t="inlineStr">
        <is>
          <t> </t>
        </is>
      </c>
      <c r="AO110" s="183" t="inlineStr">
        <is>
          <t> </t>
        </is>
      </c>
      <c r="AP110" s="183" t="inlineStr">
        <is>
          <t> </t>
        </is>
      </c>
      <c r="AQ110" s="183" t="inlineStr">
        <is>
          <t> </t>
        </is>
      </c>
      <c r="AR110" s="183" t="inlineStr">
        <is>
          <t> </t>
        </is>
      </c>
      <c r="AS110" s="183" t="inlineStr">
        <is>
          <t> </t>
        </is>
      </c>
      <c r="AT110" s="183" t="inlineStr">
        <is>
          <t> </t>
        </is>
      </c>
      <c r="AU110" s="183" t="inlineStr">
        <is>
          <t> </t>
        </is>
      </c>
      <c r="AV110" s="183" t="inlineStr">
        <is>
          <t> </t>
        </is>
      </c>
      <c r="AW110" s="183" t="inlineStr">
        <is>
          <t> </t>
        </is>
      </c>
      <c r="AX110" s="183" t="inlineStr">
        <is>
          <t> </t>
        </is>
      </c>
      <c r="AY110" s="210" t="inlineStr">
        <is>
          <t>EM EXECUÇÃO</t>
        </is>
      </c>
      <c r="AZ110" s="210" t="inlineStr">
        <is>
          <t>NI</t>
        </is>
      </c>
      <c r="BA110" s="210" t="inlineStr">
        <is>
          <t>NI</t>
        </is>
      </c>
      <c r="BB110" s="210" t="inlineStr">
        <is>
          <t>NI</t>
        </is>
      </c>
      <c r="BC110" s="212" t="n"/>
      <c r="BD110" s="210" t="n"/>
      <c r="BE110" s="210" t="n"/>
      <c r="BF110" s="178" t="n"/>
      <c r="BG110" s="210" t="n"/>
      <c r="BH110" s="210" t="n"/>
      <c r="BI110" s="210" t="n"/>
      <c r="BJ110" s="210" t="n"/>
      <c r="BK110" s="210" t="n"/>
      <c r="BL110" s="210" t="n"/>
      <c r="BM110" s="210" t="n"/>
      <c r="BN110" s="210" t="n"/>
      <c r="BO110" s="210" t="n"/>
      <c r="BP110" s="210" t="n"/>
      <c r="BQ110" s="210" t="n"/>
      <c r="BR110" s="210" t="n"/>
      <c r="BS110" s="210" t="n"/>
      <c r="BT110" s="212" t="n"/>
      <c r="BU110" s="177" t="n"/>
    </row>
    <row r="111" ht="60" customHeight="1">
      <c r="A111" s="178" t="inlineStr">
        <is>
          <t>NORDESTE</t>
        </is>
      </c>
      <c r="B111" s="207" t="inlineStr">
        <is>
          <t>PE</t>
        </is>
      </c>
      <c r="C111" s="29" t="inlineStr">
        <is>
          <t>RECIFE</t>
        </is>
      </c>
      <c r="D111" s="178" t="inlineStr">
        <is>
          <t>SOCIEDADE PERNAMBUCANA DO COMBATE AO CANCER</t>
        </is>
      </c>
      <c r="E111" s="208" t="inlineStr">
        <is>
          <t>10894988000133</t>
        </is>
      </c>
      <c r="F111" s="29" t="inlineStr">
        <is>
          <t>SOCIEDADE PERNAMBUCANA DO COMBATE AO CANCER</t>
        </is>
      </c>
      <c r="G111" s="254" t="inlineStr">
        <is>
          <t>0000582</t>
        </is>
      </c>
      <c r="H111" s="210" t="n"/>
      <c r="I111" s="210" t="n"/>
      <c r="J111" s="210" t="n"/>
      <c r="K111" s="210" t="inlineStr">
        <is>
          <t>Indireta</t>
        </is>
      </c>
      <c r="L111" s="211" t="inlineStr">
        <is>
          <t>Transferegov/SEI</t>
        </is>
      </c>
      <c r="M111" s="211" t="inlineStr">
        <is>
          <t>Convênio</t>
        </is>
      </c>
      <c r="N111" s="207" t="n">
        <v>2023</v>
      </c>
      <c r="O111" s="207" t="n">
        <v>947247</v>
      </c>
      <c r="P111" s="207" t="n">
        <v>91089423005</v>
      </c>
      <c r="Q111" s="210" t="n"/>
      <c r="R111" s="178" t="n"/>
      <c r="S111" s="210" t="n"/>
      <c r="T111" s="29" t="inlineStr">
        <is>
          <t>Endoscópio Flexível (Fibroendoscopia)</t>
        </is>
      </c>
      <c r="U111" s="210" t="n"/>
      <c r="V111" s="210" t="n">
        <v>1</v>
      </c>
      <c r="W111" s="182" t="inlineStr">
        <is>
          <t xml:space="preserve"> UND</t>
        </is>
      </c>
      <c r="X111" s="210" t="inlineStr">
        <is>
          <t>EQUIPAMENTO</t>
        </is>
      </c>
      <c r="Y111" s="178" t="n"/>
      <c r="Z111" s="211" t="inlineStr">
        <is>
          <t xml:space="preserve"> NA</t>
        </is>
      </c>
      <c r="AA111" s="212" t="n"/>
      <c r="AB111" s="212" t="n"/>
      <c r="AC111" s="212" t="n"/>
      <c r="AD111" s="211" t="inlineStr">
        <is>
          <t>NI</t>
        </is>
      </c>
      <c r="AE111" s="211" t="inlineStr">
        <is>
          <t>NI</t>
        </is>
      </c>
      <c r="AF111" s="211" t="inlineStr">
        <is>
          <t>NI</t>
        </is>
      </c>
      <c r="AG111" s="177" t="n">
        <v>199531</v>
      </c>
      <c r="AH111" s="177" t="n"/>
      <c r="AI111" s="212" t="n"/>
      <c r="AJ111" s="182" t="n">
        <v>8535</v>
      </c>
      <c r="AK111" s="183" t="inlineStr">
        <is>
          <t> </t>
        </is>
      </c>
      <c r="AL111" s="183" t="inlineStr">
        <is>
          <t> </t>
        </is>
      </c>
      <c r="AM111" s="183" t="inlineStr">
        <is>
          <t> </t>
        </is>
      </c>
      <c r="AN111" s="183" t="inlineStr">
        <is>
          <t> </t>
        </is>
      </c>
      <c r="AO111" s="183" t="inlineStr">
        <is>
          <t> </t>
        </is>
      </c>
      <c r="AP111" s="183" t="inlineStr">
        <is>
          <t> </t>
        </is>
      </c>
      <c r="AQ111" s="183" t="inlineStr">
        <is>
          <t> </t>
        </is>
      </c>
      <c r="AR111" s="183" t="inlineStr">
        <is>
          <t> </t>
        </is>
      </c>
      <c r="AS111" s="183" t="inlineStr">
        <is>
          <t> </t>
        </is>
      </c>
      <c r="AT111" s="183" t="inlineStr">
        <is>
          <t> </t>
        </is>
      </c>
      <c r="AU111" s="183" t="inlineStr">
        <is>
          <t> </t>
        </is>
      </c>
      <c r="AV111" s="183" t="inlineStr">
        <is>
          <t> </t>
        </is>
      </c>
      <c r="AW111" s="183" t="inlineStr">
        <is>
          <t> </t>
        </is>
      </c>
      <c r="AX111" s="183" t="inlineStr">
        <is>
          <t> </t>
        </is>
      </c>
      <c r="AY111" s="210" t="inlineStr">
        <is>
          <t>EM EXECUÇÃO</t>
        </is>
      </c>
      <c r="AZ111" s="210" t="inlineStr">
        <is>
          <t>NI</t>
        </is>
      </c>
      <c r="BA111" s="210" t="inlineStr">
        <is>
          <t>NI</t>
        </is>
      </c>
      <c r="BB111" s="210" t="inlineStr">
        <is>
          <t>NI</t>
        </is>
      </c>
      <c r="BC111" s="212" t="n"/>
      <c r="BD111" s="210" t="n"/>
      <c r="BE111" s="210" t="n"/>
      <c r="BF111" s="178" t="n"/>
      <c r="BG111" s="210" t="n"/>
      <c r="BH111" s="210" t="n"/>
      <c r="BI111" s="210" t="n"/>
      <c r="BJ111" s="210" t="n"/>
      <c r="BK111" s="210" t="n"/>
      <c r="BL111" s="210" t="n"/>
      <c r="BM111" s="210" t="n"/>
      <c r="BN111" s="210" t="n"/>
      <c r="BO111" s="210" t="n"/>
      <c r="BP111" s="210" t="n"/>
      <c r="BQ111" s="210" t="n"/>
      <c r="BR111" s="210" t="n"/>
      <c r="BS111" s="210" t="n"/>
      <c r="BT111" s="212" t="n"/>
      <c r="BU111" s="177" t="n"/>
    </row>
    <row r="112" ht="60" customHeight="1">
      <c r="A112" s="178" t="inlineStr">
        <is>
          <t>NORDESTE</t>
        </is>
      </c>
      <c r="B112" s="207" t="inlineStr">
        <is>
          <t>PE</t>
        </is>
      </c>
      <c r="C112" s="29" t="inlineStr">
        <is>
          <t>RECIFE</t>
        </is>
      </c>
      <c r="D112" s="178" t="inlineStr">
        <is>
          <t>SOCIEDADE PERNAMBUCANA DO COMBATE AO CANCER</t>
        </is>
      </c>
      <c r="E112" s="208" t="inlineStr">
        <is>
          <t>10894988000133</t>
        </is>
      </c>
      <c r="F112" s="29" t="inlineStr">
        <is>
          <t>SOCIEDADE PERNAMBUCANA DO COMBATE AO CANCER</t>
        </is>
      </c>
      <c r="G112" s="254" t="inlineStr">
        <is>
          <t>0000582</t>
        </is>
      </c>
      <c r="H112" s="210" t="n"/>
      <c r="I112" s="210" t="n"/>
      <c r="J112" s="210" t="n"/>
      <c r="K112" s="210" t="inlineStr">
        <is>
          <t>Indireta</t>
        </is>
      </c>
      <c r="L112" s="211" t="inlineStr">
        <is>
          <t>Transferegov/SEI</t>
        </is>
      </c>
      <c r="M112" s="211" t="inlineStr">
        <is>
          <t>Convênio</t>
        </is>
      </c>
      <c r="N112" s="207" t="n">
        <v>2023</v>
      </c>
      <c r="O112" s="207" t="n">
        <v>947247</v>
      </c>
      <c r="P112" s="207" t="n">
        <v>91089423005</v>
      </c>
      <c r="Q112" s="210" t="n"/>
      <c r="R112" s="178" t="n"/>
      <c r="S112" s="210" t="n"/>
      <c r="T112" s="29" t="inlineStr">
        <is>
          <t>Manta Térmica Elétrica</t>
        </is>
      </c>
      <c r="U112" s="210" t="n"/>
      <c r="V112" s="210" t="n">
        <v>5</v>
      </c>
      <c r="W112" s="182" t="inlineStr">
        <is>
          <t xml:space="preserve"> UND</t>
        </is>
      </c>
      <c r="X112" s="210" t="inlineStr">
        <is>
          <t>EQUIPAMENTO</t>
        </is>
      </c>
      <c r="Y112" s="178" t="n"/>
      <c r="Z112" s="211" t="inlineStr">
        <is>
          <t xml:space="preserve"> NA</t>
        </is>
      </c>
      <c r="AA112" s="212" t="n"/>
      <c r="AB112" s="212" t="n"/>
      <c r="AC112" s="212" t="n"/>
      <c r="AD112" s="211" t="inlineStr">
        <is>
          <t>NI</t>
        </is>
      </c>
      <c r="AE112" s="211" t="inlineStr">
        <is>
          <t>NI</t>
        </is>
      </c>
      <c r="AF112" s="211" t="inlineStr">
        <is>
          <t>NI</t>
        </is>
      </c>
      <c r="AG112" s="177" t="n">
        <v>199531</v>
      </c>
      <c r="AH112" s="177" t="n"/>
      <c r="AI112" s="212" t="n"/>
      <c r="AJ112" s="182" t="n">
        <v>8535</v>
      </c>
      <c r="AK112" s="183" t="inlineStr">
        <is>
          <t> </t>
        </is>
      </c>
      <c r="AL112" s="183" t="inlineStr">
        <is>
          <t> </t>
        </is>
      </c>
      <c r="AM112" s="183" t="inlineStr">
        <is>
          <t> </t>
        </is>
      </c>
      <c r="AN112" s="183" t="inlineStr">
        <is>
          <t> </t>
        </is>
      </c>
      <c r="AO112" s="183" t="inlineStr">
        <is>
          <t> </t>
        </is>
      </c>
      <c r="AP112" s="183" t="inlineStr">
        <is>
          <t> </t>
        </is>
      </c>
      <c r="AQ112" s="183" t="inlineStr">
        <is>
          <t> </t>
        </is>
      </c>
      <c r="AR112" s="183" t="inlineStr">
        <is>
          <t> </t>
        </is>
      </c>
      <c r="AS112" s="183" t="inlineStr">
        <is>
          <t> </t>
        </is>
      </c>
      <c r="AT112" s="183" t="inlineStr">
        <is>
          <t> </t>
        </is>
      </c>
      <c r="AU112" s="183" t="inlineStr">
        <is>
          <t> </t>
        </is>
      </c>
      <c r="AV112" s="183" t="inlineStr">
        <is>
          <t> </t>
        </is>
      </c>
      <c r="AW112" s="183" t="inlineStr">
        <is>
          <t> </t>
        </is>
      </c>
      <c r="AX112" s="183" t="inlineStr">
        <is>
          <t> </t>
        </is>
      </c>
      <c r="AY112" s="210" t="inlineStr">
        <is>
          <t>EM EXECUÇÃO</t>
        </is>
      </c>
      <c r="AZ112" s="210" t="inlineStr">
        <is>
          <t>NI</t>
        </is>
      </c>
      <c r="BA112" s="210" t="inlineStr">
        <is>
          <t>NI</t>
        </is>
      </c>
      <c r="BB112" s="210" t="inlineStr">
        <is>
          <t>NI</t>
        </is>
      </c>
      <c r="BC112" s="212" t="n"/>
      <c r="BD112" s="210" t="n"/>
      <c r="BE112" s="210" t="n"/>
      <c r="BF112" s="178" t="n"/>
      <c r="BG112" s="210" t="n"/>
      <c r="BH112" s="210" t="n"/>
      <c r="BI112" s="210" t="n"/>
      <c r="BJ112" s="210" t="n"/>
      <c r="BK112" s="210" t="n"/>
      <c r="BL112" s="210" t="n"/>
      <c r="BM112" s="210" t="n"/>
      <c r="BN112" s="210" t="n"/>
      <c r="BO112" s="210" t="n"/>
      <c r="BP112" s="210" t="n"/>
      <c r="BQ112" s="210" t="n"/>
      <c r="BR112" s="210" t="n"/>
      <c r="BS112" s="210" t="n"/>
      <c r="BT112" s="212" t="n"/>
      <c r="BU112" s="177" t="n"/>
    </row>
    <row r="113" ht="60" customHeight="1">
      <c r="A113" s="178" t="inlineStr">
        <is>
          <t>NORDESTE</t>
        </is>
      </c>
      <c r="B113" s="207" t="inlineStr">
        <is>
          <t>PE</t>
        </is>
      </c>
      <c r="C113" s="29" t="inlineStr">
        <is>
          <t>RECIFE</t>
        </is>
      </c>
      <c r="D113" s="178" t="inlineStr">
        <is>
          <t>SOCIEDADE PERNAMBUCANA DO COMBATE AO CANCER</t>
        </is>
      </c>
      <c r="E113" s="208" t="inlineStr">
        <is>
          <t>10894988000133</t>
        </is>
      </c>
      <c r="F113" s="29" t="inlineStr">
        <is>
          <t>SOCIEDADE PERNAMBUCANA DO COMBATE AO CANCER</t>
        </is>
      </c>
      <c r="G113" s="254" t="inlineStr">
        <is>
          <t>0000582</t>
        </is>
      </c>
      <c r="H113" s="210" t="n"/>
      <c r="I113" s="210" t="n"/>
      <c r="J113" s="210" t="n"/>
      <c r="K113" s="210" t="inlineStr">
        <is>
          <t>Indireta</t>
        </is>
      </c>
      <c r="L113" s="211" t="inlineStr">
        <is>
          <t>Transferegov/SEI</t>
        </is>
      </c>
      <c r="M113" s="211" t="inlineStr">
        <is>
          <t>Convênio</t>
        </is>
      </c>
      <c r="N113" s="207" t="n">
        <v>2023</v>
      </c>
      <c r="O113" s="207" t="n">
        <v>947249</v>
      </c>
      <c r="P113" s="207" t="n">
        <v>91089423006</v>
      </c>
      <c r="Q113" s="210" t="n"/>
      <c r="R113" s="178" t="n"/>
      <c r="S113" s="210" t="n"/>
      <c r="T113" s="29" t="inlineStr">
        <is>
          <t>Banho-Maria</t>
        </is>
      </c>
      <c r="U113" s="210" t="n"/>
      <c r="V113" s="210" t="n">
        <v>1</v>
      </c>
      <c r="W113" s="182" t="inlineStr">
        <is>
          <t xml:space="preserve"> UND</t>
        </is>
      </c>
      <c r="X113" s="210" t="inlineStr">
        <is>
          <t>EQUIPAMENTO</t>
        </is>
      </c>
      <c r="Y113" s="178" t="n"/>
      <c r="Z113" s="211" t="inlineStr">
        <is>
          <t xml:space="preserve"> NA</t>
        </is>
      </c>
      <c r="AA113" s="212" t="n"/>
      <c r="AB113" s="212" t="n"/>
      <c r="AC113" s="212" t="n"/>
      <c r="AD113" s="211" t="inlineStr">
        <is>
          <t>NI</t>
        </is>
      </c>
      <c r="AE113" s="211" t="inlineStr">
        <is>
          <t>NI</t>
        </is>
      </c>
      <c r="AF113" s="211" t="inlineStr">
        <is>
          <t>NI</t>
        </is>
      </c>
      <c r="AG113" s="177" t="n">
        <v>147330</v>
      </c>
      <c r="AH113" s="177" t="n"/>
      <c r="AI113" s="212" t="n"/>
      <c r="AJ113" s="182" t="n">
        <v>8535</v>
      </c>
      <c r="AK113" s="183" t="inlineStr">
        <is>
          <t> </t>
        </is>
      </c>
      <c r="AL113" s="183" t="inlineStr">
        <is>
          <t> </t>
        </is>
      </c>
      <c r="AM113" s="183" t="inlineStr">
        <is>
          <t> </t>
        </is>
      </c>
      <c r="AN113" s="183" t="inlineStr">
        <is>
          <t> </t>
        </is>
      </c>
      <c r="AO113" s="183" t="inlineStr">
        <is>
          <t> </t>
        </is>
      </c>
      <c r="AP113" s="183" t="inlineStr">
        <is>
          <t> </t>
        </is>
      </c>
      <c r="AQ113" s="183" t="inlineStr">
        <is>
          <t> </t>
        </is>
      </c>
      <c r="AR113" s="183" t="inlineStr">
        <is>
          <t> </t>
        </is>
      </c>
      <c r="AS113" s="183" t="inlineStr">
        <is>
          <t> </t>
        </is>
      </c>
      <c r="AT113" s="183" t="inlineStr">
        <is>
          <t> </t>
        </is>
      </c>
      <c r="AU113" s="183" t="inlineStr">
        <is>
          <t> </t>
        </is>
      </c>
      <c r="AV113" s="183" t="inlineStr">
        <is>
          <t> </t>
        </is>
      </c>
      <c r="AW113" s="183" t="inlineStr">
        <is>
          <t> </t>
        </is>
      </c>
      <c r="AX113" s="183" t="inlineStr">
        <is>
          <t> </t>
        </is>
      </c>
      <c r="AY113" s="210" t="inlineStr">
        <is>
          <t>PRESTAÇÃO DE CONTAS ENVIADA PARA ANÁLISE</t>
        </is>
      </c>
      <c r="AZ113" s="210" t="inlineStr">
        <is>
          <t>NI</t>
        </is>
      </c>
      <c r="BA113" s="210" t="inlineStr">
        <is>
          <t>NI</t>
        </is>
      </c>
      <c r="BB113" s="210" t="inlineStr">
        <is>
          <t>NI</t>
        </is>
      </c>
      <c r="BC113" s="212" t="n"/>
      <c r="BD113" s="210" t="n"/>
      <c r="BE113" s="210" t="n"/>
      <c r="BF113" s="178" t="n"/>
      <c r="BG113" s="210" t="n"/>
      <c r="BH113" s="210" t="n"/>
      <c r="BI113" s="210" t="n"/>
      <c r="BJ113" s="210" t="n"/>
      <c r="BK113" s="210" t="n"/>
      <c r="BL113" s="210" t="n"/>
      <c r="BM113" s="210" t="n"/>
      <c r="BN113" s="210" t="n"/>
      <c r="BO113" s="210" t="n"/>
      <c r="BP113" s="210" t="n"/>
      <c r="BQ113" s="210" t="n"/>
      <c r="BR113" s="210" t="n"/>
      <c r="BS113" s="210" t="n"/>
      <c r="BT113" s="212" t="n"/>
      <c r="BU113" s="177" t="n"/>
    </row>
    <row r="114" ht="60" customHeight="1">
      <c r="A114" s="178" t="inlineStr">
        <is>
          <t>NORDESTE</t>
        </is>
      </c>
      <c r="B114" s="207" t="inlineStr">
        <is>
          <t>PE</t>
        </is>
      </c>
      <c r="C114" s="29" t="inlineStr">
        <is>
          <t>RECIFE</t>
        </is>
      </c>
      <c r="D114" s="178" t="inlineStr">
        <is>
          <t>SOCIEDADE PERNAMBUCANA DO COMBATE AO CANCER</t>
        </is>
      </c>
      <c r="E114" s="208" t="inlineStr">
        <is>
          <t>10894988000133</t>
        </is>
      </c>
      <c r="F114" s="29" t="inlineStr">
        <is>
          <t>SOCIEDADE PERNAMBUCANA DO COMBATE AO CANCER</t>
        </is>
      </c>
      <c r="G114" s="254" t="inlineStr">
        <is>
          <t>0000582</t>
        </is>
      </c>
      <c r="H114" s="210" t="n"/>
      <c r="I114" s="210" t="n"/>
      <c r="J114" s="210" t="n"/>
      <c r="K114" s="210" t="inlineStr">
        <is>
          <t>Indireta</t>
        </is>
      </c>
      <c r="L114" s="211" t="inlineStr">
        <is>
          <t>Transferegov/SEI</t>
        </is>
      </c>
      <c r="M114" s="211" t="inlineStr">
        <is>
          <t>Convênio</t>
        </is>
      </c>
      <c r="N114" s="207" t="n">
        <v>2023</v>
      </c>
      <c r="O114" s="207" t="n">
        <v>947249</v>
      </c>
      <c r="P114" s="207" t="n">
        <v>91089423006</v>
      </c>
      <c r="Q114" s="210" t="n"/>
      <c r="R114" s="178" t="n"/>
      <c r="S114" s="210" t="n"/>
      <c r="T114" s="29" t="inlineStr">
        <is>
          <t>Estufa de Secagem e Esterilização</t>
        </is>
      </c>
      <c r="U114" s="210" t="n"/>
      <c r="V114" s="210" t="n">
        <v>1</v>
      </c>
      <c r="W114" s="182" t="inlineStr">
        <is>
          <t xml:space="preserve"> UND</t>
        </is>
      </c>
      <c r="X114" s="210" t="inlineStr">
        <is>
          <t>EQUIPAMENTO</t>
        </is>
      </c>
      <c r="Y114" s="178" t="n"/>
      <c r="Z114" s="211" t="inlineStr">
        <is>
          <t xml:space="preserve"> NA</t>
        </is>
      </c>
      <c r="AA114" s="212" t="n"/>
      <c r="AB114" s="212" t="n"/>
      <c r="AC114" s="212" t="n"/>
      <c r="AD114" s="211" t="inlineStr">
        <is>
          <t>NI</t>
        </is>
      </c>
      <c r="AE114" s="211" t="inlineStr">
        <is>
          <t>NI</t>
        </is>
      </c>
      <c r="AF114" s="211" t="inlineStr">
        <is>
          <t>NI</t>
        </is>
      </c>
      <c r="AG114" s="177" t="n">
        <v>147330</v>
      </c>
      <c r="AH114" s="177" t="n"/>
      <c r="AI114" s="212" t="n"/>
      <c r="AJ114" s="182" t="n">
        <v>8535</v>
      </c>
      <c r="AK114" s="183" t="inlineStr">
        <is>
          <t> </t>
        </is>
      </c>
      <c r="AL114" s="183" t="inlineStr">
        <is>
          <t> </t>
        </is>
      </c>
      <c r="AM114" s="183" t="inlineStr">
        <is>
          <t> </t>
        </is>
      </c>
      <c r="AN114" s="183" t="inlineStr">
        <is>
          <t> </t>
        </is>
      </c>
      <c r="AO114" s="183" t="inlineStr">
        <is>
          <t> </t>
        </is>
      </c>
      <c r="AP114" s="183" t="inlineStr">
        <is>
          <t> </t>
        </is>
      </c>
      <c r="AQ114" s="183" t="inlineStr">
        <is>
          <t> </t>
        </is>
      </c>
      <c r="AR114" s="183" t="inlineStr">
        <is>
          <t> </t>
        </is>
      </c>
      <c r="AS114" s="183" t="inlineStr">
        <is>
          <t> </t>
        </is>
      </c>
      <c r="AT114" s="183" t="inlineStr">
        <is>
          <t> </t>
        </is>
      </c>
      <c r="AU114" s="183" t="inlineStr">
        <is>
          <t> </t>
        </is>
      </c>
      <c r="AV114" s="183" t="inlineStr">
        <is>
          <t> </t>
        </is>
      </c>
      <c r="AW114" s="183" t="inlineStr">
        <is>
          <t> </t>
        </is>
      </c>
      <c r="AX114" s="183" t="inlineStr">
        <is>
          <t> </t>
        </is>
      </c>
      <c r="AY114" s="210" t="inlineStr">
        <is>
          <t>PRESTAÇÃO DE CONTAS ENVIADA PARA ANÁLISE</t>
        </is>
      </c>
      <c r="AZ114" s="210" t="inlineStr">
        <is>
          <t>NI</t>
        </is>
      </c>
      <c r="BA114" s="210" t="inlineStr">
        <is>
          <t>NI</t>
        </is>
      </c>
      <c r="BB114" s="210" t="inlineStr">
        <is>
          <t>NI</t>
        </is>
      </c>
      <c r="BC114" s="212" t="n"/>
      <c r="BD114" s="210" t="n"/>
      <c r="BE114" s="210" t="n"/>
      <c r="BF114" s="178" t="n"/>
      <c r="BG114" s="210" t="n"/>
      <c r="BH114" s="210" t="n"/>
      <c r="BI114" s="210" t="n"/>
      <c r="BJ114" s="210" t="n"/>
      <c r="BK114" s="210" t="n"/>
      <c r="BL114" s="210" t="n"/>
      <c r="BM114" s="210" t="n"/>
      <c r="BN114" s="210" t="n"/>
      <c r="BO114" s="210" t="n"/>
      <c r="BP114" s="210" t="n"/>
      <c r="BQ114" s="210" t="n"/>
      <c r="BR114" s="210" t="n"/>
      <c r="BS114" s="210" t="n"/>
      <c r="BT114" s="212" t="n"/>
      <c r="BU114" s="177" t="n"/>
    </row>
    <row r="115" ht="60" customHeight="1">
      <c r="A115" s="178" t="inlineStr">
        <is>
          <t>NORDESTE</t>
        </is>
      </c>
      <c r="B115" s="207" t="inlineStr">
        <is>
          <t>PE</t>
        </is>
      </c>
      <c r="C115" s="29" t="inlineStr">
        <is>
          <t>RECIFE</t>
        </is>
      </c>
      <c r="D115" s="178" t="inlineStr">
        <is>
          <t>SOCIEDADE PERNAMBUCANA DO COMBATE AO CANCER</t>
        </is>
      </c>
      <c r="E115" s="208" t="inlineStr">
        <is>
          <t>10894988000133</t>
        </is>
      </c>
      <c r="F115" s="29" t="inlineStr">
        <is>
          <t>SOCIEDADE PERNAMBUCANA DO COMBATE AO CANCER</t>
        </is>
      </c>
      <c r="G115" s="254" t="inlineStr">
        <is>
          <t>0000582</t>
        </is>
      </c>
      <c r="H115" s="210" t="n"/>
      <c r="I115" s="210" t="n"/>
      <c r="J115" s="210" t="n"/>
      <c r="K115" s="210" t="inlineStr">
        <is>
          <t>Indireta</t>
        </is>
      </c>
      <c r="L115" s="211" t="inlineStr">
        <is>
          <t>Transferegov/SEI</t>
        </is>
      </c>
      <c r="M115" s="211" t="inlineStr">
        <is>
          <t>Convênio</t>
        </is>
      </c>
      <c r="N115" s="207" t="n">
        <v>2023</v>
      </c>
      <c r="O115" s="207" t="n">
        <v>947249</v>
      </c>
      <c r="P115" s="207" t="n">
        <v>91089423006</v>
      </c>
      <c r="Q115" s="210" t="n"/>
      <c r="R115" s="178" t="n"/>
      <c r="S115" s="210" t="n"/>
      <c r="T115" s="29" t="inlineStr">
        <is>
          <t>Aspirador de Secreções Elétrico Móvel</t>
        </is>
      </c>
      <c r="U115" s="210" t="n"/>
      <c r="V115" s="210" t="n">
        <v>2</v>
      </c>
      <c r="W115" s="182" t="inlineStr">
        <is>
          <t xml:space="preserve"> UND</t>
        </is>
      </c>
      <c r="X115" s="210" t="inlineStr">
        <is>
          <t>EQUIPAMENTO</t>
        </is>
      </c>
      <c r="Y115" s="178" t="n"/>
      <c r="Z115" s="211" t="inlineStr">
        <is>
          <t xml:space="preserve"> NA</t>
        </is>
      </c>
      <c r="AA115" s="212" t="n"/>
      <c r="AB115" s="212" t="n"/>
      <c r="AC115" s="212" t="n"/>
      <c r="AD115" s="211" t="inlineStr">
        <is>
          <t>NI</t>
        </is>
      </c>
      <c r="AE115" s="211" t="inlineStr">
        <is>
          <t>NI</t>
        </is>
      </c>
      <c r="AF115" s="211" t="inlineStr">
        <is>
          <t>NI</t>
        </is>
      </c>
      <c r="AG115" s="177" t="n">
        <v>147330</v>
      </c>
      <c r="AH115" s="177" t="n"/>
      <c r="AI115" s="212" t="n"/>
      <c r="AJ115" s="182" t="n">
        <v>8535</v>
      </c>
      <c r="AK115" s="183" t="inlineStr">
        <is>
          <t> </t>
        </is>
      </c>
      <c r="AL115" s="183" t="inlineStr">
        <is>
          <t> </t>
        </is>
      </c>
      <c r="AM115" s="183" t="inlineStr">
        <is>
          <t> </t>
        </is>
      </c>
      <c r="AN115" s="183" t="inlineStr">
        <is>
          <t> </t>
        </is>
      </c>
      <c r="AO115" s="183" t="inlineStr">
        <is>
          <t> </t>
        </is>
      </c>
      <c r="AP115" s="183" t="inlineStr">
        <is>
          <t> </t>
        </is>
      </c>
      <c r="AQ115" s="183" t="inlineStr">
        <is>
          <t> </t>
        </is>
      </c>
      <c r="AR115" s="183" t="inlineStr">
        <is>
          <t> </t>
        </is>
      </c>
      <c r="AS115" s="183" t="inlineStr">
        <is>
          <t> </t>
        </is>
      </c>
      <c r="AT115" s="183" t="inlineStr">
        <is>
          <t> </t>
        </is>
      </c>
      <c r="AU115" s="183" t="inlineStr">
        <is>
          <t> </t>
        </is>
      </c>
      <c r="AV115" s="183" t="inlineStr">
        <is>
          <t> </t>
        </is>
      </c>
      <c r="AW115" s="183" t="inlineStr">
        <is>
          <t> </t>
        </is>
      </c>
      <c r="AX115" s="183" t="inlineStr">
        <is>
          <t> </t>
        </is>
      </c>
      <c r="AY115" s="210" t="inlineStr">
        <is>
          <t>PRESTAÇÃO DE CONTAS ENVIADA PARA ANÁLISE</t>
        </is>
      </c>
      <c r="AZ115" s="210" t="inlineStr">
        <is>
          <t>NI</t>
        </is>
      </c>
      <c r="BA115" s="210" t="inlineStr">
        <is>
          <t>NI</t>
        </is>
      </c>
      <c r="BB115" s="210" t="inlineStr">
        <is>
          <t>NI</t>
        </is>
      </c>
      <c r="BC115" s="212" t="n"/>
      <c r="BD115" s="210" t="n"/>
      <c r="BE115" s="210" t="n"/>
      <c r="BF115" s="178" t="n"/>
      <c r="BG115" s="210" t="n"/>
      <c r="BH115" s="210" t="n"/>
      <c r="BI115" s="210" t="n"/>
      <c r="BJ115" s="210" t="n"/>
      <c r="BK115" s="210" t="n"/>
      <c r="BL115" s="210" t="n"/>
      <c r="BM115" s="210" t="n"/>
      <c r="BN115" s="210" t="n"/>
      <c r="BO115" s="210" t="n"/>
      <c r="BP115" s="210" t="n"/>
      <c r="BQ115" s="210" t="n"/>
      <c r="BR115" s="210" t="n"/>
      <c r="BS115" s="210" t="n"/>
      <c r="BT115" s="212" t="n"/>
      <c r="BU115" s="177" t="n"/>
    </row>
    <row r="116" ht="60" customHeight="1">
      <c r="A116" s="178" t="inlineStr">
        <is>
          <t>NORDESTE</t>
        </is>
      </c>
      <c r="B116" s="207" t="inlineStr">
        <is>
          <t>PE</t>
        </is>
      </c>
      <c r="C116" s="29" t="inlineStr">
        <is>
          <t>RECIFE</t>
        </is>
      </c>
      <c r="D116" s="178" t="inlineStr">
        <is>
          <t>SOCIEDADE PERNAMBUCANA DO COMBATE AO CANCER</t>
        </is>
      </c>
      <c r="E116" s="208" t="inlineStr">
        <is>
          <t>10894988000133</t>
        </is>
      </c>
      <c r="F116" s="29" t="inlineStr">
        <is>
          <t>SOCIEDADE PERNAMBUCANA DO COMBATE AO CANCER</t>
        </is>
      </c>
      <c r="G116" s="254" t="inlineStr">
        <is>
          <t>0000582</t>
        </is>
      </c>
      <c r="H116" s="210" t="n"/>
      <c r="I116" s="210" t="n"/>
      <c r="J116" s="210" t="n"/>
      <c r="K116" s="210" t="inlineStr">
        <is>
          <t>Indireta</t>
        </is>
      </c>
      <c r="L116" s="211" t="inlineStr">
        <is>
          <t>Transferegov/SEI</t>
        </is>
      </c>
      <c r="M116" s="211" t="inlineStr">
        <is>
          <t>Convênio</t>
        </is>
      </c>
      <c r="N116" s="207" t="n">
        <v>2023</v>
      </c>
      <c r="O116" s="207" t="n">
        <v>947249</v>
      </c>
      <c r="P116" s="207" t="n">
        <v>91089423006</v>
      </c>
      <c r="Q116" s="210" t="n"/>
      <c r="R116" s="178" t="n"/>
      <c r="S116" s="210" t="n"/>
      <c r="T116" s="29" t="inlineStr">
        <is>
          <t>Endoscópio Rígido</t>
        </is>
      </c>
      <c r="U116" s="210" t="n"/>
      <c r="V116" s="210" t="n">
        <v>1</v>
      </c>
      <c r="W116" s="182" t="inlineStr">
        <is>
          <t xml:space="preserve"> UND</t>
        </is>
      </c>
      <c r="X116" s="210" t="inlineStr">
        <is>
          <t>EQUIPAMENTO</t>
        </is>
      </c>
      <c r="Y116" s="178" t="n"/>
      <c r="Z116" s="211" t="inlineStr">
        <is>
          <t xml:space="preserve"> NA</t>
        </is>
      </c>
      <c r="AA116" s="212" t="n"/>
      <c r="AB116" s="212" t="n"/>
      <c r="AC116" s="212" t="n"/>
      <c r="AD116" s="211" t="inlineStr">
        <is>
          <t>NI</t>
        </is>
      </c>
      <c r="AE116" s="211" t="inlineStr">
        <is>
          <t>NI</t>
        </is>
      </c>
      <c r="AF116" s="211" t="inlineStr">
        <is>
          <t>NI</t>
        </is>
      </c>
      <c r="AG116" s="177" t="n">
        <v>147330</v>
      </c>
      <c r="AH116" s="177" t="n"/>
      <c r="AI116" s="212" t="n"/>
      <c r="AJ116" s="182" t="n">
        <v>8535</v>
      </c>
      <c r="AK116" s="183" t="inlineStr">
        <is>
          <t> </t>
        </is>
      </c>
      <c r="AL116" s="183" t="inlineStr">
        <is>
          <t> </t>
        </is>
      </c>
      <c r="AM116" s="183" t="inlineStr">
        <is>
          <t> </t>
        </is>
      </c>
      <c r="AN116" s="183" t="inlineStr">
        <is>
          <t> </t>
        </is>
      </c>
      <c r="AO116" s="183" t="inlineStr">
        <is>
          <t> </t>
        </is>
      </c>
      <c r="AP116" s="183" t="inlineStr">
        <is>
          <t> </t>
        </is>
      </c>
      <c r="AQ116" s="183" t="inlineStr">
        <is>
          <t> </t>
        </is>
      </c>
      <c r="AR116" s="183" t="inlineStr">
        <is>
          <t> </t>
        </is>
      </c>
      <c r="AS116" s="183" t="inlineStr">
        <is>
          <t> </t>
        </is>
      </c>
      <c r="AT116" s="183" t="inlineStr">
        <is>
          <t> </t>
        </is>
      </c>
      <c r="AU116" s="183" t="inlineStr">
        <is>
          <t> </t>
        </is>
      </c>
      <c r="AV116" s="183" t="inlineStr">
        <is>
          <t> </t>
        </is>
      </c>
      <c r="AW116" s="183" t="inlineStr">
        <is>
          <t> </t>
        </is>
      </c>
      <c r="AX116" s="183" t="inlineStr">
        <is>
          <t> </t>
        </is>
      </c>
      <c r="AY116" s="210" t="inlineStr">
        <is>
          <t>PRESTAÇÃO DE CONTAS ENVIADA PARA ANÁLISE</t>
        </is>
      </c>
      <c r="AZ116" s="210" t="inlineStr">
        <is>
          <t>NI</t>
        </is>
      </c>
      <c r="BA116" s="210" t="inlineStr">
        <is>
          <t>NI</t>
        </is>
      </c>
      <c r="BB116" s="210" t="inlineStr">
        <is>
          <t>NI</t>
        </is>
      </c>
      <c r="BC116" s="212" t="n"/>
      <c r="BD116" s="210" t="n"/>
      <c r="BE116" s="210" t="n"/>
      <c r="BF116" s="178" t="n"/>
      <c r="BG116" s="210" t="n"/>
      <c r="BH116" s="210" t="n"/>
      <c r="BI116" s="210" t="n"/>
      <c r="BJ116" s="210" t="n"/>
      <c r="BK116" s="210" t="n"/>
      <c r="BL116" s="210" t="n"/>
      <c r="BM116" s="210" t="n"/>
      <c r="BN116" s="210" t="n"/>
      <c r="BO116" s="210" t="n"/>
      <c r="BP116" s="210" t="n"/>
      <c r="BQ116" s="210" t="n"/>
      <c r="BR116" s="210" t="n"/>
      <c r="BS116" s="210" t="n"/>
      <c r="BT116" s="212" t="n"/>
      <c r="BU116" s="177" t="n"/>
    </row>
    <row r="117" ht="60" customHeight="1">
      <c r="A117" s="178" t="inlineStr">
        <is>
          <t>NORDESTE</t>
        </is>
      </c>
      <c r="B117" s="207" t="inlineStr">
        <is>
          <t>PE</t>
        </is>
      </c>
      <c r="C117" s="29" t="inlineStr">
        <is>
          <t>RECIFE</t>
        </is>
      </c>
      <c r="D117" s="178" t="inlineStr">
        <is>
          <t>SOCIEDADE PERNAMBUCANA DO COMBATE AO CANCER</t>
        </is>
      </c>
      <c r="E117" s="208" t="inlineStr">
        <is>
          <t>10894988000133</t>
        </is>
      </c>
      <c r="F117" s="29" t="inlineStr">
        <is>
          <t>SOCIEDADE PERNAMBUCANA DO COMBATE AO CANCER</t>
        </is>
      </c>
      <c r="G117" s="254" t="inlineStr">
        <is>
          <t>0000582</t>
        </is>
      </c>
      <c r="H117" s="210" t="n"/>
      <c r="I117" s="210" t="n"/>
      <c r="J117" s="210" t="n"/>
      <c r="K117" s="210" t="inlineStr">
        <is>
          <t>Indireta</t>
        </is>
      </c>
      <c r="L117" s="211" t="inlineStr">
        <is>
          <t>Transferegov/SEI</t>
        </is>
      </c>
      <c r="M117" s="211" t="inlineStr">
        <is>
          <t>Convênio</t>
        </is>
      </c>
      <c r="N117" s="207" t="n">
        <v>2023</v>
      </c>
      <c r="O117" s="207" t="n">
        <v>947249</v>
      </c>
      <c r="P117" s="207" t="n">
        <v>91089423006</v>
      </c>
      <c r="Q117" s="210" t="n"/>
      <c r="R117" s="178" t="n"/>
      <c r="S117" s="210" t="n"/>
      <c r="T117" s="29" t="inlineStr">
        <is>
          <t>Estetoscópio Adulto</t>
        </is>
      </c>
      <c r="U117" s="210" t="n"/>
      <c r="V117" s="210" t="n">
        <v>10</v>
      </c>
      <c r="W117" s="182" t="inlineStr">
        <is>
          <t xml:space="preserve"> UND</t>
        </is>
      </c>
      <c r="X117" s="210" t="inlineStr">
        <is>
          <t>EQUIPAMENTO</t>
        </is>
      </c>
      <c r="Y117" s="178" t="n"/>
      <c r="Z117" s="211" t="inlineStr">
        <is>
          <t xml:space="preserve"> NA</t>
        </is>
      </c>
      <c r="AA117" s="212" t="n"/>
      <c r="AB117" s="212" t="n"/>
      <c r="AC117" s="212" t="n"/>
      <c r="AD117" s="211" t="inlineStr">
        <is>
          <t>NI</t>
        </is>
      </c>
      <c r="AE117" s="211" t="inlineStr">
        <is>
          <t>NI</t>
        </is>
      </c>
      <c r="AF117" s="211" t="inlineStr">
        <is>
          <t>NI</t>
        </is>
      </c>
      <c r="AG117" s="177" t="n">
        <v>147330</v>
      </c>
      <c r="AH117" s="177" t="n"/>
      <c r="AI117" s="212" t="n"/>
      <c r="AJ117" s="182" t="n">
        <v>8535</v>
      </c>
      <c r="AK117" s="183" t="inlineStr">
        <is>
          <t> </t>
        </is>
      </c>
      <c r="AL117" s="183" t="inlineStr">
        <is>
          <t> </t>
        </is>
      </c>
      <c r="AM117" s="183" t="inlineStr">
        <is>
          <t> </t>
        </is>
      </c>
      <c r="AN117" s="183" t="inlineStr">
        <is>
          <t> </t>
        </is>
      </c>
      <c r="AO117" s="183" t="inlineStr">
        <is>
          <t> </t>
        </is>
      </c>
      <c r="AP117" s="183" t="inlineStr">
        <is>
          <t> </t>
        </is>
      </c>
      <c r="AQ117" s="183" t="inlineStr">
        <is>
          <t> </t>
        </is>
      </c>
      <c r="AR117" s="183" t="inlineStr">
        <is>
          <t> </t>
        </is>
      </c>
      <c r="AS117" s="183" t="inlineStr">
        <is>
          <t> </t>
        </is>
      </c>
      <c r="AT117" s="183" t="inlineStr">
        <is>
          <t> </t>
        </is>
      </c>
      <c r="AU117" s="183" t="inlineStr">
        <is>
          <t> </t>
        </is>
      </c>
      <c r="AV117" s="183" t="inlineStr">
        <is>
          <t> </t>
        </is>
      </c>
      <c r="AW117" s="183" t="inlineStr">
        <is>
          <t> </t>
        </is>
      </c>
      <c r="AX117" s="183" t="inlineStr">
        <is>
          <t> </t>
        </is>
      </c>
      <c r="AY117" s="210" t="inlineStr">
        <is>
          <t>PRESTAÇÃO DE CONTAS ENVIADA PARA ANÁLISE</t>
        </is>
      </c>
      <c r="AZ117" s="210" t="inlineStr">
        <is>
          <t>NI</t>
        </is>
      </c>
      <c r="BA117" s="210" t="inlineStr">
        <is>
          <t>NI</t>
        </is>
      </c>
      <c r="BB117" s="210" t="inlineStr">
        <is>
          <t>NI</t>
        </is>
      </c>
      <c r="BC117" s="212" t="n"/>
      <c r="BD117" s="210" t="n"/>
      <c r="BE117" s="210" t="n"/>
      <c r="BF117" s="178" t="n"/>
      <c r="BG117" s="210" t="n"/>
      <c r="BH117" s="210" t="n"/>
      <c r="BI117" s="210" t="n"/>
      <c r="BJ117" s="210" t="n"/>
      <c r="BK117" s="210" t="n"/>
      <c r="BL117" s="210" t="n"/>
      <c r="BM117" s="210" t="n"/>
      <c r="BN117" s="210" t="n"/>
      <c r="BO117" s="210" t="n"/>
      <c r="BP117" s="210" t="n"/>
      <c r="BQ117" s="210" t="n"/>
      <c r="BR117" s="210" t="n"/>
      <c r="BS117" s="210" t="n"/>
      <c r="BT117" s="212" t="n"/>
      <c r="BU117" s="177" t="n"/>
    </row>
    <row r="118" ht="60" customHeight="1">
      <c r="A118" s="178" t="inlineStr">
        <is>
          <t>NORDESTE</t>
        </is>
      </c>
      <c r="B118" s="207" t="inlineStr">
        <is>
          <t>PE</t>
        </is>
      </c>
      <c r="C118" s="29" t="inlineStr">
        <is>
          <t>RECIFE</t>
        </is>
      </c>
      <c r="D118" s="178" t="inlineStr">
        <is>
          <t>SOCIEDADE PERNAMBUCANA DO COMBATE AO CANCER</t>
        </is>
      </c>
      <c r="E118" s="208" t="inlineStr">
        <is>
          <t>10894988000133</t>
        </is>
      </c>
      <c r="F118" s="29" t="inlineStr">
        <is>
          <t>SOCIEDADE PERNAMBUCANA DO COMBATE AO CANCER</t>
        </is>
      </c>
      <c r="G118" s="254" t="inlineStr">
        <is>
          <t>0000582</t>
        </is>
      </c>
      <c r="H118" s="210" t="n"/>
      <c r="I118" s="210" t="n"/>
      <c r="J118" s="210" t="n"/>
      <c r="K118" s="210" t="inlineStr">
        <is>
          <t>Indireta</t>
        </is>
      </c>
      <c r="L118" s="211" t="inlineStr">
        <is>
          <t>Transferegov/SEI</t>
        </is>
      </c>
      <c r="M118" s="211" t="inlineStr">
        <is>
          <t>Convênio</t>
        </is>
      </c>
      <c r="N118" s="207" t="n">
        <v>2023</v>
      </c>
      <c r="O118" s="207" t="n">
        <v>947249</v>
      </c>
      <c r="P118" s="207" t="n">
        <v>91089423006</v>
      </c>
      <c r="Q118" s="210" t="n"/>
      <c r="R118" s="178" t="n"/>
      <c r="S118" s="210" t="n"/>
      <c r="T118" s="29" t="inlineStr">
        <is>
          <t>Marcapasso Cardíaco Externo</t>
        </is>
      </c>
      <c r="U118" s="210" t="n"/>
      <c r="V118" s="210" t="n">
        <v>1</v>
      </c>
      <c r="W118" s="182" t="inlineStr">
        <is>
          <t xml:space="preserve"> UND</t>
        </is>
      </c>
      <c r="X118" s="210" t="inlineStr">
        <is>
          <t>EQUIPAMENTO</t>
        </is>
      </c>
      <c r="Y118" s="178" t="n"/>
      <c r="Z118" s="211" t="inlineStr">
        <is>
          <t xml:space="preserve"> NA</t>
        </is>
      </c>
      <c r="AA118" s="212" t="n"/>
      <c r="AB118" s="212" t="n"/>
      <c r="AC118" s="212" t="n"/>
      <c r="AD118" s="211" t="inlineStr">
        <is>
          <t>NI</t>
        </is>
      </c>
      <c r="AE118" s="211" t="inlineStr">
        <is>
          <t>NI</t>
        </is>
      </c>
      <c r="AF118" s="211" t="inlineStr">
        <is>
          <t>NI</t>
        </is>
      </c>
      <c r="AG118" s="177" t="n">
        <v>147330</v>
      </c>
      <c r="AH118" s="177" t="n"/>
      <c r="AI118" s="212" t="n"/>
      <c r="AJ118" s="182" t="n">
        <v>8535</v>
      </c>
      <c r="AK118" s="183" t="inlineStr">
        <is>
          <t> </t>
        </is>
      </c>
      <c r="AL118" s="183" t="inlineStr">
        <is>
          <t> </t>
        </is>
      </c>
      <c r="AM118" s="183" t="inlineStr">
        <is>
          <t> </t>
        </is>
      </c>
      <c r="AN118" s="183" t="inlineStr">
        <is>
          <t> </t>
        </is>
      </c>
      <c r="AO118" s="183" t="inlineStr">
        <is>
          <t> </t>
        </is>
      </c>
      <c r="AP118" s="183" t="inlineStr">
        <is>
          <t> </t>
        </is>
      </c>
      <c r="AQ118" s="183" t="inlineStr">
        <is>
          <t> </t>
        </is>
      </c>
      <c r="AR118" s="183" t="inlineStr">
        <is>
          <t> </t>
        </is>
      </c>
      <c r="AS118" s="183" t="inlineStr">
        <is>
          <t> </t>
        </is>
      </c>
      <c r="AT118" s="183" t="inlineStr">
        <is>
          <t> </t>
        </is>
      </c>
      <c r="AU118" s="183" t="inlineStr">
        <is>
          <t> </t>
        </is>
      </c>
      <c r="AV118" s="183" t="inlineStr">
        <is>
          <t> </t>
        </is>
      </c>
      <c r="AW118" s="183" t="inlineStr">
        <is>
          <t> </t>
        </is>
      </c>
      <c r="AX118" s="183" t="inlineStr">
        <is>
          <t> </t>
        </is>
      </c>
      <c r="AY118" s="210" t="inlineStr">
        <is>
          <t>PRESTAÇÃO DE CONTAS ENVIADA PARA ANÁLISE</t>
        </is>
      </c>
      <c r="AZ118" s="210" t="inlineStr">
        <is>
          <t>NI</t>
        </is>
      </c>
      <c r="BA118" s="210" t="inlineStr">
        <is>
          <t>NI</t>
        </is>
      </c>
      <c r="BB118" s="210" t="inlineStr">
        <is>
          <t>NI</t>
        </is>
      </c>
      <c r="BC118" s="212" t="n"/>
      <c r="BD118" s="210" t="n"/>
      <c r="BE118" s="210" t="n"/>
      <c r="BF118" s="178" t="n"/>
      <c r="BG118" s="210" t="n"/>
      <c r="BH118" s="210" t="n"/>
      <c r="BI118" s="210" t="n"/>
      <c r="BJ118" s="210" t="n"/>
      <c r="BK118" s="210" t="n"/>
      <c r="BL118" s="210" t="n"/>
      <c r="BM118" s="210" t="n"/>
      <c r="BN118" s="210" t="n"/>
      <c r="BO118" s="210" t="n"/>
      <c r="BP118" s="210" t="n"/>
      <c r="BQ118" s="210" t="n"/>
      <c r="BR118" s="210" t="n"/>
      <c r="BS118" s="210" t="n"/>
      <c r="BT118" s="212" t="n"/>
      <c r="BU118" s="177" t="n"/>
    </row>
    <row r="119" ht="60" customHeight="1">
      <c r="A119" s="178" t="inlineStr">
        <is>
          <t>NORDESTE</t>
        </is>
      </c>
      <c r="B119" s="207" t="inlineStr">
        <is>
          <t>PE</t>
        </is>
      </c>
      <c r="C119" s="29" t="inlineStr">
        <is>
          <t>RECIFE</t>
        </is>
      </c>
      <c r="D119" s="178" t="inlineStr">
        <is>
          <t>SOCIEDADE PERNAMBUCANA DO COMBATE AO CANCER</t>
        </is>
      </c>
      <c r="E119" s="208" t="inlineStr">
        <is>
          <t>10894988000133</t>
        </is>
      </c>
      <c r="F119" s="29" t="inlineStr">
        <is>
          <t>SOCIEDADE PERNAMBUCANA DO COMBATE AO CANCER</t>
        </is>
      </c>
      <c r="G119" s="254" t="inlineStr">
        <is>
          <t>0000582</t>
        </is>
      </c>
      <c r="H119" s="210" t="n"/>
      <c r="I119" s="210" t="n"/>
      <c r="J119" s="210" t="n"/>
      <c r="K119" s="210" t="inlineStr">
        <is>
          <t>Indireta</t>
        </is>
      </c>
      <c r="L119" s="211" t="inlineStr">
        <is>
          <t>Transferegov/SEI</t>
        </is>
      </c>
      <c r="M119" s="211" t="inlineStr">
        <is>
          <t>Convênio</t>
        </is>
      </c>
      <c r="N119" s="207" t="n">
        <v>2023</v>
      </c>
      <c r="O119" s="207" t="n">
        <v>947249</v>
      </c>
      <c r="P119" s="207" t="n">
        <v>91089423006</v>
      </c>
      <c r="Q119" s="210" t="n"/>
      <c r="R119" s="178" t="n"/>
      <c r="S119" s="210" t="n"/>
      <c r="T119" s="29" t="inlineStr">
        <is>
          <t>Colposcópio</t>
        </is>
      </c>
      <c r="U119" s="210" t="n"/>
      <c r="V119" s="210" t="n">
        <v>1</v>
      </c>
      <c r="W119" s="182" t="inlineStr">
        <is>
          <t xml:space="preserve"> UND</t>
        </is>
      </c>
      <c r="X119" s="210" t="inlineStr">
        <is>
          <t>EQUIPAMENTO</t>
        </is>
      </c>
      <c r="Y119" s="178" t="n"/>
      <c r="Z119" s="211" t="inlineStr">
        <is>
          <t xml:space="preserve"> NA</t>
        </is>
      </c>
      <c r="AA119" s="212" t="n"/>
      <c r="AB119" s="212" t="n"/>
      <c r="AC119" s="212" t="n"/>
      <c r="AD119" s="211" t="inlineStr">
        <is>
          <t>NI</t>
        </is>
      </c>
      <c r="AE119" s="211" t="inlineStr">
        <is>
          <t>NI</t>
        </is>
      </c>
      <c r="AF119" s="211" t="inlineStr">
        <is>
          <t>NI</t>
        </is>
      </c>
      <c r="AG119" s="177" t="n">
        <v>147330</v>
      </c>
      <c r="AH119" s="177" t="n"/>
      <c r="AI119" s="212" t="n"/>
      <c r="AJ119" s="182" t="n">
        <v>8535</v>
      </c>
      <c r="AK119" s="183" t="inlineStr">
        <is>
          <t> </t>
        </is>
      </c>
      <c r="AL119" s="183" t="inlineStr">
        <is>
          <t> </t>
        </is>
      </c>
      <c r="AM119" s="183" t="inlineStr">
        <is>
          <t> </t>
        </is>
      </c>
      <c r="AN119" s="183" t="inlineStr">
        <is>
          <t> </t>
        </is>
      </c>
      <c r="AO119" s="183" t="inlineStr">
        <is>
          <t> </t>
        </is>
      </c>
      <c r="AP119" s="183" t="inlineStr">
        <is>
          <t> </t>
        </is>
      </c>
      <c r="AQ119" s="183" t="inlineStr">
        <is>
          <t> </t>
        </is>
      </c>
      <c r="AR119" s="183" t="inlineStr">
        <is>
          <t> </t>
        </is>
      </c>
      <c r="AS119" s="183" t="inlineStr">
        <is>
          <t> </t>
        </is>
      </c>
      <c r="AT119" s="183" t="inlineStr">
        <is>
          <t> </t>
        </is>
      </c>
      <c r="AU119" s="183" t="inlineStr">
        <is>
          <t> </t>
        </is>
      </c>
      <c r="AV119" s="183" t="inlineStr">
        <is>
          <t> </t>
        </is>
      </c>
      <c r="AW119" s="183" t="inlineStr">
        <is>
          <t> </t>
        </is>
      </c>
      <c r="AX119" s="183" t="inlineStr">
        <is>
          <t> </t>
        </is>
      </c>
      <c r="AY119" s="210" t="inlineStr">
        <is>
          <t>PRESTAÇÃO DE CONTAS ENVIADA PARA ANÁLISE</t>
        </is>
      </c>
      <c r="AZ119" s="210" t="inlineStr">
        <is>
          <t>NI</t>
        </is>
      </c>
      <c r="BA119" s="210" t="inlineStr">
        <is>
          <t>NI</t>
        </is>
      </c>
      <c r="BB119" s="210" t="inlineStr">
        <is>
          <t>NI</t>
        </is>
      </c>
      <c r="BC119" s="212" t="n"/>
      <c r="BD119" s="210" t="n"/>
      <c r="BE119" s="210" t="n"/>
      <c r="BF119" s="178" t="n"/>
      <c r="BG119" s="210" t="n"/>
      <c r="BH119" s="210" t="n"/>
      <c r="BI119" s="210" t="n"/>
      <c r="BJ119" s="210" t="n"/>
      <c r="BK119" s="210" t="n"/>
      <c r="BL119" s="210" t="n"/>
      <c r="BM119" s="210" t="n"/>
      <c r="BN119" s="210" t="n"/>
      <c r="BO119" s="210" t="n"/>
      <c r="BP119" s="210" t="n"/>
      <c r="BQ119" s="210" t="n"/>
      <c r="BR119" s="210" t="n"/>
      <c r="BS119" s="210" t="n"/>
      <c r="BT119" s="212" t="n"/>
      <c r="BU119" s="177" t="n"/>
    </row>
    <row r="120" ht="60" customHeight="1">
      <c r="A120" s="178" t="inlineStr">
        <is>
          <t>SUL</t>
        </is>
      </c>
      <c r="B120" s="207" t="inlineStr">
        <is>
          <t>PR</t>
        </is>
      </c>
      <c r="C120" s="29" t="inlineStr">
        <is>
          <t>ARAPONGAS</t>
        </is>
      </c>
      <c r="D120" s="178" t="inlineStr">
        <is>
          <t>ASSOCIACAO NORTE PARANANENSE DE COMBATE AO CANCER</t>
        </is>
      </c>
      <c r="E120" s="208" t="inlineStr">
        <is>
          <t>04169712000190</t>
        </is>
      </c>
      <c r="F120" s="29" t="inlineStr">
        <is>
          <t>ASSOCIACAO NORTE PARANANENSE DE COMBATE AO CANCER</t>
        </is>
      </c>
      <c r="G120" s="254" t="inlineStr">
        <is>
          <t>2576341</t>
        </is>
      </c>
      <c r="H120" s="210" t="n"/>
      <c r="I120" s="210" t="n"/>
      <c r="J120" s="210" t="n"/>
      <c r="K120" s="210" t="inlineStr">
        <is>
          <t>Indireta</t>
        </is>
      </c>
      <c r="L120" s="211" t="inlineStr">
        <is>
          <t>Transferegov/SEI</t>
        </is>
      </c>
      <c r="M120" s="211" t="inlineStr">
        <is>
          <t>Convênio</t>
        </is>
      </c>
      <c r="N120" s="207" t="n">
        <v>2023</v>
      </c>
      <c r="O120" s="207" t="n">
        <v>947255</v>
      </c>
      <c r="P120" s="207" t="n">
        <v>90416923011</v>
      </c>
      <c r="Q120" s="210" t="n"/>
      <c r="R120" s="178" t="n"/>
      <c r="S120" s="210" t="n"/>
      <c r="T120" s="29" t="inlineStr">
        <is>
          <t>Computador (Desktop-Básico)</t>
        </is>
      </c>
      <c r="U120" s="210" t="n"/>
      <c r="V120" s="210" t="n">
        <v>22</v>
      </c>
      <c r="W120" s="182" t="inlineStr">
        <is>
          <t xml:space="preserve"> UND</t>
        </is>
      </c>
      <c r="X120" s="210" t="inlineStr">
        <is>
          <t>EQUIPAMENTO</t>
        </is>
      </c>
      <c r="Y120" s="178" t="n"/>
      <c r="Z120" s="211" t="inlineStr">
        <is>
          <t xml:space="preserve"> NA</t>
        </is>
      </c>
      <c r="AA120" s="212" t="n"/>
      <c r="AB120" s="212" t="n"/>
      <c r="AC120" s="212" t="n"/>
      <c r="AD120" s="211" t="inlineStr">
        <is>
          <t>NI</t>
        </is>
      </c>
      <c r="AE120" s="211" t="inlineStr">
        <is>
          <t>NI</t>
        </is>
      </c>
      <c r="AF120" s="211" t="inlineStr">
        <is>
          <t>NI</t>
        </is>
      </c>
      <c r="AG120" s="177" t="n">
        <v>100000</v>
      </c>
      <c r="AH120" s="177" t="n"/>
      <c r="AI120" s="212" t="n"/>
      <c r="AJ120" s="182" t="n">
        <v>8535</v>
      </c>
      <c r="AK120" s="183" t="inlineStr">
        <is>
          <t> </t>
        </is>
      </c>
      <c r="AL120" s="183" t="inlineStr">
        <is>
          <t> </t>
        </is>
      </c>
      <c r="AM120" s="183" t="inlineStr">
        <is>
          <t> </t>
        </is>
      </c>
      <c r="AN120" s="183" t="inlineStr">
        <is>
          <t> </t>
        </is>
      </c>
      <c r="AO120" s="183" t="inlineStr">
        <is>
          <t> </t>
        </is>
      </c>
      <c r="AP120" s="183" t="inlineStr">
        <is>
          <t> </t>
        </is>
      </c>
      <c r="AQ120" s="183" t="inlineStr">
        <is>
          <t> </t>
        </is>
      </c>
      <c r="AR120" s="183" t="inlineStr">
        <is>
          <t> </t>
        </is>
      </c>
      <c r="AS120" s="183" t="inlineStr">
        <is>
          <t> </t>
        </is>
      </c>
      <c r="AT120" s="183" t="inlineStr">
        <is>
          <t> </t>
        </is>
      </c>
      <c r="AU120" s="183" t="inlineStr">
        <is>
          <t> </t>
        </is>
      </c>
      <c r="AV120" s="183" t="inlineStr">
        <is>
          <t> </t>
        </is>
      </c>
      <c r="AW120" s="183" t="inlineStr">
        <is>
          <t> </t>
        </is>
      </c>
      <c r="AX120" s="183" t="inlineStr">
        <is>
          <t> </t>
        </is>
      </c>
      <c r="AY120" s="210" t="inlineStr">
        <is>
          <t>EM EXECUÇÃO</t>
        </is>
      </c>
      <c r="AZ120" s="210" t="inlineStr">
        <is>
          <t>NI</t>
        </is>
      </c>
      <c r="BA120" s="210" t="inlineStr">
        <is>
          <t>NI</t>
        </is>
      </c>
      <c r="BB120" s="210" t="inlineStr">
        <is>
          <t>NI</t>
        </is>
      </c>
      <c r="BC120" s="212" t="n"/>
      <c r="BD120" s="210" t="n"/>
      <c r="BE120" s="210" t="n"/>
      <c r="BF120" s="178" t="n"/>
      <c r="BG120" s="210" t="n"/>
      <c r="BH120" s="210" t="n"/>
      <c r="BI120" s="210" t="n"/>
      <c r="BJ120" s="210" t="n"/>
      <c r="BK120" s="210" t="n"/>
      <c r="BL120" s="210" t="n"/>
      <c r="BM120" s="210" t="n"/>
      <c r="BN120" s="210" t="n"/>
      <c r="BO120" s="210" t="n"/>
      <c r="BP120" s="210" t="n"/>
      <c r="BQ120" s="210" t="n"/>
      <c r="BR120" s="210" t="n"/>
      <c r="BS120" s="210" t="n"/>
      <c r="BT120" s="212" t="n"/>
      <c r="BU120" s="177" t="n"/>
    </row>
    <row r="121" ht="60" customHeight="1">
      <c r="A121" s="178" t="inlineStr">
        <is>
          <t>SUL</t>
        </is>
      </c>
      <c r="B121" s="207" t="inlineStr">
        <is>
          <t>PR</t>
        </is>
      </c>
      <c r="C121" s="29" t="inlineStr">
        <is>
          <t>CURITIBA</t>
        </is>
      </c>
      <c r="D121" s="178" t="inlineStr">
        <is>
          <t>LIGA PARANAENSE DE COMBATE AO CANCER</t>
        </is>
      </c>
      <c r="E121" s="208" t="inlineStr">
        <is>
          <t>76591049000128</t>
        </is>
      </c>
      <c r="F121" s="29" t="inlineStr">
        <is>
          <t>LIGA PARANAENSE DE COMBATE AO CANCER</t>
        </is>
      </c>
      <c r="G121" s="254" t="inlineStr">
        <is>
          <t>0015644</t>
        </is>
      </c>
      <c r="H121" s="210" t="n"/>
      <c r="I121" s="210" t="n"/>
      <c r="J121" s="210" t="n"/>
      <c r="K121" s="210" t="inlineStr">
        <is>
          <t>Indireta</t>
        </is>
      </c>
      <c r="L121" s="211" t="inlineStr">
        <is>
          <t>Transferegov/SEI</t>
        </is>
      </c>
      <c r="M121" s="211" t="inlineStr">
        <is>
          <t>Convênio</t>
        </is>
      </c>
      <c r="N121" s="207" t="n">
        <v>2023</v>
      </c>
      <c r="O121" s="207" t="n">
        <v>943960</v>
      </c>
      <c r="P121" s="207" t="n">
        <v>97659123003</v>
      </c>
      <c r="Q121" s="210" t="n"/>
      <c r="R121" s="178" t="n"/>
      <c r="S121" s="210" t="n"/>
      <c r="T121" s="29" t="inlineStr">
        <is>
          <t>Colposcópio</t>
        </is>
      </c>
      <c r="U121" s="210" t="n"/>
      <c r="V121" s="210" t="n">
        <v>2</v>
      </c>
      <c r="W121" s="182" t="inlineStr">
        <is>
          <t xml:space="preserve"> UND</t>
        </is>
      </c>
      <c r="X121" s="210" t="inlineStr">
        <is>
          <t>EQUIPAMENTO</t>
        </is>
      </c>
      <c r="Y121" s="178" t="n"/>
      <c r="Z121" s="211" t="inlineStr">
        <is>
          <t xml:space="preserve"> NA</t>
        </is>
      </c>
      <c r="AA121" s="212" t="n"/>
      <c r="AB121" s="212" t="n"/>
      <c r="AC121" s="212" t="n"/>
      <c r="AD121" s="211" t="inlineStr">
        <is>
          <t>NI</t>
        </is>
      </c>
      <c r="AE121" s="211" t="inlineStr">
        <is>
          <t>NI</t>
        </is>
      </c>
      <c r="AF121" s="211" t="inlineStr">
        <is>
          <t>NI</t>
        </is>
      </c>
      <c r="AG121" s="177" t="n">
        <v>1549463</v>
      </c>
      <c r="AH121" s="177" t="n"/>
      <c r="AI121" s="212" t="n"/>
      <c r="AJ121" s="182" t="n">
        <v>8535</v>
      </c>
      <c r="AK121" s="183" t="inlineStr">
        <is>
          <t> </t>
        </is>
      </c>
      <c r="AL121" s="183" t="inlineStr">
        <is>
          <t> </t>
        </is>
      </c>
      <c r="AM121" s="183" t="inlineStr">
        <is>
          <t> </t>
        </is>
      </c>
      <c r="AN121" s="183" t="inlineStr">
        <is>
          <t> </t>
        </is>
      </c>
      <c r="AO121" s="183" t="inlineStr">
        <is>
          <t> </t>
        </is>
      </c>
      <c r="AP121" s="183" t="inlineStr">
        <is>
          <t> </t>
        </is>
      </c>
      <c r="AQ121" s="183" t="inlineStr">
        <is>
          <t> </t>
        </is>
      </c>
      <c r="AR121" s="183" t="inlineStr">
        <is>
          <t> </t>
        </is>
      </c>
      <c r="AS121" s="183" t="inlineStr">
        <is>
          <t> </t>
        </is>
      </c>
      <c r="AT121" s="183" t="inlineStr">
        <is>
          <t> </t>
        </is>
      </c>
      <c r="AU121" s="183" t="inlineStr">
        <is>
          <t> </t>
        </is>
      </c>
      <c r="AV121" s="183" t="inlineStr">
        <is>
          <t> </t>
        </is>
      </c>
      <c r="AW121" s="183" t="inlineStr">
        <is>
          <t> </t>
        </is>
      </c>
      <c r="AX121" s="183" t="inlineStr">
        <is>
          <t> </t>
        </is>
      </c>
      <c r="AY121" s="210" t="inlineStr">
        <is>
          <t>NORMAL</t>
        </is>
      </c>
      <c r="AZ121" s="210" t="inlineStr">
        <is>
          <t>NI</t>
        </is>
      </c>
      <c r="BA121" s="210" t="inlineStr">
        <is>
          <t>NI</t>
        </is>
      </c>
      <c r="BB121" s="210" t="inlineStr">
        <is>
          <t>NI</t>
        </is>
      </c>
      <c r="BC121" s="212" t="n"/>
      <c r="BD121" s="210" t="n"/>
      <c r="BE121" s="210" t="n"/>
      <c r="BF121" s="178" t="n"/>
      <c r="BG121" s="210" t="n"/>
      <c r="BH121" s="210" t="n"/>
      <c r="BI121" s="210" t="n"/>
      <c r="BJ121" s="210" t="n"/>
      <c r="BK121" s="210" t="n"/>
      <c r="BL121" s="210" t="n"/>
      <c r="BM121" s="210" t="n"/>
      <c r="BN121" s="210" t="n"/>
      <c r="BO121" s="210" t="n"/>
      <c r="BP121" s="210" t="n"/>
      <c r="BQ121" s="210" t="n"/>
      <c r="BR121" s="210" t="n"/>
      <c r="BS121" s="210" t="n"/>
      <c r="BT121" s="212" t="n"/>
      <c r="BU121" s="177" t="n"/>
    </row>
    <row r="122" ht="60" customHeight="1">
      <c r="A122" s="178" t="inlineStr">
        <is>
          <t>SUL</t>
        </is>
      </c>
      <c r="B122" s="207" t="inlineStr">
        <is>
          <t>PR</t>
        </is>
      </c>
      <c r="C122" s="29" t="inlineStr">
        <is>
          <t>CURITIBA</t>
        </is>
      </c>
      <c r="D122" s="178" t="inlineStr">
        <is>
          <t>LIGA PARANAENSE DE COMBATE AO CANCER</t>
        </is>
      </c>
      <c r="E122" s="208" t="inlineStr">
        <is>
          <t>76591049000128</t>
        </is>
      </c>
      <c r="F122" s="29" t="inlineStr">
        <is>
          <t>LIGA PARANAENSE DE COMBATE AO CANCER</t>
        </is>
      </c>
      <c r="G122" s="254" t="inlineStr">
        <is>
          <t>0015644</t>
        </is>
      </c>
      <c r="H122" s="210" t="n"/>
      <c r="I122" s="210" t="n"/>
      <c r="J122" s="210" t="n"/>
      <c r="K122" s="210" t="inlineStr">
        <is>
          <t>Indireta</t>
        </is>
      </c>
      <c r="L122" s="211" t="inlineStr">
        <is>
          <t>Transferegov/SEI</t>
        </is>
      </c>
      <c r="M122" s="211" t="inlineStr">
        <is>
          <t>Convênio</t>
        </is>
      </c>
      <c r="N122" s="207" t="n">
        <v>2023</v>
      </c>
      <c r="O122" s="207" t="n">
        <v>949355</v>
      </c>
      <c r="P122" s="207" t="n">
        <v>97659123021</v>
      </c>
      <c r="Q122" s="210" t="n"/>
      <c r="R122" s="178" t="n"/>
      <c r="S122" s="210" t="n"/>
      <c r="T122" s="29" t="inlineStr">
        <is>
          <t>Computador (Desktop-Avançado)</t>
        </is>
      </c>
      <c r="U122" s="210" t="n"/>
      <c r="V122" s="210" t="n">
        <v>4</v>
      </c>
      <c r="W122" s="182" t="inlineStr">
        <is>
          <t xml:space="preserve"> UND</t>
        </is>
      </c>
      <c r="X122" s="210" t="inlineStr">
        <is>
          <t>EQUIPAMENTO</t>
        </is>
      </c>
      <c r="Y122" s="178" t="n"/>
      <c r="Z122" s="211" t="inlineStr">
        <is>
          <t xml:space="preserve"> NA</t>
        </is>
      </c>
      <c r="AA122" s="212" t="n"/>
      <c r="AB122" s="212" t="n"/>
      <c r="AC122" s="212" t="n"/>
      <c r="AD122" s="211" t="inlineStr">
        <is>
          <t>NI</t>
        </is>
      </c>
      <c r="AE122" s="211" t="inlineStr">
        <is>
          <t>NI</t>
        </is>
      </c>
      <c r="AF122" s="211" t="inlineStr">
        <is>
          <t>NI</t>
        </is>
      </c>
      <c r="AG122" s="177" t="n">
        <v>249712</v>
      </c>
      <c r="AH122" s="177" t="n"/>
      <c r="AI122" s="212" t="n"/>
      <c r="AJ122" s="182" t="n">
        <v>8535</v>
      </c>
      <c r="AK122" s="183" t="inlineStr">
        <is>
          <t> </t>
        </is>
      </c>
      <c r="AL122" s="183" t="inlineStr">
        <is>
          <t> </t>
        </is>
      </c>
      <c r="AM122" s="183" t="inlineStr">
        <is>
          <t> </t>
        </is>
      </c>
      <c r="AN122" s="183" t="inlineStr">
        <is>
          <t> </t>
        </is>
      </c>
      <c r="AO122" s="183" t="inlineStr">
        <is>
          <t> </t>
        </is>
      </c>
      <c r="AP122" s="183" t="inlineStr">
        <is>
          <t> </t>
        </is>
      </c>
      <c r="AQ122" s="183" t="inlineStr">
        <is>
          <t> </t>
        </is>
      </c>
      <c r="AR122" s="183" t="inlineStr">
        <is>
          <t> </t>
        </is>
      </c>
      <c r="AS122" s="183" t="inlineStr">
        <is>
          <t> </t>
        </is>
      </c>
      <c r="AT122" s="183" t="inlineStr">
        <is>
          <t> </t>
        </is>
      </c>
      <c r="AU122" s="183" t="inlineStr">
        <is>
          <t> </t>
        </is>
      </c>
      <c r="AV122" s="183" t="inlineStr">
        <is>
          <t> </t>
        </is>
      </c>
      <c r="AW122" s="183" t="inlineStr">
        <is>
          <t> </t>
        </is>
      </c>
      <c r="AX122" s="183" t="inlineStr">
        <is>
          <t> </t>
        </is>
      </c>
      <c r="AY122" s="210" t="inlineStr">
        <is>
          <t>EM EXECUÇÃO</t>
        </is>
      </c>
      <c r="AZ122" s="210" t="inlineStr">
        <is>
          <t>NI</t>
        </is>
      </c>
      <c r="BA122" s="210" t="inlineStr">
        <is>
          <t>NI</t>
        </is>
      </c>
      <c r="BB122" s="210" t="inlineStr">
        <is>
          <t>NI</t>
        </is>
      </c>
      <c r="BC122" s="212" t="n"/>
      <c r="BD122" s="210" t="n"/>
      <c r="BE122" s="210" t="n"/>
      <c r="BF122" s="178" t="n"/>
      <c r="BG122" s="210" t="n"/>
      <c r="BH122" s="210" t="n"/>
      <c r="BI122" s="210" t="n"/>
      <c r="BJ122" s="210" t="n"/>
      <c r="BK122" s="210" t="n"/>
      <c r="BL122" s="210" t="n"/>
      <c r="BM122" s="210" t="n"/>
      <c r="BN122" s="210" t="n"/>
      <c r="BO122" s="210" t="n"/>
      <c r="BP122" s="210" t="n"/>
      <c r="BQ122" s="210" t="n"/>
      <c r="BR122" s="210" t="n"/>
      <c r="BS122" s="210" t="n"/>
      <c r="BT122" s="212" t="n"/>
      <c r="BU122" s="177" t="n"/>
    </row>
    <row r="123" ht="60" customHeight="1">
      <c r="A123" s="178" t="inlineStr">
        <is>
          <t>SUL</t>
        </is>
      </c>
      <c r="B123" s="207" t="inlineStr">
        <is>
          <t>PR</t>
        </is>
      </c>
      <c r="C123" s="29" t="inlineStr">
        <is>
          <t>CURITIBA</t>
        </is>
      </c>
      <c r="D123" s="178" t="inlineStr">
        <is>
          <t>LIGA PARANAENSE DE COMBATE AO CANCER</t>
        </is>
      </c>
      <c r="E123" s="208" t="inlineStr">
        <is>
          <t>76591049000128</t>
        </is>
      </c>
      <c r="F123" s="29" t="inlineStr">
        <is>
          <t>LIGA PARANAENSE DE COMBATE AO CANCER</t>
        </is>
      </c>
      <c r="G123" s="254" t="inlineStr">
        <is>
          <t>0015644</t>
        </is>
      </c>
      <c r="H123" s="210" t="n"/>
      <c r="I123" s="210" t="n"/>
      <c r="J123" s="210" t="n"/>
      <c r="K123" s="210" t="inlineStr">
        <is>
          <t>Indireta</t>
        </is>
      </c>
      <c r="L123" s="211" t="inlineStr">
        <is>
          <t>Transferegov/SEI</t>
        </is>
      </c>
      <c r="M123" s="211" t="inlineStr">
        <is>
          <t>Convênio</t>
        </is>
      </c>
      <c r="N123" s="207" t="n">
        <v>2023</v>
      </c>
      <c r="O123" s="207" t="n">
        <v>949355</v>
      </c>
      <c r="P123" s="207" t="n">
        <v>97659123021</v>
      </c>
      <c r="Q123" s="210" t="n"/>
      <c r="R123" s="178" t="n"/>
      <c r="S123" s="210" t="n"/>
      <c r="T123" s="29" t="inlineStr">
        <is>
          <t>Computador (Desktop-Básico)</t>
        </is>
      </c>
      <c r="U123" s="210" t="n"/>
      <c r="V123" s="210" t="n">
        <v>47</v>
      </c>
      <c r="W123" s="182" t="inlineStr">
        <is>
          <t xml:space="preserve"> UND</t>
        </is>
      </c>
      <c r="X123" s="210" t="inlineStr">
        <is>
          <t>EQUIPAMENTO</t>
        </is>
      </c>
      <c r="Y123" s="178" t="n"/>
      <c r="Z123" s="211" t="inlineStr">
        <is>
          <t xml:space="preserve"> NA</t>
        </is>
      </c>
      <c r="AA123" s="212" t="n"/>
      <c r="AB123" s="212" t="n"/>
      <c r="AC123" s="212" t="n"/>
      <c r="AD123" s="211" t="inlineStr">
        <is>
          <t>NI</t>
        </is>
      </c>
      <c r="AE123" s="211" t="inlineStr">
        <is>
          <t>NI</t>
        </is>
      </c>
      <c r="AF123" s="211" t="inlineStr">
        <is>
          <t>NI</t>
        </is>
      </c>
      <c r="AG123" s="177" t="n">
        <v>249712</v>
      </c>
      <c r="AH123" s="177" t="n"/>
      <c r="AI123" s="212" t="n"/>
      <c r="AJ123" s="182" t="n">
        <v>8535</v>
      </c>
      <c r="AK123" s="183" t="inlineStr">
        <is>
          <t> </t>
        </is>
      </c>
      <c r="AL123" s="183" t="inlineStr">
        <is>
          <t> </t>
        </is>
      </c>
      <c r="AM123" s="183" t="inlineStr">
        <is>
          <t> </t>
        </is>
      </c>
      <c r="AN123" s="183" t="inlineStr">
        <is>
          <t> </t>
        </is>
      </c>
      <c r="AO123" s="183" t="inlineStr">
        <is>
          <t> </t>
        </is>
      </c>
      <c r="AP123" s="183" t="inlineStr">
        <is>
          <t> </t>
        </is>
      </c>
      <c r="AQ123" s="183" t="inlineStr">
        <is>
          <t> </t>
        </is>
      </c>
      <c r="AR123" s="183" t="inlineStr">
        <is>
          <t> </t>
        </is>
      </c>
      <c r="AS123" s="183" t="inlineStr">
        <is>
          <t> </t>
        </is>
      </c>
      <c r="AT123" s="183" t="inlineStr">
        <is>
          <t> </t>
        </is>
      </c>
      <c r="AU123" s="183" t="inlineStr">
        <is>
          <t> </t>
        </is>
      </c>
      <c r="AV123" s="183" t="inlineStr">
        <is>
          <t> </t>
        </is>
      </c>
      <c r="AW123" s="183" t="inlineStr">
        <is>
          <t> </t>
        </is>
      </c>
      <c r="AX123" s="183" t="inlineStr">
        <is>
          <t> </t>
        </is>
      </c>
      <c r="AY123" s="210" t="inlineStr">
        <is>
          <t>EM EXECUÇÃO</t>
        </is>
      </c>
      <c r="AZ123" s="210" t="inlineStr">
        <is>
          <t>NI</t>
        </is>
      </c>
      <c r="BA123" s="210" t="inlineStr">
        <is>
          <t>NI</t>
        </is>
      </c>
      <c r="BB123" s="210" t="inlineStr">
        <is>
          <t>NI</t>
        </is>
      </c>
      <c r="BC123" s="212" t="n"/>
      <c r="BD123" s="210" t="n"/>
      <c r="BE123" s="210" t="n"/>
      <c r="BF123" s="178" t="n"/>
      <c r="BG123" s="210" t="n"/>
      <c r="BH123" s="210" t="n"/>
      <c r="BI123" s="210" t="n"/>
      <c r="BJ123" s="210" t="n"/>
      <c r="BK123" s="210" t="n"/>
      <c r="BL123" s="210" t="n"/>
      <c r="BM123" s="210" t="n"/>
      <c r="BN123" s="210" t="n"/>
      <c r="BO123" s="210" t="n"/>
      <c r="BP123" s="210" t="n"/>
      <c r="BQ123" s="210" t="n"/>
      <c r="BR123" s="210" t="n"/>
      <c r="BS123" s="210" t="n"/>
      <c r="BT123" s="212" t="n"/>
      <c r="BU123" s="177" t="n"/>
    </row>
    <row r="124" ht="60" customHeight="1">
      <c r="A124" s="178" t="inlineStr">
        <is>
          <t>SUL</t>
        </is>
      </c>
      <c r="B124" s="207" t="inlineStr">
        <is>
          <t>PR</t>
        </is>
      </c>
      <c r="C124" s="29" t="inlineStr">
        <is>
          <t>CURITIBA</t>
        </is>
      </c>
      <c r="D124" s="178" t="inlineStr">
        <is>
          <t>LIGA PARANAENSE DE COMBATE AO CANCER</t>
        </is>
      </c>
      <c r="E124" s="208" t="inlineStr">
        <is>
          <t>76591049000128</t>
        </is>
      </c>
      <c r="F124" s="29" t="inlineStr">
        <is>
          <t>LIGA PARANAENSE DE COMBATE AO CANCER</t>
        </is>
      </c>
      <c r="G124" s="254" t="inlineStr">
        <is>
          <t>0015644</t>
        </is>
      </c>
      <c r="H124" s="210" t="n"/>
      <c r="I124" s="210" t="n"/>
      <c r="J124" s="210" t="n"/>
      <c r="K124" s="210" t="inlineStr">
        <is>
          <t>Indireta</t>
        </is>
      </c>
      <c r="L124" s="211" t="inlineStr">
        <is>
          <t>Transferegov/SEI</t>
        </is>
      </c>
      <c r="M124" s="211" t="inlineStr">
        <is>
          <t>Convênio</t>
        </is>
      </c>
      <c r="N124" s="207" t="n">
        <v>2023</v>
      </c>
      <c r="O124" s="207" t="n">
        <v>955299</v>
      </c>
      <c r="P124" s="207" t="n">
        <v>97659123027</v>
      </c>
      <c r="Q124" s="210" t="n"/>
      <c r="R124" s="178" t="n"/>
      <c r="S124" s="210" t="n"/>
      <c r="T124" s="29" t="inlineStr">
        <is>
          <t>Monitor Hemodinâmico</t>
        </is>
      </c>
      <c r="U124" s="210" t="n"/>
      <c r="V124" s="210" t="n">
        <v>1</v>
      </c>
      <c r="W124" s="182" t="inlineStr">
        <is>
          <t xml:space="preserve"> UND</t>
        </is>
      </c>
      <c r="X124" s="210" t="inlineStr">
        <is>
          <t>EQUIPAMENTO</t>
        </is>
      </c>
      <c r="Y124" s="178" t="n"/>
      <c r="Z124" s="211" t="inlineStr">
        <is>
          <t xml:space="preserve"> NA</t>
        </is>
      </c>
      <c r="AA124" s="212" t="n"/>
      <c r="AB124" s="212" t="n"/>
      <c r="AC124" s="212" t="n"/>
      <c r="AD124" s="211" t="inlineStr">
        <is>
          <t>NI</t>
        </is>
      </c>
      <c r="AE124" s="211" t="inlineStr">
        <is>
          <t>NI</t>
        </is>
      </c>
      <c r="AF124" s="211" t="inlineStr">
        <is>
          <t>NI</t>
        </is>
      </c>
      <c r="AG124" s="177" t="n">
        <v>399632</v>
      </c>
      <c r="AH124" s="177" t="n"/>
      <c r="AI124" s="212" t="n"/>
      <c r="AJ124" s="182" t="n">
        <v>8535</v>
      </c>
      <c r="AK124" s="183" t="inlineStr">
        <is>
          <t> </t>
        </is>
      </c>
      <c r="AL124" s="183" t="inlineStr">
        <is>
          <t> </t>
        </is>
      </c>
      <c r="AM124" s="183" t="inlineStr">
        <is>
          <t> </t>
        </is>
      </c>
      <c r="AN124" s="183" t="inlineStr">
        <is>
          <t> </t>
        </is>
      </c>
      <c r="AO124" s="183" t="inlineStr">
        <is>
          <t> </t>
        </is>
      </c>
      <c r="AP124" s="183" t="inlineStr">
        <is>
          <t> </t>
        </is>
      </c>
      <c r="AQ124" s="183" t="inlineStr">
        <is>
          <t> </t>
        </is>
      </c>
      <c r="AR124" s="183" t="inlineStr">
        <is>
          <t> </t>
        </is>
      </c>
      <c r="AS124" s="183" t="inlineStr">
        <is>
          <t> </t>
        </is>
      </c>
      <c r="AT124" s="183" t="inlineStr">
        <is>
          <t> </t>
        </is>
      </c>
      <c r="AU124" s="183" t="inlineStr">
        <is>
          <t> </t>
        </is>
      </c>
      <c r="AV124" s="183" t="inlineStr">
        <is>
          <t> </t>
        </is>
      </c>
      <c r="AW124" s="183" t="inlineStr">
        <is>
          <t> </t>
        </is>
      </c>
      <c r="AX124" s="183" t="inlineStr">
        <is>
          <t> </t>
        </is>
      </c>
      <c r="AY124" s="210" t="inlineStr">
        <is>
          <t>EM EXECUÇÃO</t>
        </is>
      </c>
      <c r="AZ124" s="210" t="inlineStr">
        <is>
          <t>NI</t>
        </is>
      </c>
      <c r="BA124" s="210" t="inlineStr">
        <is>
          <t>NI</t>
        </is>
      </c>
      <c r="BB124" s="210" t="inlineStr">
        <is>
          <t>NI</t>
        </is>
      </c>
      <c r="BC124" s="212" t="n"/>
      <c r="BD124" s="210" t="n"/>
      <c r="BE124" s="210" t="n"/>
      <c r="BF124" s="178" t="n"/>
      <c r="BG124" s="210" t="n"/>
      <c r="BH124" s="210" t="n"/>
      <c r="BI124" s="210" t="n"/>
      <c r="BJ124" s="210" t="n"/>
      <c r="BK124" s="210" t="n"/>
      <c r="BL124" s="210" t="n"/>
      <c r="BM124" s="210" t="n"/>
      <c r="BN124" s="210" t="n"/>
      <c r="BO124" s="210" t="n"/>
      <c r="BP124" s="210" t="n"/>
      <c r="BQ124" s="210" t="n"/>
      <c r="BR124" s="210" t="n"/>
      <c r="BS124" s="210" t="n"/>
      <c r="BT124" s="212" t="n"/>
      <c r="BU124" s="177" t="n"/>
    </row>
    <row r="125" ht="60" customHeight="1">
      <c r="A125" s="178" t="inlineStr">
        <is>
          <t>SUL</t>
        </is>
      </c>
      <c r="B125" s="207" t="inlineStr">
        <is>
          <t>PR</t>
        </is>
      </c>
      <c r="C125" s="29" t="inlineStr">
        <is>
          <t>CURITIBA</t>
        </is>
      </c>
      <c r="D125" s="178" t="inlineStr">
        <is>
          <t>LIGA PARANAENSE DE COMBATE AO CANCER</t>
        </is>
      </c>
      <c r="E125" s="208" t="inlineStr">
        <is>
          <t>76591049000128</t>
        </is>
      </c>
      <c r="F125" s="29" t="inlineStr">
        <is>
          <t>LIGA PARANAENSE DE COMBATE AO CANCER</t>
        </is>
      </c>
      <c r="G125" s="254" t="inlineStr">
        <is>
          <t>0015644</t>
        </is>
      </c>
      <c r="H125" s="210" t="n"/>
      <c r="I125" s="210" t="n"/>
      <c r="J125" s="210" t="n"/>
      <c r="K125" s="210" t="inlineStr">
        <is>
          <t>Indireta</t>
        </is>
      </c>
      <c r="L125" s="211" t="inlineStr">
        <is>
          <t>Transferegov/SEI</t>
        </is>
      </c>
      <c r="M125" s="211" t="inlineStr">
        <is>
          <t>Convênio</t>
        </is>
      </c>
      <c r="N125" s="207" t="n">
        <v>2023</v>
      </c>
      <c r="O125" s="207" t="n">
        <v>955299</v>
      </c>
      <c r="P125" s="207" t="n">
        <v>97659123027</v>
      </c>
      <c r="Q125" s="210" t="n"/>
      <c r="R125" s="178" t="n"/>
      <c r="S125" s="210" t="n"/>
      <c r="T125" s="29" t="inlineStr">
        <is>
          <t>Computador (Desktop-Avançado)</t>
        </is>
      </c>
      <c r="U125" s="210" t="n"/>
      <c r="V125" s="210" t="n">
        <v>1</v>
      </c>
      <c r="W125" s="182" t="inlineStr">
        <is>
          <t xml:space="preserve"> UND</t>
        </is>
      </c>
      <c r="X125" s="210" t="inlineStr">
        <is>
          <t>EQUIPAMENTO</t>
        </is>
      </c>
      <c r="Y125" s="178" t="n"/>
      <c r="Z125" s="211" t="inlineStr">
        <is>
          <t xml:space="preserve"> NA</t>
        </is>
      </c>
      <c r="AA125" s="212" t="n"/>
      <c r="AB125" s="212" t="n"/>
      <c r="AC125" s="212" t="n"/>
      <c r="AD125" s="211" t="inlineStr">
        <is>
          <t>NI</t>
        </is>
      </c>
      <c r="AE125" s="211" t="inlineStr">
        <is>
          <t>NI</t>
        </is>
      </c>
      <c r="AF125" s="211" t="inlineStr">
        <is>
          <t>NI</t>
        </is>
      </c>
      <c r="AG125" s="177" t="n">
        <v>399632</v>
      </c>
      <c r="AH125" s="177" t="n"/>
      <c r="AI125" s="212" t="n"/>
      <c r="AJ125" s="182" t="n">
        <v>8535</v>
      </c>
      <c r="AK125" s="183" t="inlineStr">
        <is>
          <t> </t>
        </is>
      </c>
      <c r="AL125" s="183" t="inlineStr">
        <is>
          <t> </t>
        </is>
      </c>
      <c r="AM125" s="183" t="inlineStr">
        <is>
          <t> </t>
        </is>
      </c>
      <c r="AN125" s="183" t="inlineStr">
        <is>
          <t> </t>
        </is>
      </c>
      <c r="AO125" s="183" t="inlineStr">
        <is>
          <t> </t>
        </is>
      </c>
      <c r="AP125" s="183" t="inlineStr">
        <is>
          <t> </t>
        </is>
      </c>
      <c r="AQ125" s="183" t="inlineStr">
        <is>
          <t> </t>
        </is>
      </c>
      <c r="AR125" s="183" t="inlineStr">
        <is>
          <t> </t>
        </is>
      </c>
      <c r="AS125" s="183" t="inlineStr">
        <is>
          <t> </t>
        </is>
      </c>
      <c r="AT125" s="183" t="inlineStr">
        <is>
          <t> </t>
        </is>
      </c>
      <c r="AU125" s="183" t="inlineStr">
        <is>
          <t> </t>
        </is>
      </c>
      <c r="AV125" s="183" t="inlineStr">
        <is>
          <t> </t>
        </is>
      </c>
      <c r="AW125" s="183" t="inlineStr">
        <is>
          <t> </t>
        </is>
      </c>
      <c r="AX125" s="183" t="inlineStr">
        <is>
          <t> </t>
        </is>
      </c>
      <c r="AY125" s="210" t="inlineStr">
        <is>
          <t>EM EXECUÇÃO</t>
        </is>
      </c>
      <c r="AZ125" s="210" t="inlineStr">
        <is>
          <t>NI</t>
        </is>
      </c>
      <c r="BA125" s="210" t="inlineStr">
        <is>
          <t>NI</t>
        </is>
      </c>
      <c r="BB125" s="210" t="inlineStr">
        <is>
          <t>NI</t>
        </is>
      </c>
      <c r="BC125" s="212" t="n"/>
      <c r="BD125" s="210" t="n"/>
      <c r="BE125" s="210" t="n"/>
      <c r="BF125" s="178" t="n"/>
      <c r="BG125" s="210" t="n"/>
      <c r="BH125" s="210" t="n"/>
      <c r="BI125" s="210" t="n"/>
      <c r="BJ125" s="210" t="n"/>
      <c r="BK125" s="210" t="n"/>
      <c r="BL125" s="210" t="n"/>
      <c r="BM125" s="210" t="n"/>
      <c r="BN125" s="210" t="n"/>
      <c r="BO125" s="210" t="n"/>
      <c r="BP125" s="210" t="n"/>
      <c r="BQ125" s="210" t="n"/>
      <c r="BR125" s="210" t="n"/>
      <c r="BS125" s="210" t="n"/>
      <c r="BT125" s="212" t="n"/>
      <c r="BU125" s="177" t="n"/>
    </row>
    <row r="126" ht="60" customHeight="1">
      <c r="A126" s="178" t="inlineStr">
        <is>
          <t>SUL</t>
        </is>
      </c>
      <c r="B126" s="207" t="inlineStr">
        <is>
          <t>PR</t>
        </is>
      </c>
      <c r="C126" s="29" t="inlineStr">
        <is>
          <t>CURITIBA</t>
        </is>
      </c>
      <c r="D126" s="178" t="inlineStr">
        <is>
          <t>LIGA PARANAENSE DE COMBATE AO CANCER</t>
        </is>
      </c>
      <c r="E126" s="208" t="inlineStr">
        <is>
          <t>76591049000128</t>
        </is>
      </c>
      <c r="F126" s="29" t="inlineStr">
        <is>
          <t>LIGA PARANAENSE DE COMBATE AO CANCER</t>
        </is>
      </c>
      <c r="G126" s="254" t="inlineStr">
        <is>
          <t>0015644</t>
        </is>
      </c>
      <c r="H126" s="210" t="n"/>
      <c r="I126" s="210" t="n"/>
      <c r="J126" s="210" t="n"/>
      <c r="K126" s="210" t="inlineStr">
        <is>
          <t>Indireta</t>
        </is>
      </c>
      <c r="L126" s="211" t="inlineStr">
        <is>
          <t>Transferegov/SEI</t>
        </is>
      </c>
      <c r="M126" s="211" t="inlineStr">
        <is>
          <t>Convênio</t>
        </is>
      </c>
      <c r="N126" s="207" t="n">
        <v>2023</v>
      </c>
      <c r="O126" s="207" t="n">
        <v>955299</v>
      </c>
      <c r="P126" s="207" t="n">
        <v>97659123027</v>
      </c>
      <c r="Q126" s="210" t="n"/>
      <c r="R126" s="178" t="n"/>
      <c r="S126" s="210" t="n"/>
      <c r="T126" s="29" t="inlineStr">
        <is>
          <t>No-Break (Para Computador/Impressora)</t>
        </is>
      </c>
      <c r="U126" s="210" t="n"/>
      <c r="V126" s="210" t="n">
        <v>3</v>
      </c>
      <c r="W126" s="182" t="inlineStr">
        <is>
          <t xml:space="preserve"> UND</t>
        </is>
      </c>
      <c r="X126" s="210" t="inlineStr">
        <is>
          <t>EQUIPAMENTO</t>
        </is>
      </c>
      <c r="Y126" s="178" t="n"/>
      <c r="Z126" s="211" t="inlineStr">
        <is>
          <t xml:space="preserve"> NA</t>
        </is>
      </c>
      <c r="AA126" s="212" t="n"/>
      <c r="AB126" s="212" t="n"/>
      <c r="AC126" s="212" t="n"/>
      <c r="AD126" s="211" t="inlineStr">
        <is>
          <t>NI</t>
        </is>
      </c>
      <c r="AE126" s="211" t="inlineStr">
        <is>
          <t>NI</t>
        </is>
      </c>
      <c r="AF126" s="211" t="inlineStr">
        <is>
          <t>NI</t>
        </is>
      </c>
      <c r="AG126" s="177" t="n">
        <v>399632</v>
      </c>
      <c r="AH126" s="177" t="n"/>
      <c r="AI126" s="212" t="n"/>
      <c r="AJ126" s="182" t="n">
        <v>8535</v>
      </c>
      <c r="AK126" s="183" t="inlineStr">
        <is>
          <t> </t>
        </is>
      </c>
      <c r="AL126" s="183" t="inlineStr">
        <is>
          <t> </t>
        </is>
      </c>
      <c r="AM126" s="183" t="inlineStr">
        <is>
          <t> </t>
        </is>
      </c>
      <c r="AN126" s="183" t="inlineStr">
        <is>
          <t> </t>
        </is>
      </c>
      <c r="AO126" s="183" t="inlineStr">
        <is>
          <t> </t>
        </is>
      </c>
      <c r="AP126" s="183" t="inlineStr">
        <is>
          <t> </t>
        </is>
      </c>
      <c r="AQ126" s="183" t="inlineStr">
        <is>
          <t> </t>
        </is>
      </c>
      <c r="AR126" s="183" t="inlineStr">
        <is>
          <t> </t>
        </is>
      </c>
      <c r="AS126" s="183" t="inlineStr">
        <is>
          <t> </t>
        </is>
      </c>
      <c r="AT126" s="183" t="inlineStr">
        <is>
          <t> </t>
        </is>
      </c>
      <c r="AU126" s="183" t="inlineStr">
        <is>
          <t> </t>
        </is>
      </c>
      <c r="AV126" s="183" t="inlineStr">
        <is>
          <t> </t>
        </is>
      </c>
      <c r="AW126" s="183" t="inlineStr">
        <is>
          <t> </t>
        </is>
      </c>
      <c r="AX126" s="183" t="inlineStr">
        <is>
          <t> </t>
        </is>
      </c>
      <c r="AY126" s="210" t="inlineStr">
        <is>
          <t>EM EXECUÇÃO</t>
        </is>
      </c>
      <c r="AZ126" s="210" t="inlineStr">
        <is>
          <t>NI</t>
        </is>
      </c>
      <c r="BA126" s="210" t="inlineStr">
        <is>
          <t>NI</t>
        </is>
      </c>
      <c r="BB126" s="210" t="inlineStr">
        <is>
          <t>NI</t>
        </is>
      </c>
      <c r="BC126" s="212" t="n"/>
      <c r="BD126" s="210" t="n"/>
      <c r="BE126" s="210" t="n"/>
      <c r="BF126" s="178" t="n"/>
      <c r="BG126" s="210" t="n"/>
      <c r="BH126" s="210" t="n"/>
      <c r="BI126" s="210" t="n"/>
      <c r="BJ126" s="210" t="n"/>
      <c r="BK126" s="210" t="n"/>
      <c r="BL126" s="210" t="n"/>
      <c r="BM126" s="210" t="n"/>
      <c r="BN126" s="210" t="n"/>
      <c r="BO126" s="210" t="n"/>
      <c r="BP126" s="210" t="n"/>
      <c r="BQ126" s="210" t="n"/>
      <c r="BR126" s="210" t="n"/>
      <c r="BS126" s="210" t="n"/>
      <c r="BT126" s="212" t="n"/>
      <c r="BU126" s="177" t="n"/>
    </row>
    <row r="127" ht="60" customHeight="1">
      <c r="A127" s="178" t="inlineStr">
        <is>
          <t>SUL</t>
        </is>
      </c>
      <c r="B127" s="207" t="inlineStr">
        <is>
          <t>PR</t>
        </is>
      </c>
      <c r="C127" s="29" t="inlineStr">
        <is>
          <t>CURITIBA</t>
        </is>
      </c>
      <c r="D127" s="178" t="inlineStr">
        <is>
          <t>LIGA PARANAENSE DE COMBATE AO CANCER</t>
        </is>
      </c>
      <c r="E127" s="208" t="inlineStr">
        <is>
          <t>76591049000128</t>
        </is>
      </c>
      <c r="F127" s="29" t="inlineStr">
        <is>
          <t>LIGA PARANAENSE DE COMBATE AO CANCER</t>
        </is>
      </c>
      <c r="G127" s="254" t="inlineStr">
        <is>
          <t>0015644</t>
        </is>
      </c>
      <c r="H127" s="210" t="n"/>
      <c r="I127" s="210" t="n"/>
      <c r="J127" s="210" t="n"/>
      <c r="K127" s="210" t="inlineStr">
        <is>
          <t>Indireta</t>
        </is>
      </c>
      <c r="L127" s="211" t="inlineStr">
        <is>
          <t>Transferegov/SEI</t>
        </is>
      </c>
      <c r="M127" s="211" t="inlineStr">
        <is>
          <t>Convênio</t>
        </is>
      </c>
      <c r="N127" s="207" t="n">
        <v>2023</v>
      </c>
      <c r="O127" s="207" t="n">
        <v>955299</v>
      </c>
      <c r="P127" s="207" t="n">
        <v>97659123027</v>
      </c>
      <c r="Q127" s="210" t="n"/>
      <c r="R127" s="178" t="n"/>
      <c r="S127" s="210" t="n"/>
      <c r="T127" s="29" t="inlineStr">
        <is>
          <t>Carro Maca Avançado</t>
        </is>
      </c>
      <c r="U127" s="210" t="n"/>
      <c r="V127" s="210" t="n">
        <v>4</v>
      </c>
      <c r="W127" s="182" t="inlineStr">
        <is>
          <t xml:space="preserve"> UND</t>
        </is>
      </c>
      <c r="X127" s="210" t="inlineStr">
        <is>
          <t>EQUIPAMENTO</t>
        </is>
      </c>
      <c r="Y127" s="178" t="n"/>
      <c r="Z127" s="211" t="inlineStr">
        <is>
          <t xml:space="preserve"> NA</t>
        </is>
      </c>
      <c r="AA127" s="212" t="n"/>
      <c r="AB127" s="212" t="n"/>
      <c r="AC127" s="212" t="n"/>
      <c r="AD127" s="211" t="inlineStr">
        <is>
          <t>NI</t>
        </is>
      </c>
      <c r="AE127" s="211" t="inlineStr">
        <is>
          <t>NI</t>
        </is>
      </c>
      <c r="AF127" s="211" t="inlineStr">
        <is>
          <t>NI</t>
        </is>
      </c>
      <c r="AG127" s="177" t="n">
        <v>399632</v>
      </c>
      <c r="AH127" s="177" t="n"/>
      <c r="AI127" s="212" t="n"/>
      <c r="AJ127" s="182" t="n">
        <v>8535</v>
      </c>
      <c r="AK127" s="183" t="inlineStr">
        <is>
          <t> </t>
        </is>
      </c>
      <c r="AL127" s="183" t="inlineStr">
        <is>
          <t> </t>
        </is>
      </c>
      <c r="AM127" s="183" t="inlineStr">
        <is>
          <t> </t>
        </is>
      </c>
      <c r="AN127" s="183" t="inlineStr">
        <is>
          <t> </t>
        </is>
      </c>
      <c r="AO127" s="183" t="inlineStr">
        <is>
          <t> </t>
        </is>
      </c>
      <c r="AP127" s="183" t="inlineStr">
        <is>
          <t> </t>
        </is>
      </c>
      <c r="AQ127" s="183" t="inlineStr">
        <is>
          <t> </t>
        </is>
      </c>
      <c r="AR127" s="183" t="inlineStr">
        <is>
          <t> </t>
        </is>
      </c>
      <c r="AS127" s="183" t="inlineStr">
        <is>
          <t> </t>
        </is>
      </c>
      <c r="AT127" s="183" t="inlineStr">
        <is>
          <t> </t>
        </is>
      </c>
      <c r="AU127" s="183" t="inlineStr">
        <is>
          <t> </t>
        </is>
      </c>
      <c r="AV127" s="183" t="inlineStr">
        <is>
          <t> </t>
        </is>
      </c>
      <c r="AW127" s="183" t="inlineStr">
        <is>
          <t> </t>
        </is>
      </c>
      <c r="AX127" s="183" t="inlineStr">
        <is>
          <t> </t>
        </is>
      </c>
      <c r="AY127" s="210" t="inlineStr">
        <is>
          <t>EM EXECUÇÃO</t>
        </is>
      </c>
      <c r="AZ127" s="210" t="inlineStr">
        <is>
          <t>NI</t>
        </is>
      </c>
      <c r="BA127" s="210" t="inlineStr">
        <is>
          <t>NI</t>
        </is>
      </c>
      <c r="BB127" s="210" t="inlineStr">
        <is>
          <t>NI</t>
        </is>
      </c>
      <c r="BC127" s="212" t="n"/>
      <c r="BD127" s="210" t="n"/>
      <c r="BE127" s="210" t="n"/>
      <c r="BF127" s="178" t="n"/>
      <c r="BG127" s="210" t="n"/>
      <c r="BH127" s="210" t="n"/>
      <c r="BI127" s="210" t="n"/>
      <c r="BJ127" s="210" t="n"/>
      <c r="BK127" s="210" t="n"/>
      <c r="BL127" s="210" t="n"/>
      <c r="BM127" s="210" t="n"/>
      <c r="BN127" s="210" t="n"/>
      <c r="BO127" s="210" t="n"/>
      <c r="BP127" s="210" t="n"/>
      <c r="BQ127" s="210" t="n"/>
      <c r="BR127" s="210" t="n"/>
      <c r="BS127" s="210" t="n"/>
      <c r="BT127" s="212" t="n"/>
      <c r="BU127" s="177" t="n"/>
    </row>
    <row r="128" ht="60" customHeight="1">
      <c r="A128" s="178" t="inlineStr">
        <is>
          <t>SUL</t>
        </is>
      </c>
      <c r="B128" s="207" t="inlineStr">
        <is>
          <t>PR</t>
        </is>
      </c>
      <c r="C128" s="29" t="inlineStr">
        <is>
          <t>CURITIBA</t>
        </is>
      </c>
      <c r="D128" s="178" t="inlineStr">
        <is>
          <t>LIGA PARANAENSE DE COMBATE AO CANCER</t>
        </is>
      </c>
      <c r="E128" s="208" t="inlineStr">
        <is>
          <t>76591049000128</t>
        </is>
      </c>
      <c r="F128" s="29" t="inlineStr">
        <is>
          <t>LIGA PARANAENSE DE COMBATE AO CANCER</t>
        </is>
      </c>
      <c r="G128" s="254" t="inlineStr">
        <is>
          <t>0015644</t>
        </is>
      </c>
      <c r="H128" s="210" t="n"/>
      <c r="I128" s="210" t="n"/>
      <c r="J128" s="210" t="n"/>
      <c r="K128" s="210" t="inlineStr">
        <is>
          <t>Indireta</t>
        </is>
      </c>
      <c r="L128" s="211" t="inlineStr">
        <is>
          <t>Transferegov/SEI</t>
        </is>
      </c>
      <c r="M128" s="211" t="inlineStr">
        <is>
          <t>Convênio</t>
        </is>
      </c>
      <c r="N128" s="207" t="n">
        <v>2023</v>
      </c>
      <c r="O128" s="207" t="n">
        <v>955299</v>
      </c>
      <c r="P128" s="207" t="n">
        <v>97659123027</v>
      </c>
      <c r="Q128" s="210" t="n"/>
      <c r="R128" s="178" t="n"/>
      <c r="S128" s="210" t="n"/>
      <c r="T128" s="29" t="inlineStr">
        <is>
          <t>Eletrocardiógrafo</t>
        </is>
      </c>
      <c r="U128" s="210" t="n"/>
      <c r="V128" s="210" t="n">
        <v>3</v>
      </c>
      <c r="W128" s="182" t="inlineStr">
        <is>
          <t xml:space="preserve"> UND</t>
        </is>
      </c>
      <c r="X128" s="210" t="inlineStr">
        <is>
          <t>EQUIPAMENTO</t>
        </is>
      </c>
      <c r="Y128" s="178" t="n"/>
      <c r="Z128" s="211" t="inlineStr">
        <is>
          <t xml:space="preserve"> NA</t>
        </is>
      </c>
      <c r="AA128" s="212" t="n"/>
      <c r="AB128" s="212" t="n"/>
      <c r="AC128" s="212" t="n"/>
      <c r="AD128" s="211" t="inlineStr">
        <is>
          <t>NI</t>
        </is>
      </c>
      <c r="AE128" s="211" t="inlineStr">
        <is>
          <t>NI</t>
        </is>
      </c>
      <c r="AF128" s="211" t="inlineStr">
        <is>
          <t>NI</t>
        </is>
      </c>
      <c r="AG128" s="177" t="n">
        <v>399632</v>
      </c>
      <c r="AH128" s="177" t="n"/>
      <c r="AI128" s="212" t="n"/>
      <c r="AJ128" s="182" t="n">
        <v>8535</v>
      </c>
      <c r="AK128" s="183" t="inlineStr">
        <is>
          <t> </t>
        </is>
      </c>
      <c r="AL128" s="183" t="inlineStr">
        <is>
          <t> </t>
        </is>
      </c>
      <c r="AM128" s="183" t="inlineStr">
        <is>
          <t> </t>
        </is>
      </c>
      <c r="AN128" s="183" t="inlineStr">
        <is>
          <t> </t>
        </is>
      </c>
      <c r="AO128" s="183" t="inlineStr">
        <is>
          <t> </t>
        </is>
      </c>
      <c r="AP128" s="183" t="inlineStr">
        <is>
          <t> </t>
        </is>
      </c>
      <c r="AQ128" s="183" t="inlineStr">
        <is>
          <t> </t>
        </is>
      </c>
      <c r="AR128" s="183" t="inlineStr">
        <is>
          <t> </t>
        </is>
      </c>
      <c r="AS128" s="183" t="inlineStr">
        <is>
          <t> </t>
        </is>
      </c>
      <c r="AT128" s="183" t="inlineStr">
        <is>
          <t> </t>
        </is>
      </c>
      <c r="AU128" s="183" t="inlineStr">
        <is>
          <t> </t>
        </is>
      </c>
      <c r="AV128" s="183" t="inlineStr">
        <is>
          <t> </t>
        </is>
      </c>
      <c r="AW128" s="183" t="inlineStr">
        <is>
          <t> </t>
        </is>
      </c>
      <c r="AX128" s="183" t="inlineStr">
        <is>
          <t> </t>
        </is>
      </c>
      <c r="AY128" s="210" t="inlineStr">
        <is>
          <t>EM EXECUÇÃO</t>
        </is>
      </c>
      <c r="AZ128" s="210" t="inlineStr">
        <is>
          <t>NI</t>
        </is>
      </c>
      <c r="BA128" s="210" t="inlineStr">
        <is>
          <t>NI</t>
        </is>
      </c>
      <c r="BB128" s="210" t="inlineStr">
        <is>
          <t>NI</t>
        </is>
      </c>
      <c r="BC128" s="212" t="n"/>
      <c r="BD128" s="210" t="n"/>
      <c r="BE128" s="210" t="n"/>
      <c r="BF128" s="178" t="n"/>
      <c r="BG128" s="210" t="n"/>
      <c r="BH128" s="210" t="n"/>
      <c r="BI128" s="210" t="n"/>
      <c r="BJ128" s="210" t="n"/>
      <c r="BK128" s="210" t="n"/>
      <c r="BL128" s="210" t="n"/>
      <c r="BM128" s="210" t="n"/>
      <c r="BN128" s="210" t="n"/>
      <c r="BO128" s="210" t="n"/>
      <c r="BP128" s="210" t="n"/>
      <c r="BQ128" s="210" t="n"/>
      <c r="BR128" s="210" t="n"/>
      <c r="BS128" s="210" t="n"/>
      <c r="BT128" s="212" t="n"/>
      <c r="BU128" s="177" t="n"/>
    </row>
    <row r="129" ht="60" customHeight="1">
      <c r="A129" s="178" t="inlineStr">
        <is>
          <t>SUL</t>
        </is>
      </c>
      <c r="B129" s="207" t="inlineStr">
        <is>
          <t>PR</t>
        </is>
      </c>
      <c r="C129" s="29" t="inlineStr">
        <is>
          <t>GUARAPUAVA</t>
        </is>
      </c>
      <c r="D129" s="178" t="inlineStr">
        <is>
          <t>HOSPITAL DE CARIDADE SAO VICENTE DE PAULO</t>
        </is>
      </c>
      <c r="E129" s="208" t="inlineStr">
        <is>
          <t>77893469000121</t>
        </is>
      </c>
      <c r="F129" s="29" t="inlineStr">
        <is>
          <t>HOSPITAL DE CARIDADE SAO VICENTE DE PAULO</t>
        </is>
      </c>
      <c r="G129" s="254" t="inlineStr">
        <is>
          <t>2741989</t>
        </is>
      </c>
      <c r="H129" s="210" t="n"/>
      <c r="I129" s="210" t="n"/>
      <c r="J129" s="210" t="n"/>
      <c r="K129" s="210" t="inlineStr">
        <is>
          <t>Indireta</t>
        </is>
      </c>
      <c r="L129" s="211" t="inlineStr">
        <is>
          <t>Transferegov/SEI</t>
        </is>
      </c>
      <c r="M129" s="211" t="inlineStr">
        <is>
          <t>Convênio</t>
        </is>
      </c>
      <c r="N129" s="207" t="n">
        <v>2023</v>
      </c>
      <c r="O129" s="207" t="n">
        <v>947263</v>
      </c>
      <c r="P129" s="207" t="n">
        <v>97789323008</v>
      </c>
      <c r="Q129" s="210" t="n"/>
      <c r="R129" s="178" t="n"/>
      <c r="S129" s="210" t="n"/>
      <c r="T129" s="29" t="inlineStr">
        <is>
          <t>Monitor Multiparâmetros</t>
        </is>
      </c>
      <c r="U129" s="210" t="n"/>
      <c r="V129" s="210" t="n">
        <v>40</v>
      </c>
      <c r="W129" s="182" t="inlineStr">
        <is>
          <t xml:space="preserve"> UND</t>
        </is>
      </c>
      <c r="X129" s="210" t="inlineStr">
        <is>
          <t>EQUIPAMENTO</t>
        </is>
      </c>
      <c r="Y129" s="178" t="n"/>
      <c r="Z129" s="211" t="inlineStr">
        <is>
          <t xml:space="preserve"> NA</t>
        </is>
      </c>
      <c r="AA129" s="212" t="n"/>
      <c r="AB129" s="212" t="n"/>
      <c r="AC129" s="212" t="n"/>
      <c r="AD129" s="211" t="inlineStr">
        <is>
          <t>NI</t>
        </is>
      </c>
      <c r="AE129" s="211" t="inlineStr">
        <is>
          <t>NI</t>
        </is>
      </c>
      <c r="AF129" s="211" t="inlineStr">
        <is>
          <t>NI</t>
        </is>
      </c>
      <c r="AG129" s="177" t="n">
        <v>1711157</v>
      </c>
      <c r="AH129" s="177" t="n"/>
      <c r="AI129" s="212" t="n"/>
      <c r="AJ129" s="182" t="n">
        <v>8535</v>
      </c>
      <c r="AK129" s="183" t="inlineStr">
        <is>
          <t> </t>
        </is>
      </c>
      <c r="AL129" s="183" t="inlineStr">
        <is>
          <t> </t>
        </is>
      </c>
      <c r="AM129" s="183" t="inlineStr">
        <is>
          <t> </t>
        </is>
      </c>
      <c r="AN129" s="183" t="inlineStr">
        <is>
          <t> </t>
        </is>
      </c>
      <c r="AO129" s="183" t="inlineStr">
        <is>
          <t> </t>
        </is>
      </c>
      <c r="AP129" s="183" t="inlineStr">
        <is>
          <t> </t>
        </is>
      </c>
      <c r="AQ129" s="183" t="inlineStr">
        <is>
          <t> </t>
        </is>
      </c>
      <c r="AR129" s="183" t="inlineStr">
        <is>
          <t> </t>
        </is>
      </c>
      <c r="AS129" s="183" t="inlineStr">
        <is>
          <t> </t>
        </is>
      </c>
      <c r="AT129" s="183" t="inlineStr">
        <is>
          <t> </t>
        </is>
      </c>
      <c r="AU129" s="183" t="inlineStr">
        <is>
          <t> </t>
        </is>
      </c>
      <c r="AV129" s="183" t="inlineStr">
        <is>
          <t> </t>
        </is>
      </c>
      <c r="AW129" s="183" t="inlineStr">
        <is>
          <t> </t>
        </is>
      </c>
      <c r="AX129" s="183" t="inlineStr">
        <is>
          <t> </t>
        </is>
      </c>
      <c r="AY129" s="210" t="inlineStr">
        <is>
          <t>EM EXECUÇÃO</t>
        </is>
      </c>
      <c r="AZ129" s="210" t="inlineStr">
        <is>
          <t>NI</t>
        </is>
      </c>
      <c r="BA129" s="210" t="inlineStr">
        <is>
          <t>NI</t>
        </is>
      </c>
      <c r="BB129" s="210" t="inlineStr">
        <is>
          <t>NI</t>
        </is>
      </c>
      <c r="BC129" s="212" t="n"/>
      <c r="BD129" s="210" t="n"/>
      <c r="BE129" s="210" t="n"/>
      <c r="BF129" s="178" t="n"/>
      <c r="BG129" s="210" t="n"/>
      <c r="BH129" s="210" t="n"/>
      <c r="BI129" s="210" t="n"/>
      <c r="BJ129" s="210" t="n"/>
      <c r="BK129" s="210" t="n"/>
      <c r="BL129" s="210" t="n"/>
      <c r="BM129" s="210" t="n"/>
      <c r="BN129" s="210" t="n"/>
      <c r="BO129" s="210" t="n"/>
      <c r="BP129" s="210" t="n"/>
      <c r="BQ129" s="210" t="n"/>
      <c r="BR129" s="210" t="n"/>
      <c r="BS129" s="210" t="n"/>
      <c r="BT129" s="212" t="n"/>
      <c r="BU129" s="177" t="n"/>
    </row>
    <row r="130" ht="60" customHeight="1">
      <c r="A130" s="178" t="inlineStr">
        <is>
          <t>SUL</t>
        </is>
      </c>
      <c r="B130" s="207" t="inlineStr">
        <is>
          <t>PR</t>
        </is>
      </c>
      <c r="C130" s="29" t="inlineStr">
        <is>
          <t>GUARAPUAVA</t>
        </is>
      </c>
      <c r="D130" s="178" t="inlineStr">
        <is>
          <t>HOSPITAL DE CARIDADE SAO VICENTE DE PAULO</t>
        </is>
      </c>
      <c r="E130" s="208" t="inlineStr">
        <is>
          <t>77893469000121</t>
        </is>
      </c>
      <c r="F130" s="29" t="inlineStr">
        <is>
          <t>HOSPITAL DE CARIDADE SAO VICENTE DE PAULO</t>
        </is>
      </c>
      <c r="G130" s="254" t="inlineStr">
        <is>
          <t>2741989</t>
        </is>
      </c>
      <c r="H130" s="210" t="n"/>
      <c r="I130" s="210" t="n"/>
      <c r="J130" s="210" t="n"/>
      <c r="K130" s="210" t="inlineStr">
        <is>
          <t>Indireta</t>
        </is>
      </c>
      <c r="L130" s="211" t="inlineStr">
        <is>
          <t>Transferegov/SEI</t>
        </is>
      </c>
      <c r="M130" s="211" t="inlineStr">
        <is>
          <t>Convênio</t>
        </is>
      </c>
      <c r="N130" s="207" t="n">
        <v>2023</v>
      </c>
      <c r="O130" s="207" t="n">
        <v>947263</v>
      </c>
      <c r="P130" s="207" t="n">
        <v>97789323008</v>
      </c>
      <c r="Q130" s="210" t="n"/>
      <c r="R130" s="178" t="n"/>
      <c r="S130" s="210" t="n"/>
      <c r="T130" s="29" t="inlineStr">
        <is>
          <t>Aparelho de Anestesia para Ressonância Magnética</t>
        </is>
      </c>
      <c r="U130" s="210" t="n"/>
      <c r="V130" s="210" t="n">
        <v>1</v>
      </c>
      <c r="W130" s="182" t="inlineStr">
        <is>
          <t xml:space="preserve"> UND</t>
        </is>
      </c>
      <c r="X130" s="210" t="inlineStr">
        <is>
          <t>EQUIPAMENTO</t>
        </is>
      </c>
      <c r="Y130" s="178" t="n"/>
      <c r="Z130" s="211" t="inlineStr">
        <is>
          <t xml:space="preserve"> NA</t>
        </is>
      </c>
      <c r="AA130" s="212" t="n"/>
      <c r="AB130" s="212" t="n"/>
      <c r="AC130" s="212" t="n"/>
      <c r="AD130" s="211" t="inlineStr">
        <is>
          <t>NI</t>
        </is>
      </c>
      <c r="AE130" s="211" t="inlineStr">
        <is>
          <t>NI</t>
        </is>
      </c>
      <c r="AF130" s="211" t="inlineStr">
        <is>
          <t>NI</t>
        </is>
      </c>
      <c r="AG130" s="177" t="n">
        <v>1711157</v>
      </c>
      <c r="AH130" s="177" t="n"/>
      <c r="AI130" s="212" t="n"/>
      <c r="AJ130" s="182" t="n">
        <v>8535</v>
      </c>
      <c r="AK130" s="183" t="inlineStr">
        <is>
          <t> </t>
        </is>
      </c>
      <c r="AL130" s="183" t="inlineStr">
        <is>
          <t> </t>
        </is>
      </c>
      <c r="AM130" s="183" t="inlineStr">
        <is>
          <t> </t>
        </is>
      </c>
      <c r="AN130" s="183" t="inlineStr">
        <is>
          <t> </t>
        </is>
      </c>
      <c r="AO130" s="183" t="inlineStr">
        <is>
          <t> </t>
        </is>
      </c>
      <c r="AP130" s="183" t="inlineStr">
        <is>
          <t> </t>
        </is>
      </c>
      <c r="AQ130" s="183" t="inlineStr">
        <is>
          <t> </t>
        </is>
      </c>
      <c r="AR130" s="183" t="inlineStr">
        <is>
          <t> </t>
        </is>
      </c>
      <c r="AS130" s="183" t="inlineStr">
        <is>
          <t> </t>
        </is>
      </c>
      <c r="AT130" s="183" t="inlineStr">
        <is>
          <t> </t>
        </is>
      </c>
      <c r="AU130" s="183" t="inlineStr">
        <is>
          <t> </t>
        </is>
      </c>
      <c r="AV130" s="183" t="inlineStr">
        <is>
          <t> </t>
        </is>
      </c>
      <c r="AW130" s="183" t="inlineStr">
        <is>
          <t> </t>
        </is>
      </c>
      <c r="AX130" s="183" t="inlineStr">
        <is>
          <t> </t>
        </is>
      </c>
      <c r="AY130" s="210" t="inlineStr">
        <is>
          <t>EM EXECUÇÃO</t>
        </is>
      </c>
      <c r="AZ130" s="210" t="inlineStr">
        <is>
          <t>NI</t>
        </is>
      </c>
      <c r="BA130" s="210" t="inlineStr">
        <is>
          <t>NI</t>
        </is>
      </c>
      <c r="BB130" s="210" t="inlineStr">
        <is>
          <t>NI</t>
        </is>
      </c>
      <c r="BC130" s="212" t="n"/>
      <c r="BD130" s="210" t="n"/>
      <c r="BE130" s="210" t="n"/>
      <c r="BF130" s="178" t="n"/>
      <c r="BG130" s="210" t="n"/>
      <c r="BH130" s="210" t="n"/>
      <c r="BI130" s="210" t="n"/>
      <c r="BJ130" s="210" t="n"/>
      <c r="BK130" s="210" t="n"/>
      <c r="BL130" s="210" t="n"/>
      <c r="BM130" s="210" t="n"/>
      <c r="BN130" s="210" t="n"/>
      <c r="BO130" s="210" t="n"/>
      <c r="BP130" s="210" t="n"/>
      <c r="BQ130" s="210" t="n"/>
      <c r="BR130" s="210" t="n"/>
      <c r="BS130" s="210" t="n"/>
      <c r="BT130" s="212" t="n"/>
      <c r="BU130" s="177" t="n"/>
    </row>
    <row r="131" ht="60" customHeight="1">
      <c r="A131" s="178" t="inlineStr">
        <is>
          <t>SUL</t>
        </is>
      </c>
      <c r="B131" s="207" t="inlineStr">
        <is>
          <t>PR</t>
        </is>
      </c>
      <c r="C131" s="29" t="inlineStr">
        <is>
          <t>GUARAPUAVA</t>
        </is>
      </c>
      <c r="D131" s="178" t="inlineStr">
        <is>
          <t>HOSPITAL DE CARIDADE SAO VICENTE DE PAULO</t>
        </is>
      </c>
      <c r="E131" s="208" t="inlineStr">
        <is>
          <t>77893469000121</t>
        </is>
      </c>
      <c r="F131" s="29" t="inlineStr">
        <is>
          <t>HOSPITAL DE CARIDADE SAO VICENTE DE PAULO</t>
        </is>
      </c>
      <c r="G131" s="254" t="inlineStr">
        <is>
          <t>2741989</t>
        </is>
      </c>
      <c r="H131" s="210" t="n"/>
      <c r="I131" s="210" t="n"/>
      <c r="J131" s="210" t="n"/>
      <c r="K131" s="210" t="inlineStr">
        <is>
          <t>Indireta</t>
        </is>
      </c>
      <c r="L131" s="211" t="inlineStr">
        <is>
          <t>Transferegov/SEI</t>
        </is>
      </c>
      <c r="M131" s="211" t="inlineStr">
        <is>
          <t>Convênio</t>
        </is>
      </c>
      <c r="N131" s="207" t="n">
        <v>2023</v>
      </c>
      <c r="O131" s="207" t="n">
        <v>947263</v>
      </c>
      <c r="P131" s="207" t="n">
        <v>97789323008</v>
      </c>
      <c r="Q131" s="210" t="n"/>
      <c r="R131" s="178" t="n"/>
      <c r="S131" s="210" t="n"/>
      <c r="T131" s="29" t="inlineStr">
        <is>
          <t>Carro Maca para Ressonância Magnética</t>
        </is>
      </c>
      <c r="U131" s="210" t="n"/>
      <c r="V131" s="210" t="n">
        <v>1</v>
      </c>
      <c r="W131" s="182" t="inlineStr">
        <is>
          <t xml:space="preserve"> UND</t>
        </is>
      </c>
      <c r="X131" s="210" t="inlineStr">
        <is>
          <t>EQUIPAMENTO</t>
        </is>
      </c>
      <c r="Y131" s="178" t="n"/>
      <c r="Z131" s="211" t="inlineStr">
        <is>
          <t xml:space="preserve"> NA</t>
        </is>
      </c>
      <c r="AA131" s="212" t="n"/>
      <c r="AB131" s="212" t="n"/>
      <c r="AC131" s="212" t="n"/>
      <c r="AD131" s="211" t="inlineStr">
        <is>
          <t>NI</t>
        </is>
      </c>
      <c r="AE131" s="211" t="inlineStr">
        <is>
          <t>NI</t>
        </is>
      </c>
      <c r="AF131" s="211" t="inlineStr">
        <is>
          <t>NI</t>
        </is>
      </c>
      <c r="AG131" s="177" t="n">
        <v>1711157</v>
      </c>
      <c r="AH131" s="177" t="n"/>
      <c r="AI131" s="212" t="n"/>
      <c r="AJ131" s="182" t="n">
        <v>8535</v>
      </c>
      <c r="AK131" s="183" t="inlineStr">
        <is>
          <t> </t>
        </is>
      </c>
      <c r="AL131" s="183" t="inlineStr">
        <is>
          <t> </t>
        </is>
      </c>
      <c r="AM131" s="183" t="inlineStr">
        <is>
          <t> </t>
        </is>
      </c>
      <c r="AN131" s="183" t="inlineStr">
        <is>
          <t> </t>
        </is>
      </c>
      <c r="AO131" s="183" t="inlineStr">
        <is>
          <t> </t>
        </is>
      </c>
      <c r="AP131" s="183" t="inlineStr">
        <is>
          <t> </t>
        </is>
      </c>
      <c r="AQ131" s="183" t="inlineStr">
        <is>
          <t> </t>
        </is>
      </c>
      <c r="AR131" s="183" t="inlineStr">
        <is>
          <t> </t>
        </is>
      </c>
      <c r="AS131" s="183" t="inlineStr">
        <is>
          <t> </t>
        </is>
      </c>
      <c r="AT131" s="183" t="inlineStr">
        <is>
          <t> </t>
        </is>
      </c>
      <c r="AU131" s="183" t="inlineStr">
        <is>
          <t> </t>
        </is>
      </c>
      <c r="AV131" s="183" t="inlineStr">
        <is>
          <t> </t>
        </is>
      </c>
      <c r="AW131" s="183" t="inlineStr">
        <is>
          <t> </t>
        </is>
      </c>
      <c r="AX131" s="183" t="inlineStr">
        <is>
          <t> </t>
        </is>
      </c>
      <c r="AY131" s="210" t="inlineStr">
        <is>
          <t>EM EXECUÇÃO</t>
        </is>
      </c>
      <c r="AZ131" s="210" t="inlineStr">
        <is>
          <t>NI</t>
        </is>
      </c>
      <c r="BA131" s="210" t="inlineStr">
        <is>
          <t>NI</t>
        </is>
      </c>
      <c r="BB131" s="210" t="inlineStr">
        <is>
          <t>NI</t>
        </is>
      </c>
      <c r="BC131" s="212" t="n"/>
      <c r="BD131" s="210" t="n"/>
      <c r="BE131" s="210" t="n"/>
      <c r="BF131" s="178" t="n"/>
      <c r="BG131" s="210" t="n"/>
      <c r="BH131" s="210" t="n"/>
      <c r="BI131" s="210" t="n"/>
      <c r="BJ131" s="210" t="n"/>
      <c r="BK131" s="210" t="n"/>
      <c r="BL131" s="210" t="n"/>
      <c r="BM131" s="210" t="n"/>
      <c r="BN131" s="210" t="n"/>
      <c r="BO131" s="210" t="n"/>
      <c r="BP131" s="210" t="n"/>
      <c r="BQ131" s="210" t="n"/>
      <c r="BR131" s="210" t="n"/>
      <c r="BS131" s="210" t="n"/>
      <c r="BT131" s="212" t="n"/>
      <c r="BU131" s="177" t="n"/>
    </row>
    <row r="132" ht="60" customHeight="1">
      <c r="A132" s="178" t="inlineStr">
        <is>
          <t>SUL</t>
        </is>
      </c>
      <c r="B132" s="207" t="inlineStr">
        <is>
          <t>PR</t>
        </is>
      </c>
      <c r="C132" s="29" t="inlineStr">
        <is>
          <t>GUARAPUAVA</t>
        </is>
      </c>
      <c r="D132" s="178" t="inlineStr">
        <is>
          <t>HOSPITAL DE CARIDADE SAO VICENTE DE PAULO</t>
        </is>
      </c>
      <c r="E132" s="208" t="inlineStr">
        <is>
          <t>77893469000121</t>
        </is>
      </c>
      <c r="F132" s="29" t="inlineStr">
        <is>
          <t>HOSPITAL DE CARIDADE SAO VICENTE DE PAULO</t>
        </is>
      </c>
      <c r="G132" s="254" t="inlineStr">
        <is>
          <t>2741989</t>
        </is>
      </c>
      <c r="H132" s="210" t="n"/>
      <c r="I132" s="210" t="n"/>
      <c r="J132" s="210" t="n"/>
      <c r="K132" s="210" t="inlineStr">
        <is>
          <t>Indireta</t>
        </is>
      </c>
      <c r="L132" s="211" t="inlineStr">
        <is>
          <t>Transferegov/SEI</t>
        </is>
      </c>
      <c r="M132" s="211" t="inlineStr">
        <is>
          <t>Convênio</t>
        </is>
      </c>
      <c r="N132" s="207" t="n">
        <v>2023</v>
      </c>
      <c r="O132" s="207" t="n">
        <v>947263</v>
      </c>
      <c r="P132" s="207" t="n">
        <v>97789323008</v>
      </c>
      <c r="Q132" s="210" t="n"/>
      <c r="R132" s="178" t="n"/>
      <c r="S132" s="210" t="n"/>
      <c r="T132" s="29" t="inlineStr">
        <is>
          <t>Monitor Multiparâmetros</t>
        </is>
      </c>
      <c r="U132" s="210" t="n"/>
      <c r="V132" s="210" t="n">
        <v>31</v>
      </c>
      <c r="W132" s="182" t="inlineStr">
        <is>
          <t xml:space="preserve"> UND</t>
        </is>
      </c>
      <c r="X132" s="210" t="inlineStr">
        <is>
          <t>EQUIPAMENTO</t>
        </is>
      </c>
      <c r="Y132" s="178" t="n"/>
      <c r="Z132" s="211" t="inlineStr">
        <is>
          <t xml:space="preserve"> NA</t>
        </is>
      </c>
      <c r="AA132" s="212" t="n"/>
      <c r="AB132" s="212" t="n"/>
      <c r="AC132" s="212" t="n"/>
      <c r="AD132" s="211" t="inlineStr">
        <is>
          <t>NI</t>
        </is>
      </c>
      <c r="AE132" s="211" t="inlineStr">
        <is>
          <t>NI</t>
        </is>
      </c>
      <c r="AF132" s="211" t="inlineStr">
        <is>
          <t>NI</t>
        </is>
      </c>
      <c r="AG132" s="177" t="n">
        <v>1711157</v>
      </c>
      <c r="AH132" s="177" t="n"/>
      <c r="AI132" s="212" t="n"/>
      <c r="AJ132" s="182" t="n">
        <v>8535</v>
      </c>
      <c r="AK132" s="183" t="inlineStr">
        <is>
          <t> </t>
        </is>
      </c>
      <c r="AL132" s="183" t="inlineStr">
        <is>
          <t> </t>
        </is>
      </c>
      <c r="AM132" s="183" t="inlineStr">
        <is>
          <t> </t>
        </is>
      </c>
      <c r="AN132" s="183" t="inlineStr">
        <is>
          <t> </t>
        </is>
      </c>
      <c r="AO132" s="183" t="inlineStr">
        <is>
          <t> </t>
        </is>
      </c>
      <c r="AP132" s="183" t="inlineStr">
        <is>
          <t> </t>
        </is>
      </c>
      <c r="AQ132" s="183" t="inlineStr">
        <is>
          <t> </t>
        </is>
      </c>
      <c r="AR132" s="183" t="inlineStr">
        <is>
          <t> </t>
        </is>
      </c>
      <c r="AS132" s="183" t="inlineStr">
        <is>
          <t> </t>
        </is>
      </c>
      <c r="AT132" s="183" t="inlineStr">
        <is>
          <t> </t>
        </is>
      </c>
      <c r="AU132" s="183" t="inlineStr">
        <is>
          <t> </t>
        </is>
      </c>
      <c r="AV132" s="183" t="inlineStr">
        <is>
          <t> </t>
        </is>
      </c>
      <c r="AW132" s="183" t="inlineStr">
        <is>
          <t> </t>
        </is>
      </c>
      <c r="AX132" s="183" t="inlineStr">
        <is>
          <t> </t>
        </is>
      </c>
      <c r="AY132" s="210" t="inlineStr">
        <is>
          <t>EM EXECUÇÃO</t>
        </is>
      </c>
      <c r="AZ132" s="210" t="inlineStr">
        <is>
          <t>NI</t>
        </is>
      </c>
      <c r="BA132" s="210" t="inlineStr">
        <is>
          <t>NI</t>
        </is>
      </c>
      <c r="BB132" s="210" t="inlineStr">
        <is>
          <t>NI</t>
        </is>
      </c>
      <c r="BC132" s="212" t="n"/>
      <c r="BD132" s="210" t="n"/>
      <c r="BE132" s="210" t="n"/>
      <c r="BF132" s="178" t="n"/>
      <c r="BG132" s="210" t="n"/>
      <c r="BH132" s="210" t="n"/>
      <c r="BI132" s="210" t="n"/>
      <c r="BJ132" s="210" t="n"/>
      <c r="BK132" s="210" t="n"/>
      <c r="BL132" s="210" t="n"/>
      <c r="BM132" s="210" t="n"/>
      <c r="BN132" s="210" t="n"/>
      <c r="BO132" s="210" t="n"/>
      <c r="BP132" s="210" t="n"/>
      <c r="BQ132" s="210" t="n"/>
      <c r="BR132" s="210" t="n"/>
      <c r="BS132" s="210" t="n"/>
      <c r="BT132" s="212" t="n"/>
      <c r="BU132" s="177" t="n"/>
    </row>
    <row r="133" ht="60" customHeight="1">
      <c r="A133" s="178" t="inlineStr">
        <is>
          <t>SUL</t>
        </is>
      </c>
      <c r="B133" s="207" t="inlineStr">
        <is>
          <t>PR</t>
        </is>
      </c>
      <c r="C133" s="29" t="inlineStr">
        <is>
          <t>LONDRINA</t>
        </is>
      </c>
      <c r="D133" s="178" t="inlineStr">
        <is>
          <t>INSTITUTO DE CANCER DE LONDRINA</t>
        </is>
      </c>
      <c r="E133" s="208" t="inlineStr">
        <is>
          <t>78633088000176</t>
        </is>
      </c>
      <c r="F133" s="29" t="inlineStr">
        <is>
          <t>INSTITUTO DE CANCER DE LONDRINA</t>
        </is>
      </c>
      <c r="G133" s="254" t="inlineStr">
        <is>
          <t>2577623</t>
        </is>
      </c>
      <c r="H133" s="210" t="n"/>
      <c r="I133" s="210" t="n"/>
      <c r="J133" s="210" t="n"/>
      <c r="K133" s="210" t="inlineStr">
        <is>
          <t>Indireta</t>
        </is>
      </c>
      <c r="L133" s="211" t="inlineStr">
        <is>
          <t>Transferegov/SEI</t>
        </is>
      </c>
      <c r="M133" s="211" t="inlineStr">
        <is>
          <t>Convênio</t>
        </is>
      </c>
      <c r="N133" s="207" t="n">
        <v>2023</v>
      </c>
      <c r="O133" s="207" t="n">
        <v>947277</v>
      </c>
      <c r="P133" s="207" t="n">
        <v>97863323002</v>
      </c>
      <c r="Q133" s="210" t="n"/>
      <c r="R133" s="178" t="n"/>
      <c r="S133" s="210" t="n"/>
      <c r="T133" s="29" t="inlineStr">
        <is>
          <t>Escada com 2 degraus</t>
        </is>
      </c>
      <c r="U133" s="210" t="n"/>
      <c r="V133" s="210" t="n">
        <v>69</v>
      </c>
      <c r="W133" s="182" t="inlineStr">
        <is>
          <t xml:space="preserve"> UND</t>
        </is>
      </c>
      <c r="X133" s="210" t="inlineStr">
        <is>
          <t>EQUIPAMENTO</t>
        </is>
      </c>
      <c r="Y133" s="178" t="n"/>
      <c r="Z133" s="211" t="inlineStr">
        <is>
          <t xml:space="preserve"> NA</t>
        </is>
      </c>
      <c r="AA133" s="212" t="n"/>
      <c r="AB133" s="212" t="n"/>
      <c r="AC133" s="212" t="n"/>
      <c r="AD133" s="211" t="inlineStr">
        <is>
          <t>NI</t>
        </is>
      </c>
      <c r="AE133" s="211" t="inlineStr">
        <is>
          <t>NI</t>
        </is>
      </c>
      <c r="AF133" s="211" t="inlineStr">
        <is>
          <t>NI</t>
        </is>
      </c>
      <c r="AG133" s="177" t="n">
        <v>815539</v>
      </c>
      <c r="AH133" s="177" t="n"/>
      <c r="AI133" s="212" t="n"/>
      <c r="AJ133" s="182" t="n">
        <v>8535</v>
      </c>
      <c r="AK133" s="183" t="inlineStr">
        <is>
          <t> </t>
        </is>
      </c>
      <c r="AL133" s="183" t="inlineStr">
        <is>
          <t> </t>
        </is>
      </c>
      <c r="AM133" s="183" t="inlineStr">
        <is>
          <t> </t>
        </is>
      </c>
      <c r="AN133" s="183" t="inlineStr">
        <is>
          <t> </t>
        </is>
      </c>
      <c r="AO133" s="183" t="inlineStr">
        <is>
          <t> </t>
        </is>
      </c>
      <c r="AP133" s="183" t="inlineStr">
        <is>
          <t> </t>
        </is>
      </c>
      <c r="AQ133" s="183" t="inlineStr">
        <is>
          <t> </t>
        </is>
      </c>
      <c r="AR133" s="183" t="inlineStr">
        <is>
          <t> </t>
        </is>
      </c>
      <c r="AS133" s="183" t="inlineStr">
        <is>
          <t> </t>
        </is>
      </c>
      <c r="AT133" s="183" t="inlineStr">
        <is>
          <t> </t>
        </is>
      </c>
      <c r="AU133" s="183" t="inlineStr">
        <is>
          <t> </t>
        </is>
      </c>
      <c r="AV133" s="183" t="inlineStr">
        <is>
          <t> </t>
        </is>
      </c>
      <c r="AW133" s="183" t="inlineStr">
        <is>
          <t> </t>
        </is>
      </c>
      <c r="AX133" s="183" t="inlineStr">
        <is>
          <t> </t>
        </is>
      </c>
      <c r="AY133" s="210" t="inlineStr">
        <is>
          <t>EM EXECUÇÃO</t>
        </is>
      </c>
      <c r="AZ133" s="210" t="inlineStr">
        <is>
          <t>NI</t>
        </is>
      </c>
      <c r="BA133" s="210" t="inlineStr">
        <is>
          <t>NI</t>
        </is>
      </c>
      <c r="BB133" s="210" t="inlineStr">
        <is>
          <t>NI</t>
        </is>
      </c>
      <c r="BC133" s="212" t="n"/>
      <c r="BD133" s="210" t="n"/>
      <c r="BE133" s="210" t="n"/>
      <c r="BF133" s="178" t="n"/>
      <c r="BG133" s="210" t="n"/>
      <c r="BH133" s="210" t="n"/>
      <c r="BI133" s="210" t="n"/>
      <c r="BJ133" s="210" t="n"/>
      <c r="BK133" s="210" t="n"/>
      <c r="BL133" s="210" t="n"/>
      <c r="BM133" s="210" t="n"/>
      <c r="BN133" s="210" t="n"/>
      <c r="BO133" s="210" t="n"/>
      <c r="BP133" s="210" t="n"/>
      <c r="BQ133" s="210" t="n"/>
      <c r="BR133" s="210" t="n"/>
      <c r="BS133" s="210" t="n"/>
      <c r="BT133" s="212" t="n"/>
      <c r="BU133" s="177" t="n"/>
    </row>
    <row r="134" ht="60" customHeight="1">
      <c r="A134" s="178" t="inlineStr">
        <is>
          <t>SUL</t>
        </is>
      </c>
      <c r="B134" s="207" t="inlineStr">
        <is>
          <t>PR</t>
        </is>
      </c>
      <c r="C134" s="29" t="inlineStr">
        <is>
          <t>LONDRINA</t>
        </is>
      </c>
      <c r="D134" s="178" t="inlineStr">
        <is>
          <t>INSTITUTO DE CANCER DE LONDRINA</t>
        </is>
      </c>
      <c r="E134" s="208" t="inlineStr">
        <is>
          <t>78633088000176</t>
        </is>
      </c>
      <c r="F134" s="29" t="inlineStr">
        <is>
          <t>INSTITUTO DE CANCER DE LONDRINA</t>
        </is>
      </c>
      <c r="G134" s="254" t="inlineStr">
        <is>
          <t>2577623</t>
        </is>
      </c>
      <c r="H134" s="210" t="n"/>
      <c r="I134" s="210" t="n"/>
      <c r="J134" s="210" t="n"/>
      <c r="K134" s="210" t="inlineStr">
        <is>
          <t>Indireta</t>
        </is>
      </c>
      <c r="L134" s="211" t="inlineStr">
        <is>
          <t>Transferegov/SEI</t>
        </is>
      </c>
      <c r="M134" s="211" t="inlineStr">
        <is>
          <t>Convênio</t>
        </is>
      </c>
      <c r="N134" s="207" t="n">
        <v>2023</v>
      </c>
      <c r="O134" s="207" t="n">
        <v>947277</v>
      </c>
      <c r="P134" s="207" t="n">
        <v>97863323002</v>
      </c>
      <c r="Q134" s="210" t="n"/>
      <c r="R134" s="178" t="n"/>
      <c r="S134" s="210" t="n"/>
      <c r="T134" s="29" t="inlineStr">
        <is>
          <t>Cama Hospitalar Tipo Fawler Mecânica</t>
        </is>
      </c>
      <c r="U134" s="210" t="n"/>
      <c r="V134" s="210" t="n">
        <v>95</v>
      </c>
      <c r="W134" s="182" t="inlineStr">
        <is>
          <t xml:space="preserve"> UND</t>
        </is>
      </c>
      <c r="X134" s="210" t="inlineStr">
        <is>
          <t>EQUIPAMENTO</t>
        </is>
      </c>
      <c r="Y134" s="178" t="n"/>
      <c r="Z134" s="211" t="inlineStr">
        <is>
          <t xml:space="preserve"> NA</t>
        </is>
      </c>
      <c r="AA134" s="212" t="n"/>
      <c r="AB134" s="212" t="n"/>
      <c r="AC134" s="212" t="n"/>
      <c r="AD134" s="211" t="inlineStr">
        <is>
          <t>NI</t>
        </is>
      </c>
      <c r="AE134" s="211" t="inlineStr">
        <is>
          <t>NI</t>
        </is>
      </c>
      <c r="AF134" s="211" t="inlineStr">
        <is>
          <t>NI</t>
        </is>
      </c>
      <c r="AG134" s="177" t="n">
        <v>815539</v>
      </c>
      <c r="AH134" s="177" t="n"/>
      <c r="AI134" s="212" t="n"/>
      <c r="AJ134" s="182" t="n">
        <v>8535</v>
      </c>
      <c r="AK134" s="183" t="inlineStr">
        <is>
          <t> </t>
        </is>
      </c>
      <c r="AL134" s="183" t="inlineStr">
        <is>
          <t> </t>
        </is>
      </c>
      <c r="AM134" s="183" t="inlineStr">
        <is>
          <t> </t>
        </is>
      </c>
      <c r="AN134" s="183" t="inlineStr">
        <is>
          <t> </t>
        </is>
      </c>
      <c r="AO134" s="183" t="inlineStr">
        <is>
          <t> </t>
        </is>
      </c>
      <c r="AP134" s="183" t="inlineStr">
        <is>
          <t> </t>
        </is>
      </c>
      <c r="AQ134" s="183" t="inlineStr">
        <is>
          <t> </t>
        </is>
      </c>
      <c r="AR134" s="183" t="inlineStr">
        <is>
          <t> </t>
        </is>
      </c>
      <c r="AS134" s="183" t="inlineStr">
        <is>
          <t> </t>
        </is>
      </c>
      <c r="AT134" s="183" t="inlineStr">
        <is>
          <t> </t>
        </is>
      </c>
      <c r="AU134" s="183" t="inlineStr">
        <is>
          <t> </t>
        </is>
      </c>
      <c r="AV134" s="183" t="inlineStr">
        <is>
          <t> </t>
        </is>
      </c>
      <c r="AW134" s="183" t="inlineStr">
        <is>
          <t> </t>
        </is>
      </c>
      <c r="AX134" s="183" t="inlineStr">
        <is>
          <t> </t>
        </is>
      </c>
      <c r="AY134" s="210" t="inlineStr">
        <is>
          <t>EM EXECUÇÃO</t>
        </is>
      </c>
      <c r="AZ134" s="210" t="inlineStr">
        <is>
          <t>NI</t>
        </is>
      </c>
      <c r="BA134" s="210" t="inlineStr">
        <is>
          <t>NI</t>
        </is>
      </c>
      <c r="BB134" s="210" t="inlineStr">
        <is>
          <t>NI</t>
        </is>
      </c>
      <c r="BC134" s="212" t="n"/>
      <c r="BD134" s="210" t="n"/>
      <c r="BE134" s="210" t="n"/>
      <c r="BF134" s="178" t="n"/>
      <c r="BG134" s="210" t="n"/>
      <c r="BH134" s="210" t="n"/>
      <c r="BI134" s="210" t="n"/>
      <c r="BJ134" s="210" t="n"/>
      <c r="BK134" s="210" t="n"/>
      <c r="BL134" s="210" t="n"/>
      <c r="BM134" s="210" t="n"/>
      <c r="BN134" s="210" t="n"/>
      <c r="BO134" s="210" t="n"/>
      <c r="BP134" s="210" t="n"/>
      <c r="BQ134" s="210" t="n"/>
      <c r="BR134" s="210" t="n"/>
      <c r="BS134" s="210" t="n"/>
      <c r="BT134" s="212" t="n"/>
      <c r="BU134" s="177" t="n"/>
    </row>
    <row r="135" ht="60" customHeight="1">
      <c r="A135" s="178" t="inlineStr">
        <is>
          <t>NORDESTE</t>
        </is>
      </c>
      <c r="B135" s="207" t="inlineStr">
        <is>
          <t>RN</t>
        </is>
      </c>
      <c r="C135" s="29" t="inlineStr">
        <is>
          <t>NATAL</t>
        </is>
      </c>
      <c r="D135" s="178" t="inlineStr">
        <is>
          <t>LIGA NORTERIOGRANDENSE CONTRA O CANCER</t>
        </is>
      </c>
      <c r="E135" s="208" t="inlineStr">
        <is>
          <t>08428765000139</t>
        </is>
      </c>
      <c r="F135" s="29" t="inlineStr">
        <is>
          <t>LIGA NORTERIOGRANDENSE CONTRA O CANCER</t>
        </is>
      </c>
      <c r="G135" s="254" t="inlineStr">
        <is>
          <t>2409194</t>
        </is>
      </c>
      <c r="H135" s="210" t="n"/>
      <c r="I135" s="210" t="n"/>
      <c r="J135" s="210" t="n"/>
      <c r="K135" s="210" t="inlineStr">
        <is>
          <t>Indireta</t>
        </is>
      </c>
      <c r="L135" s="211" t="inlineStr">
        <is>
          <t>Transferegov/SEI</t>
        </is>
      </c>
      <c r="M135" s="211" t="inlineStr">
        <is>
          <t>Convênio</t>
        </is>
      </c>
      <c r="N135" s="207" t="n">
        <v>2023</v>
      </c>
      <c r="O135" s="207" t="n">
        <v>943865</v>
      </c>
      <c r="P135" s="207" t="n">
        <v>90842823003</v>
      </c>
      <c r="Q135" s="210" t="n"/>
      <c r="R135" s="178" t="n"/>
      <c r="S135" s="210" t="n"/>
      <c r="T135" s="29" t="inlineStr">
        <is>
          <t>Aparelho de Anestesia com Monitor Multiparâmetros</t>
        </is>
      </c>
      <c r="U135" s="210" t="n"/>
      <c r="V135" s="210" t="n">
        <v>1</v>
      </c>
      <c r="W135" s="182" t="inlineStr">
        <is>
          <t xml:space="preserve"> UND</t>
        </is>
      </c>
      <c r="X135" s="210" t="inlineStr">
        <is>
          <t>EQUIPAMENTO</t>
        </is>
      </c>
      <c r="Y135" s="178" t="n"/>
      <c r="Z135" s="211" t="inlineStr">
        <is>
          <t xml:space="preserve"> NA</t>
        </is>
      </c>
      <c r="AA135" s="212" t="n"/>
      <c r="AB135" s="212" t="n"/>
      <c r="AC135" s="212" t="n"/>
      <c r="AD135" s="211" t="inlineStr">
        <is>
          <t>NI</t>
        </is>
      </c>
      <c r="AE135" s="211" t="inlineStr">
        <is>
          <t>NI</t>
        </is>
      </c>
      <c r="AF135" s="211" t="inlineStr">
        <is>
          <t>NI</t>
        </is>
      </c>
      <c r="AG135" s="177" t="n">
        <v>426300</v>
      </c>
      <c r="AH135" s="177" t="n"/>
      <c r="AI135" s="212" t="n"/>
      <c r="AJ135" s="182" t="n">
        <v>8535</v>
      </c>
      <c r="AK135" s="183" t="inlineStr">
        <is>
          <t> </t>
        </is>
      </c>
      <c r="AL135" s="183" t="inlineStr">
        <is>
          <t> </t>
        </is>
      </c>
      <c r="AM135" s="183" t="inlineStr">
        <is>
          <t> </t>
        </is>
      </c>
      <c r="AN135" s="183" t="inlineStr">
        <is>
          <t> </t>
        </is>
      </c>
      <c r="AO135" s="183" t="inlineStr">
        <is>
          <t> </t>
        </is>
      </c>
      <c r="AP135" s="183" t="inlineStr">
        <is>
          <t> </t>
        </is>
      </c>
      <c r="AQ135" s="183" t="inlineStr">
        <is>
          <t> </t>
        </is>
      </c>
      <c r="AR135" s="183" t="inlineStr">
        <is>
          <t> </t>
        </is>
      </c>
      <c r="AS135" s="183" t="inlineStr">
        <is>
          <t> </t>
        </is>
      </c>
      <c r="AT135" s="183" t="inlineStr">
        <is>
          <t> </t>
        </is>
      </c>
      <c r="AU135" s="183" t="inlineStr">
        <is>
          <t> </t>
        </is>
      </c>
      <c r="AV135" s="183" t="inlineStr">
        <is>
          <t> </t>
        </is>
      </c>
      <c r="AW135" s="183" t="inlineStr">
        <is>
          <t> </t>
        </is>
      </c>
      <c r="AX135" s="183" t="inlineStr">
        <is>
          <t> </t>
        </is>
      </c>
      <c r="AY135" s="210" t="inlineStr">
        <is>
          <t>EM EXECUÇÃO</t>
        </is>
      </c>
      <c r="AZ135" s="210" t="inlineStr">
        <is>
          <t>NI</t>
        </is>
      </c>
      <c r="BA135" s="210" t="inlineStr">
        <is>
          <t>NI</t>
        </is>
      </c>
      <c r="BB135" s="210" t="inlineStr">
        <is>
          <t>NI</t>
        </is>
      </c>
      <c r="BC135" s="212" t="n"/>
      <c r="BD135" s="210" t="n"/>
      <c r="BE135" s="210" t="n"/>
      <c r="BF135" s="178" t="n"/>
      <c r="BG135" s="210" t="n"/>
      <c r="BH135" s="210" t="n"/>
      <c r="BI135" s="210" t="n"/>
      <c r="BJ135" s="210" t="n"/>
      <c r="BK135" s="210" t="n"/>
      <c r="BL135" s="210" t="n"/>
      <c r="BM135" s="210" t="n"/>
      <c r="BN135" s="210" t="n"/>
      <c r="BO135" s="210" t="n"/>
      <c r="BP135" s="210" t="n"/>
      <c r="BQ135" s="210" t="n"/>
      <c r="BR135" s="210" t="n"/>
      <c r="BS135" s="210" t="n"/>
      <c r="BT135" s="212" t="n"/>
      <c r="BU135" s="177" t="n"/>
    </row>
    <row r="136" ht="60" customHeight="1">
      <c r="A136" s="178" t="inlineStr">
        <is>
          <t>NORDESTE</t>
        </is>
      </c>
      <c r="B136" s="207" t="inlineStr">
        <is>
          <t>RN</t>
        </is>
      </c>
      <c r="C136" s="29" t="inlineStr">
        <is>
          <t>NATAL</t>
        </is>
      </c>
      <c r="D136" s="178" t="inlineStr">
        <is>
          <t>LIGA NORTERIOGRANDENSE CONTRA O CANCER</t>
        </is>
      </c>
      <c r="E136" s="208" t="inlineStr">
        <is>
          <t>08428765000139</t>
        </is>
      </c>
      <c r="F136" s="29" t="inlineStr">
        <is>
          <t>LIGA NORTERIOGRANDENSE CONTRA O CANCER</t>
        </is>
      </c>
      <c r="G136" s="254" t="inlineStr">
        <is>
          <t>2409194</t>
        </is>
      </c>
      <c r="H136" s="210" t="n"/>
      <c r="I136" s="210" t="n"/>
      <c r="J136" s="210" t="n"/>
      <c r="K136" s="210" t="inlineStr">
        <is>
          <t>Indireta</t>
        </is>
      </c>
      <c r="L136" s="211" t="inlineStr">
        <is>
          <t>Transferegov/SEI</t>
        </is>
      </c>
      <c r="M136" s="211" t="inlineStr">
        <is>
          <t>Convênio</t>
        </is>
      </c>
      <c r="N136" s="207" t="n">
        <v>2023</v>
      </c>
      <c r="O136" s="207" t="n">
        <v>943865</v>
      </c>
      <c r="P136" s="207" t="n">
        <v>90842823003</v>
      </c>
      <c r="Q136" s="210" t="n"/>
      <c r="R136" s="178" t="n"/>
      <c r="S136" s="210" t="n"/>
      <c r="T136" s="29" t="inlineStr">
        <is>
          <t>Ventilador Pulmonar Pressométrico e Volumétrico</t>
        </is>
      </c>
      <c r="U136" s="210" t="n"/>
      <c r="V136" s="210" t="n">
        <v>2</v>
      </c>
      <c r="W136" s="182" t="inlineStr">
        <is>
          <t xml:space="preserve"> UND</t>
        </is>
      </c>
      <c r="X136" s="210" t="inlineStr">
        <is>
          <t>EQUIPAMENTO</t>
        </is>
      </c>
      <c r="Y136" s="178" t="n"/>
      <c r="Z136" s="211" t="inlineStr">
        <is>
          <t xml:space="preserve"> NA</t>
        </is>
      </c>
      <c r="AA136" s="212" t="n"/>
      <c r="AB136" s="212" t="n"/>
      <c r="AC136" s="212" t="n"/>
      <c r="AD136" s="211" t="inlineStr">
        <is>
          <t>NI</t>
        </is>
      </c>
      <c r="AE136" s="211" t="inlineStr">
        <is>
          <t>NI</t>
        </is>
      </c>
      <c r="AF136" s="211" t="inlineStr">
        <is>
          <t>NI</t>
        </is>
      </c>
      <c r="AG136" s="177" t="n">
        <v>426300</v>
      </c>
      <c r="AH136" s="177" t="n"/>
      <c r="AI136" s="212" t="n"/>
      <c r="AJ136" s="182" t="n">
        <v>8535</v>
      </c>
      <c r="AK136" s="183" t="inlineStr">
        <is>
          <t> </t>
        </is>
      </c>
      <c r="AL136" s="183" t="inlineStr">
        <is>
          <t> </t>
        </is>
      </c>
      <c r="AM136" s="183" t="inlineStr">
        <is>
          <t> </t>
        </is>
      </c>
      <c r="AN136" s="183" t="inlineStr">
        <is>
          <t> </t>
        </is>
      </c>
      <c r="AO136" s="183" t="inlineStr">
        <is>
          <t> </t>
        </is>
      </c>
      <c r="AP136" s="183" t="inlineStr">
        <is>
          <t> </t>
        </is>
      </c>
      <c r="AQ136" s="183" t="inlineStr">
        <is>
          <t> </t>
        </is>
      </c>
      <c r="AR136" s="183" t="inlineStr">
        <is>
          <t> </t>
        </is>
      </c>
      <c r="AS136" s="183" t="inlineStr">
        <is>
          <t> </t>
        </is>
      </c>
      <c r="AT136" s="183" t="inlineStr">
        <is>
          <t> </t>
        </is>
      </c>
      <c r="AU136" s="183" t="inlineStr">
        <is>
          <t> </t>
        </is>
      </c>
      <c r="AV136" s="183" t="inlineStr">
        <is>
          <t> </t>
        </is>
      </c>
      <c r="AW136" s="183" t="inlineStr">
        <is>
          <t> </t>
        </is>
      </c>
      <c r="AX136" s="183" t="inlineStr">
        <is>
          <t> </t>
        </is>
      </c>
      <c r="AY136" s="210" t="inlineStr">
        <is>
          <t>EM EXECUÇÃO</t>
        </is>
      </c>
      <c r="AZ136" s="210" t="inlineStr">
        <is>
          <t>NI</t>
        </is>
      </c>
      <c r="BA136" s="210" t="inlineStr">
        <is>
          <t>NI</t>
        </is>
      </c>
      <c r="BB136" s="210" t="inlineStr">
        <is>
          <t>NI</t>
        </is>
      </c>
      <c r="BC136" s="212" t="n"/>
      <c r="BD136" s="210" t="n"/>
      <c r="BE136" s="210" t="n"/>
      <c r="BF136" s="178" t="n"/>
      <c r="BG136" s="210" t="n"/>
      <c r="BH136" s="210" t="n"/>
      <c r="BI136" s="210" t="n"/>
      <c r="BJ136" s="210" t="n"/>
      <c r="BK136" s="210" t="n"/>
      <c r="BL136" s="210" t="n"/>
      <c r="BM136" s="210" t="n"/>
      <c r="BN136" s="210" t="n"/>
      <c r="BO136" s="210" t="n"/>
      <c r="BP136" s="210" t="n"/>
      <c r="BQ136" s="210" t="n"/>
      <c r="BR136" s="210" t="n"/>
      <c r="BS136" s="210" t="n"/>
      <c r="BT136" s="212" t="n"/>
      <c r="BU136" s="177" t="n"/>
    </row>
    <row r="137" ht="60" customHeight="1">
      <c r="A137" s="178" t="inlineStr">
        <is>
          <t>NORDESTE</t>
        </is>
      </c>
      <c r="B137" s="207" t="inlineStr">
        <is>
          <t>RN</t>
        </is>
      </c>
      <c r="C137" s="29" t="inlineStr">
        <is>
          <t>NATAL</t>
        </is>
      </c>
      <c r="D137" s="178" t="inlineStr">
        <is>
          <t>LIGA NORTERIOGRANDENSE CONTRA O CANCER</t>
        </is>
      </c>
      <c r="E137" s="208" t="inlineStr">
        <is>
          <t>08428765000139</t>
        </is>
      </c>
      <c r="F137" s="29" t="inlineStr">
        <is>
          <t>LIGA NORTERIOGRANDENSE CONTRA O CANCER</t>
        </is>
      </c>
      <c r="G137" s="254" t="inlineStr">
        <is>
          <t>2409194</t>
        </is>
      </c>
      <c r="H137" s="210" t="n"/>
      <c r="I137" s="210" t="n"/>
      <c r="J137" s="210" t="n"/>
      <c r="K137" s="210" t="inlineStr">
        <is>
          <t>Indireta</t>
        </is>
      </c>
      <c r="L137" s="211" t="inlineStr">
        <is>
          <t>Transferegov/SEI</t>
        </is>
      </c>
      <c r="M137" s="211" t="inlineStr">
        <is>
          <t>Convênio</t>
        </is>
      </c>
      <c r="N137" s="207" t="n">
        <v>2023</v>
      </c>
      <c r="O137" s="207" t="n">
        <v>944490</v>
      </c>
      <c r="P137" s="207" t="n">
        <v>90842823004</v>
      </c>
      <c r="Q137" s="210" t="n"/>
      <c r="R137" s="178" t="n"/>
      <c r="S137" s="210" t="n"/>
      <c r="T137" s="29" t="inlineStr">
        <is>
          <t>Cama Hospitalar Tipo Fawler Elétrica</t>
        </is>
      </c>
      <c r="U137" s="210" t="n"/>
      <c r="V137" s="210" t="n">
        <v>5</v>
      </c>
      <c r="W137" s="182" t="inlineStr">
        <is>
          <t xml:space="preserve"> UND</t>
        </is>
      </c>
      <c r="X137" s="210" t="inlineStr">
        <is>
          <t>EQUIPAMENTO</t>
        </is>
      </c>
      <c r="Y137" s="178" t="n"/>
      <c r="Z137" s="211" t="inlineStr">
        <is>
          <t xml:space="preserve"> NA</t>
        </is>
      </c>
      <c r="AA137" s="212" t="n"/>
      <c r="AB137" s="212" t="n"/>
      <c r="AC137" s="212" t="n"/>
      <c r="AD137" s="211" t="inlineStr">
        <is>
          <t>NI</t>
        </is>
      </c>
      <c r="AE137" s="211" t="inlineStr">
        <is>
          <t>NI</t>
        </is>
      </c>
      <c r="AF137" s="211" t="inlineStr">
        <is>
          <t>NI</t>
        </is>
      </c>
      <c r="AG137" s="177" t="n">
        <v>299394</v>
      </c>
      <c r="AH137" s="177" t="n"/>
      <c r="AI137" s="212" t="n"/>
      <c r="AJ137" s="182" t="n">
        <v>8535</v>
      </c>
      <c r="AK137" s="183" t="inlineStr">
        <is>
          <t> </t>
        </is>
      </c>
      <c r="AL137" s="183" t="inlineStr">
        <is>
          <t> </t>
        </is>
      </c>
      <c r="AM137" s="183" t="inlineStr">
        <is>
          <t> </t>
        </is>
      </c>
      <c r="AN137" s="183" t="inlineStr">
        <is>
          <t> </t>
        </is>
      </c>
      <c r="AO137" s="183" t="inlineStr">
        <is>
          <t> </t>
        </is>
      </c>
      <c r="AP137" s="183" t="inlineStr">
        <is>
          <t> </t>
        </is>
      </c>
      <c r="AQ137" s="183" t="inlineStr">
        <is>
          <t> </t>
        </is>
      </c>
      <c r="AR137" s="183" t="inlineStr">
        <is>
          <t> </t>
        </is>
      </c>
      <c r="AS137" s="183" t="inlineStr">
        <is>
          <t> </t>
        </is>
      </c>
      <c r="AT137" s="183" t="inlineStr">
        <is>
          <t> </t>
        </is>
      </c>
      <c r="AU137" s="183" t="inlineStr">
        <is>
          <t> </t>
        </is>
      </c>
      <c r="AV137" s="183" t="inlineStr">
        <is>
          <t> </t>
        </is>
      </c>
      <c r="AW137" s="183" t="inlineStr">
        <is>
          <t> </t>
        </is>
      </c>
      <c r="AX137" s="183" t="inlineStr">
        <is>
          <t> </t>
        </is>
      </c>
      <c r="AY137" s="210" t="inlineStr">
        <is>
          <t>EM EXECUÇÃO</t>
        </is>
      </c>
      <c r="AZ137" s="210" t="inlineStr">
        <is>
          <t>NI</t>
        </is>
      </c>
      <c r="BA137" s="210" t="inlineStr">
        <is>
          <t>NI</t>
        </is>
      </c>
      <c r="BB137" s="210" t="inlineStr">
        <is>
          <t>NI</t>
        </is>
      </c>
      <c r="BC137" s="212" t="n"/>
      <c r="BD137" s="210" t="n"/>
      <c r="BE137" s="210" t="n"/>
      <c r="BF137" s="178" t="n"/>
      <c r="BG137" s="210" t="n"/>
      <c r="BH137" s="210" t="n"/>
      <c r="BI137" s="210" t="n"/>
      <c r="BJ137" s="210" t="n"/>
      <c r="BK137" s="210" t="n"/>
      <c r="BL137" s="210" t="n"/>
      <c r="BM137" s="210" t="n"/>
      <c r="BN137" s="210" t="n"/>
      <c r="BO137" s="210" t="n"/>
      <c r="BP137" s="210" t="n"/>
      <c r="BQ137" s="210" t="n"/>
      <c r="BR137" s="210" t="n"/>
      <c r="BS137" s="210" t="n"/>
      <c r="BT137" s="212" t="n"/>
      <c r="BU137" s="177" t="n"/>
    </row>
    <row r="138" ht="60" customHeight="1">
      <c r="A138" s="178" t="inlineStr">
        <is>
          <t>NORDESTE</t>
        </is>
      </c>
      <c r="B138" s="207" t="inlineStr">
        <is>
          <t>RN</t>
        </is>
      </c>
      <c r="C138" s="29" t="inlineStr">
        <is>
          <t>NATAL</t>
        </is>
      </c>
      <c r="D138" s="178" t="inlineStr">
        <is>
          <t>LIGA NORTERIOGRANDENSE CONTRA O CANCER</t>
        </is>
      </c>
      <c r="E138" s="208" t="inlineStr">
        <is>
          <t>08428765000139</t>
        </is>
      </c>
      <c r="F138" s="29" t="inlineStr">
        <is>
          <t>LIGA NORTERIOGRANDENSE CONTRA O CANCER</t>
        </is>
      </c>
      <c r="G138" s="254" t="inlineStr">
        <is>
          <t>2409194</t>
        </is>
      </c>
      <c r="H138" s="210" t="n"/>
      <c r="I138" s="210" t="n"/>
      <c r="J138" s="210" t="n"/>
      <c r="K138" s="210" t="inlineStr">
        <is>
          <t>Indireta</t>
        </is>
      </c>
      <c r="L138" s="211" t="inlineStr">
        <is>
          <t>Transferegov/SEI</t>
        </is>
      </c>
      <c r="M138" s="211" t="inlineStr">
        <is>
          <t>Convênio</t>
        </is>
      </c>
      <c r="N138" s="207" t="n">
        <v>2023</v>
      </c>
      <c r="O138" s="207" t="n">
        <v>944490</v>
      </c>
      <c r="P138" s="207" t="n">
        <v>90842823004</v>
      </c>
      <c r="Q138" s="210" t="n"/>
      <c r="R138" s="178" t="n"/>
      <c r="S138" s="210" t="n"/>
      <c r="T138" s="29" t="inlineStr">
        <is>
          <t>Eletrocardiógrafo</t>
        </is>
      </c>
      <c r="U138" s="210" t="n"/>
      <c r="V138" s="210" t="n">
        <v>1</v>
      </c>
      <c r="W138" s="182" t="inlineStr">
        <is>
          <t xml:space="preserve"> UND</t>
        </is>
      </c>
      <c r="X138" s="210" t="inlineStr">
        <is>
          <t>EQUIPAMENTO</t>
        </is>
      </c>
      <c r="Y138" s="178" t="n"/>
      <c r="Z138" s="211" t="inlineStr">
        <is>
          <t xml:space="preserve"> NA</t>
        </is>
      </c>
      <c r="AA138" s="212" t="n"/>
      <c r="AB138" s="212" t="n"/>
      <c r="AC138" s="212" t="n"/>
      <c r="AD138" s="211" t="inlineStr">
        <is>
          <t>NI</t>
        </is>
      </c>
      <c r="AE138" s="211" t="inlineStr">
        <is>
          <t>NI</t>
        </is>
      </c>
      <c r="AF138" s="211" t="inlineStr">
        <is>
          <t>NI</t>
        </is>
      </c>
      <c r="AG138" s="177" t="n">
        <v>299394</v>
      </c>
      <c r="AH138" s="177" t="n"/>
      <c r="AI138" s="212" t="n"/>
      <c r="AJ138" s="182" t="n">
        <v>8535</v>
      </c>
      <c r="AK138" s="183" t="inlineStr">
        <is>
          <t> </t>
        </is>
      </c>
      <c r="AL138" s="183" t="inlineStr">
        <is>
          <t> </t>
        </is>
      </c>
      <c r="AM138" s="183" t="inlineStr">
        <is>
          <t> </t>
        </is>
      </c>
      <c r="AN138" s="183" t="inlineStr">
        <is>
          <t> </t>
        </is>
      </c>
      <c r="AO138" s="183" t="inlineStr">
        <is>
          <t> </t>
        </is>
      </c>
      <c r="AP138" s="183" t="inlineStr">
        <is>
          <t> </t>
        </is>
      </c>
      <c r="AQ138" s="183" t="inlineStr">
        <is>
          <t> </t>
        </is>
      </c>
      <c r="AR138" s="183" t="inlineStr">
        <is>
          <t> </t>
        </is>
      </c>
      <c r="AS138" s="183" t="inlineStr">
        <is>
          <t> </t>
        </is>
      </c>
      <c r="AT138" s="183" t="inlineStr">
        <is>
          <t> </t>
        </is>
      </c>
      <c r="AU138" s="183" t="inlineStr">
        <is>
          <t> </t>
        </is>
      </c>
      <c r="AV138" s="183" t="inlineStr">
        <is>
          <t> </t>
        </is>
      </c>
      <c r="AW138" s="183" t="inlineStr">
        <is>
          <t> </t>
        </is>
      </c>
      <c r="AX138" s="183" t="inlineStr">
        <is>
          <t> </t>
        </is>
      </c>
      <c r="AY138" s="210" t="inlineStr">
        <is>
          <t>EM EXECUÇÃO</t>
        </is>
      </c>
      <c r="AZ138" s="210" t="inlineStr">
        <is>
          <t>NI</t>
        </is>
      </c>
      <c r="BA138" s="210" t="inlineStr">
        <is>
          <t>NI</t>
        </is>
      </c>
      <c r="BB138" s="210" t="inlineStr">
        <is>
          <t>NI</t>
        </is>
      </c>
      <c r="BC138" s="212" t="n"/>
      <c r="BD138" s="210" t="n"/>
      <c r="BE138" s="210" t="n"/>
      <c r="BF138" s="178" t="n"/>
      <c r="BG138" s="210" t="n"/>
      <c r="BH138" s="210" t="n"/>
      <c r="BI138" s="210" t="n"/>
      <c r="BJ138" s="210" t="n"/>
      <c r="BK138" s="210" t="n"/>
      <c r="BL138" s="210" t="n"/>
      <c r="BM138" s="210" t="n"/>
      <c r="BN138" s="210" t="n"/>
      <c r="BO138" s="210" t="n"/>
      <c r="BP138" s="210" t="n"/>
      <c r="BQ138" s="210" t="n"/>
      <c r="BR138" s="210" t="n"/>
      <c r="BS138" s="210" t="n"/>
      <c r="BT138" s="212" t="n"/>
      <c r="BU138" s="177" t="n"/>
    </row>
    <row r="139" ht="60" customHeight="1">
      <c r="A139" s="178" t="inlineStr">
        <is>
          <t>NORDESTE</t>
        </is>
      </c>
      <c r="B139" s="207" t="inlineStr">
        <is>
          <t>RN</t>
        </is>
      </c>
      <c r="C139" s="29" t="inlineStr">
        <is>
          <t>NATAL</t>
        </is>
      </c>
      <c r="D139" s="178" t="inlineStr">
        <is>
          <t>LIGA NORTERIOGRANDENSE CONTRA O CANCER</t>
        </is>
      </c>
      <c r="E139" s="208" t="inlineStr">
        <is>
          <t>08428765000139</t>
        </is>
      </c>
      <c r="F139" s="29" t="inlineStr">
        <is>
          <t>LIGA NORTERIOGRANDENSE CONTRA O CANCER</t>
        </is>
      </c>
      <c r="G139" s="254" t="inlineStr">
        <is>
          <t>2409194</t>
        </is>
      </c>
      <c r="H139" s="210" t="n"/>
      <c r="I139" s="210" t="n"/>
      <c r="J139" s="210" t="n"/>
      <c r="K139" s="210" t="inlineStr">
        <is>
          <t>Indireta</t>
        </is>
      </c>
      <c r="L139" s="211" t="inlineStr">
        <is>
          <t>Transferegov/SEI</t>
        </is>
      </c>
      <c r="M139" s="211" t="inlineStr">
        <is>
          <t>Convênio</t>
        </is>
      </c>
      <c r="N139" s="207" t="n">
        <v>2023</v>
      </c>
      <c r="O139" s="207" t="n">
        <v>944490</v>
      </c>
      <c r="P139" s="207" t="n">
        <v>90842823004</v>
      </c>
      <c r="Q139" s="210" t="n"/>
      <c r="R139" s="178" t="n"/>
      <c r="S139" s="210" t="n"/>
      <c r="T139" s="29" t="inlineStr">
        <is>
          <t>Cardioversor</t>
        </is>
      </c>
      <c r="U139" s="210" t="n"/>
      <c r="V139" s="210" t="n">
        <v>1</v>
      </c>
      <c r="W139" s="182" t="inlineStr">
        <is>
          <t xml:space="preserve"> UND</t>
        </is>
      </c>
      <c r="X139" s="210" t="inlineStr">
        <is>
          <t>EQUIPAMENTO</t>
        </is>
      </c>
      <c r="Y139" s="178" t="n"/>
      <c r="Z139" s="211" t="inlineStr">
        <is>
          <t xml:space="preserve"> NA</t>
        </is>
      </c>
      <c r="AA139" s="212" t="n"/>
      <c r="AB139" s="212" t="n"/>
      <c r="AC139" s="212" t="n"/>
      <c r="AD139" s="211" t="inlineStr">
        <is>
          <t>NI</t>
        </is>
      </c>
      <c r="AE139" s="211" t="inlineStr">
        <is>
          <t>NI</t>
        </is>
      </c>
      <c r="AF139" s="211" t="inlineStr">
        <is>
          <t>NI</t>
        </is>
      </c>
      <c r="AG139" s="177" t="n">
        <v>299394</v>
      </c>
      <c r="AH139" s="177" t="n"/>
      <c r="AI139" s="212" t="n"/>
      <c r="AJ139" s="182" t="n">
        <v>8535</v>
      </c>
      <c r="AK139" s="183" t="inlineStr">
        <is>
          <t> </t>
        </is>
      </c>
      <c r="AL139" s="183" t="inlineStr">
        <is>
          <t> </t>
        </is>
      </c>
      <c r="AM139" s="183" t="inlineStr">
        <is>
          <t> </t>
        </is>
      </c>
      <c r="AN139" s="183" t="inlineStr">
        <is>
          <t> </t>
        </is>
      </c>
      <c r="AO139" s="183" t="inlineStr">
        <is>
          <t> </t>
        </is>
      </c>
      <c r="AP139" s="183" t="inlineStr">
        <is>
          <t> </t>
        </is>
      </c>
      <c r="AQ139" s="183" t="inlineStr">
        <is>
          <t> </t>
        </is>
      </c>
      <c r="AR139" s="183" t="inlineStr">
        <is>
          <t> </t>
        </is>
      </c>
      <c r="AS139" s="183" t="inlineStr">
        <is>
          <t> </t>
        </is>
      </c>
      <c r="AT139" s="183" t="inlineStr">
        <is>
          <t> </t>
        </is>
      </c>
      <c r="AU139" s="183" t="inlineStr">
        <is>
          <t> </t>
        </is>
      </c>
      <c r="AV139" s="183" t="inlineStr">
        <is>
          <t> </t>
        </is>
      </c>
      <c r="AW139" s="183" t="inlineStr">
        <is>
          <t> </t>
        </is>
      </c>
      <c r="AX139" s="183" t="inlineStr">
        <is>
          <t> </t>
        </is>
      </c>
      <c r="AY139" s="210" t="inlineStr">
        <is>
          <t>EM EXECUÇÃO</t>
        </is>
      </c>
      <c r="AZ139" s="210" t="inlineStr">
        <is>
          <t>NI</t>
        </is>
      </c>
      <c r="BA139" s="210" t="inlineStr">
        <is>
          <t>NI</t>
        </is>
      </c>
      <c r="BB139" s="210" t="inlineStr">
        <is>
          <t>NI</t>
        </is>
      </c>
      <c r="BC139" s="212" t="n"/>
      <c r="BD139" s="210" t="n"/>
      <c r="BE139" s="210" t="n"/>
      <c r="BF139" s="178" t="n"/>
      <c r="BG139" s="210" t="n"/>
      <c r="BH139" s="210" t="n"/>
      <c r="BI139" s="210" t="n"/>
      <c r="BJ139" s="210" t="n"/>
      <c r="BK139" s="210" t="n"/>
      <c r="BL139" s="210" t="n"/>
      <c r="BM139" s="210" t="n"/>
      <c r="BN139" s="210" t="n"/>
      <c r="BO139" s="210" t="n"/>
      <c r="BP139" s="210" t="n"/>
      <c r="BQ139" s="210" t="n"/>
      <c r="BR139" s="210" t="n"/>
      <c r="BS139" s="210" t="n"/>
      <c r="BT139" s="212" t="n"/>
      <c r="BU139" s="177" t="n"/>
    </row>
    <row r="140" ht="60" customHeight="1">
      <c r="A140" s="178" t="inlineStr">
        <is>
          <t>NORDESTE</t>
        </is>
      </c>
      <c r="B140" s="207" t="inlineStr">
        <is>
          <t>RN</t>
        </is>
      </c>
      <c r="C140" s="29" t="inlineStr">
        <is>
          <t>NATAL</t>
        </is>
      </c>
      <c r="D140" s="178" t="inlineStr">
        <is>
          <t>LIGA NORTERIOGRANDENSE CONTRA O CANCER</t>
        </is>
      </c>
      <c r="E140" s="208" t="inlineStr">
        <is>
          <t>08428765000139</t>
        </is>
      </c>
      <c r="F140" s="29" t="inlineStr">
        <is>
          <t>LIGA NORTERIOGRANDENSE CONTRA O CANCER</t>
        </is>
      </c>
      <c r="G140" s="254" t="inlineStr">
        <is>
          <t>2409194</t>
        </is>
      </c>
      <c r="H140" s="210" t="n"/>
      <c r="I140" s="210" t="n"/>
      <c r="J140" s="210" t="n"/>
      <c r="K140" s="210" t="inlineStr">
        <is>
          <t>Indireta</t>
        </is>
      </c>
      <c r="L140" s="211" t="inlineStr">
        <is>
          <t>Transferegov/SEI</t>
        </is>
      </c>
      <c r="M140" s="211" t="inlineStr">
        <is>
          <t>Convênio</t>
        </is>
      </c>
      <c r="N140" s="207" t="n">
        <v>2023</v>
      </c>
      <c r="O140" s="207" t="n">
        <v>944490</v>
      </c>
      <c r="P140" s="207" t="n">
        <v>90842823004</v>
      </c>
      <c r="Q140" s="210" t="n"/>
      <c r="R140" s="178" t="n"/>
      <c r="S140" s="210" t="n"/>
      <c r="T140" s="29" t="inlineStr">
        <is>
          <t>Mesa Auxiliar</t>
        </is>
      </c>
      <c r="U140" s="210" t="n"/>
      <c r="V140" s="210" t="n">
        <v>4</v>
      </c>
      <c r="W140" s="182" t="inlineStr">
        <is>
          <t xml:space="preserve"> UND</t>
        </is>
      </c>
      <c r="X140" s="210" t="inlineStr">
        <is>
          <t>EQUIPAMENTO</t>
        </is>
      </c>
      <c r="Y140" s="178" t="n"/>
      <c r="Z140" s="211" t="inlineStr">
        <is>
          <t xml:space="preserve"> NA</t>
        </is>
      </c>
      <c r="AA140" s="212" t="n"/>
      <c r="AB140" s="212" t="n"/>
      <c r="AC140" s="212" t="n"/>
      <c r="AD140" s="211" t="inlineStr">
        <is>
          <t>NI</t>
        </is>
      </c>
      <c r="AE140" s="211" t="inlineStr">
        <is>
          <t>NI</t>
        </is>
      </c>
      <c r="AF140" s="211" t="inlineStr">
        <is>
          <t>NI</t>
        </is>
      </c>
      <c r="AG140" s="177" t="n">
        <v>299394</v>
      </c>
      <c r="AH140" s="177" t="n"/>
      <c r="AI140" s="212" t="n"/>
      <c r="AJ140" s="182" t="n">
        <v>8535</v>
      </c>
      <c r="AK140" s="183" t="inlineStr">
        <is>
          <t> </t>
        </is>
      </c>
      <c r="AL140" s="183" t="inlineStr">
        <is>
          <t> </t>
        </is>
      </c>
      <c r="AM140" s="183" t="inlineStr">
        <is>
          <t> </t>
        </is>
      </c>
      <c r="AN140" s="183" t="inlineStr">
        <is>
          <t> </t>
        </is>
      </c>
      <c r="AO140" s="183" t="inlineStr">
        <is>
          <t> </t>
        </is>
      </c>
      <c r="AP140" s="183" t="inlineStr">
        <is>
          <t> </t>
        </is>
      </c>
      <c r="AQ140" s="183" t="inlineStr">
        <is>
          <t> </t>
        </is>
      </c>
      <c r="AR140" s="183" t="inlineStr">
        <is>
          <t> </t>
        </is>
      </c>
      <c r="AS140" s="183" t="inlineStr">
        <is>
          <t> </t>
        </is>
      </c>
      <c r="AT140" s="183" t="inlineStr">
        <is>
          <t> </t>
        </is>
      </c>
      <c r="AU140" s="183" t="inlineStr">
        <is>
          <t> </t>
        </is>
      </c>
      <c r="AV140" s="183" t="inlineStr">
        <is>
          <t> </t>
        </is>
      </c>
      <c r="AW140" s="183" t="inlineStr">
        <is>
          <t> </t>
        </is>
      </c>
      <c r="AX140" s="183" t="inlineStr">
        <is>
          <t> </t>
        </is>
      </c>
      <c r="AY140" s="210" t="inlineStr">
        <is>
          <t>EM EXECUÇÃO</t>
        </is>
      </c>
      <c r="AZ140" s="210" t="inlineStr">
        <is>
          <t>NI</t>
        </is>
      </c>
      <c r="BA140" s="210" t="inlineStr">
        <is>
          <t>NI</t>
        </is>
      </c>
      <c r="BB140" s="210" t="inlineStr">
        <is>
          <t>NI</t>
        </is>
      </c>
      <c r="BC140" s="212" t="n"/>
      <c r="BD140" s="210" t="n"/>
      <c r="BE140" s="210" t="n"/>
      <c r="BF140" s="178" t="n"/>
      <c r="BG140" s="210" t="n"/>
      <c r="BH140" s="210" t="n"/>
      <c r="BI140" s="210" t="n"/>
      <c r="BJ140" s="210" t="n"/>
      <c r="BK140" s="210" t="n"/>
      <c r="BL140" s="210" t="n"/>
      <c r="BM140" s="210" t="n"/>
      <c r="BN140" s="210" t="n"/>
      <c r="BO140" s="210" t="n"/>
      <c r="BP140" s="210" t="n"/>
      <c r="BQ140" s="210" t="n"/>
      <c r="BR140" s="210" t="n"/>
      <c r="BS140" s="210" t="n"/>
      <c r="BT140" s="212" t="n"/>
      <c r="BU140" s="177" t="n"/>
    </row>
    <row r="141" ht="60" customHeight="1">
      <c r="A141" s="178" t="inlineStr">
        <is>
          <t>NORDESTE</t>
        </is>
      </c>
      <c r="B141" s="207" t="inlineStr">
        <is>
          <t>RN</t>
        </is>
      </c>
      <c r="C141" s="29" t="inlineStr">
        <is>
          <t>NATAL</t>
        </is>
      </c>
      <c r="D141" s="178" t="inlineStr">
        <is>
          <t>LIGA NORTERIOGRANDENSE CONTRA O CANCER</t>
        </is>
      </c>
      <c r="E141" s="208" t="inlineStr">
        <is>
          <t>08428765000139</t>
        </is>
      </c>
      <c r="F141" s="29" t="inlineStr">
        <is>
          <t>LIGA NORTERIOGRANDENSE CONTRA O CANCER</t>
        </is>
      </c>
      <c r="G141" s="254" t="inlineStr">
        <is>
          <t>2409194</t>
        </is>
      </c>
      <c r="H141" s="210" t="n"/>
      <c r="I141" s="210" t="n"/>
      <c r="J141" s="210" t="n"/>
      <c r="K141" s="210" t="inlineStr">
        <is>
          <t>Indireta</t>
        </is>
      </c>
      <c r="L141" s="211" t="inlineStr">
        <is>
          <t>Transferegov/SEI</t>
        </is>
      </c>
      <c r="M141" s="211" t="inlineStr">
        <is>
          <t>Convênio</t>
        </is>
      </c>
      <c r="N141" s="207" t="n">
        <v>2023</v>
      </c>
      <c r="O141" s="207" t="n">
        <v>944490</v>
      </c>
      <c r="P141" s="207" t="n">
        <v>90842823004</v>
      </c>
      <c r="Q141" s="210" t="n"/>
      <c r="R141" s="178" t="n"/>
      <c r="S141" s="210" t="n"/>
      <c r="T141" s="29" t="inlineStr">
        <is>
          <t>Monitor Multiparâmetros para Centro Cirúrgico</t>
        </is>
      </c>
      <c r="U141" s="210" t="n"/>
      <c r="V141" s="210" t="n">
        <v>1</v>
      </c>
      <c r="W141" s="182" t="inlineStr">
        <is>
          <t xml:space="preserve"> UND</t>
        </is>
      </c>
      <c r="X141" s="210" t="inlineStr">
        <is>
          <t>EQUIPAMENTO</t>
        </is>
      </c>
      <c r="Y141" s="178" t="n"/>
      <c r="Z141" s="211" t="inlineStr">
        <is>
          <t xml:space="preserve"> NA</t>
        </is>
      </c>
      <c r="AA141" s="212" t="n"/>
      <c r="AB141" s="212" t="n"/>
      <c r="AC141" s="212" t="n"/>
      <c r="AD141" s="211" t="inlineStr">
        <is>
          <t>NI</t>
        </is>
      </c>
      <c r="AE141" s="211" t="inlineStr">
        <is>
          <t>NI</t>
        </is>
      </c>
      <c r="AF141" s="211" t="inlineStr">
        <is>
          <t>NI</t>
        </is>
      </c>
      <c r="AG141" s="177" t="n">
        <v>299394</v>
      </c>
      <c r="AH141" s="177" t="n"/>
      <c r="AI141" s="212" t="n"/>
      <c r="AJ141" s="182" t="n">
        <v>8535</v>
      </c>
      <c r="AK141" s="183" t="inlineStr">
        <is>
          <t> </t>
        </is>
      </c>
      <c r="AL141" s="183" t="inlineStr">
        <is>
          <t> </t>
        </is>
      </c>
      <c r="AM141" s="183" t="inlineStr">
        <is>
          <t> </t>
        </is>
      </c>
      <c r="AN141" s="183" t="inlineStr">
        <is>
          <t> </t>
        </is>
      </c>
      <c r="AO141" s="183" t="inlineStr">
        <is>
          <t> </t>
        </is>
      </c>
      <c r="AP141" s="183" t="inlineStr">
        <is>
          <t> </t>
        </is>
      </c>
      <c r="AQ141" s="183" t="inlineStr">
        <is>
          <t> </t>
        </is>
      </c>
      <c r="AR141" s="183" t="inlineStr">
        <is>
          <t> </t>
        </is>
      </c>
      <c r="AS141" s="183" t="inlineStr">
        <is>
          <t> </t>
        </is>
      </c>
      <c r="AT141" s="183" t="inlineStr">
        <is>
          <t> </t>
        </is>
      </c>
      <c r="AU141" s="183" t="inlineStr">
        <is>
          <t> </t>
        </is>
      </c>
      <c r="AV141" s="183" t="inlineStr">
        <is>
          <t> </t>
        </is>
      </c>
      <c r="AW141" s="183" t="inlineStr">
        <is>
          <t> </t>
        </is>
      </c>
      <c r="AX141" s="183" t="inlineStr">
        <is>
          <t> </t>
        </is>
      </c>
      <c r="AY141" s="210" t="inlineStr">
        <is>
          <t>EM EXECUÇÃO</t>
        </is>
      </c>
      <c r="AZ141" s="210" t="inlineStr">
        <is>
          <t>NI</t>
        </is>
      </c>
      <c r="BA141" s="210" t="inlineStr">
        <is>
          <t>NI</t>
        </is>
      </c>
      <c r="BB141" s="210" t="inlineStr">
        <is>
          <t>NI</t>
        </is>
      </c>
      <c r="BC141" s="212" t="n"/>
      <c r="BD141" s="210" t="n"/>
      <c r="BE141" s="210" t="n"/>
      <c r="BF141" s="178" t="n"/>
      <c r="BG141" s="210" t="n"/>
      <c r="BH141" s="210" t="n"/>
      <c r="BI141" s="210" t="n"/>
      <c r="BJ141" s="210" t="n"/>
      <c r="BK141" s="210" t="n"/>
      <c r="BL141" s="210" t="n"/>
      <c r="BM141" s="210" t="n"/>
      <c r="BN141" s="210" t="n"/>
      <c r="BO141" s="210" t="n"/>
      <c r="BP141" s="210" t="n"/>
      <c r="BQ141" s="210" t="n"/>
      <c r="BR141" s="210" t="n"/>
      <c r="BS141" s="210" t="n"/>
      <c r="BT141" s="212" t="n"/>
      <c r="BU141" s="177" t="n"/>
    </row>
    <row r="142" ht="60" customHeight="1">
      <c r="A142" s="178" t="inlineStr">
        <is>
          <t>NORDESTE</t>
        </is>
      </c>
      <c r="B142" s="207" t="inlineStr">
        <is>
          <t>RN</t>
        </is>
      </c>
      <c r="C142" s="29" t="inlineStr">
        <is>
          <t>NATAL</t>
        </is>
      </c>
      <c r="D142" s="178" t="inlineStr">
        <is>
          <t>LIGA NORTERIOGRANDENSE CONTRA O CANCER</t>
        </is>
      </c>
      <c r="E142" s="208" t="inlineStr">
        <is>
          <t>08428765000139</t>
        </is>
      </c>
      <c r="F142" s="29" t="inlineStr">
        <is>
          <t>LIGA NORTERIOGRANDENSE CONTRA O CANCER</t>
        </is>
      </c>
      <c r="G142" s="254" t="inlineStr">
        <is>
          <t>2409194</t>
        </is>
      </c>
      <c r="H142" s="210" t="n"/>
      <c r="I142" s="210" t="n"/>
      <c r="J142" s="210" t="n"/>
      <c r="K142" s="210" t="inlineStr">
        <is>
          <t>Indireta</t>
        </is>
      </c>
      <c r="L142" s="211" t="inlineStr">
        <is>
          <t>Transferegov/SEI</t>
        </is>
      </c>
      <c r="M142" s="211" t="inlineStr">
        <is>
          <t>Convênio</t>
        </is>
      </c>
      <c r="N142" s="207" t="n">
        <v>2023</v>
      </c>
      <c r="O142" s="207" t="n">
        <v>944490</v>
      </c>
      <c r="P142" s="207" t="n">
        <v>90842823004</v>
      </c>
      <c r="Q142" s="210" t="n"/>
      <c r="R142" s="178" t="n"/>
      <c r="S142" s="210" t="n"/>
      <c r="T142" s="29" t="inlineStr">
        <is>
          <t>Ventilador Pulmonar Pressométrico e Volumétrico</t>
        </is>
      </c>
      <c r="U142" s="210" t="n"/>
      <c r="V142" s="210" t="n">
        <v>1</v>
      </c>
      <c r="W142" s="182" t="inlineStr">
        <is>
          <t xml:space="preserve"> UND</t>
        </is>
      </c>
      <c r="X142" s="210" t="inlineStr">
        <is>
          <t>EQUIPAMENTO</t>
        </is>
      </c>
      <c r="Y142" s="178" t="n"/>
      <c r="Z142" s="211" t="inlineStr">
        <is>
          <t xml:space="preserve"> NA</t>
        </is>
      </c>
      <c r="AA142" s="212" t="n"/>
      <c r="AB142" s="212" t="n"/>
      <c r="AC142" s="212" t="n"/>
      <c r="AD142" s="211" t="inlineStr">
        <is>
          <t>NI</t>
        </is>
      </c>
      <c r="AE142" s="211" t="inlineStr">
        <is>
          <t>NI</t>
        </is>
      </c>
      <c r="AF142" s="211" t="inlineStr">
        <is>
          <t>NI</t>
        </is>
      </c>
      <c r="AG142" s="177" t="n">
        <v>299394</v>
      </c>
      <c r="AH142" s="177" t="n"/>
      <c r="AI142" s="212" t="n"/>
      <c r="AJ142" s="182" t="n">
        <v>8535</v>
      </c>
      <c r="AK142" s="183" t="inlineStr">
        <is>
          <t> </t>
        </is>
      </c>
      <c r="AL142" s="183" t="inlineStr">
        <is>
          <t> </t>
        </is>
      </c>
      <c r="AM142" s="183" t="inlineStr">
        <is>
          <t> </t>
        </is>
      </c>
      <c r="AN142" s="183" t="inlineStr">
        <is>
          <t> </t>
        </is>
      </c>
      <c r="AO142" s="183" t="inlineStr">
        <is>
          <t> </t>
        </is>
      </c>
      <c r="AP142" s="183" t="inlineStr">
        <is>
          <t> </t>
        </is>
      </c>
      <c r="AQ142" s="183" t="inlineStr">
        <is>
          <t> </t>
        </is>
      </c>
      <c r="AR142" s="183" t="inlineStr">
        <is>
          <t> </t>
        </is>
      </c>
      <c r="AS142" s="183" t="inlineStr">
        <is>
          <t> </t>
        </is>
      </c>
      <c r="AT142" s="183" t="inlineStr">
        <is>
          <t> </t>
        </is>
      </c>
      <c r="AU142" s="183" t="inlineStr">
        <is>
          <t> </t>
        </is>
      </c>
      <c r="AV142" s="183" t="inlineStr">
        <is>
          <t> </t>
        </is>
      </c>
      <c r="AW142" s="183" t="inlineStr">
        <is>
          <t> </t>
        </is>
      </c>
      <c r="AX142" s="183" t="inlineStr">
        <is>
          <t> </t>
        </is>
      </c>
      <c r="AY142" s="210" t="inlineStr">
        <is>
          <t>EM EXECUÇÃO</t>
        </is>
      </c>
      <c r="AZ142" s="210" t="inlineStr">
        <is>
          <t>NI</t>
        </is>
      </c>
      <c r="BA142" s="210" t="inlineStr">
        <is>
          <t>NI</t>
        </is>
      </c>
      <c r="BB142" s="210" t="inlineStr">
        <is>
          <t>NI</t>
        </is>
      </c>
      <c r="BC142" s="212" t="n"/>
      <c r="BD142" s="210" t="n"/>
      <c r="BE142" s="210" t="n"/>
      <c r="BF142" s="178" t="n"/>
      <c r="BG142" s="210" t="n"/>
      <c r="BH142" s="210" t="n"/>
      <c r="BI142" s="210" t="n"/>
      <c r="BJ142" s="210" t="n"/>
      <c r="BK142" s="210" t="n"/>
      <c r="BL142" s="210" t="n"/>
      <c r="BM142" s="210" t="n"/>
      <c r="BN142" s="210" t="n"/>
      <c r="BO142" s="210" t="n"/>
      <c r="BP142" s="210" t="n"/>
      <c r="BQ142" s="210" t="n"/>
      <c r="BR142" s="210" t="n"/>
      <c r="BS142" s="210" t="n"/>
      <c r="BT142" s="212" t="n"/>
      <c r="BU142" s="177" t="n"/>
    </row>
    <row r="143" ht="60" customHeight="1">
      <c r="A143" s="178" t="inlineStr">
        <is>
          <t>NORDESTE</t>
        </is>
      </c>
      <c r="B143" s="207" t="inlineStr">
        <is>
          <t>RN</t>
        </is>
      </c>
      <c r="C143" s="29" t="inlineStr">
        <is>
          <t>NATAL</t>
        </is>
      </c>
      <c r="D143" s="178" t="inlineStr">
        <is>
          <t>LIGA NORTERIOGRANDENSE CONTRA O CANCER</t>
        </is>
      </c>
      <c r="E143" s="208" t="inlineStr">
        <is>
          <t>08428765000139</t>
        </is>
      </c>
      <c r="F143" s="29" t="inlineStr">
        <is>
          <t>LIGA NORTERIOGRANDENSE CONTRA O CANCER</t>
        </is>
      </c>
      <c r="G143" s="254" t="inlineStr">
        <is>
          <t>2409194</t>
        </is>
      </c>
      <c r="H143" s="210" t="n"/>
      <c r="I143" s="210" t="n"/>
      <c r="J143" s="210" t="n"/>
      <c r="K143" s="210" t="inlineStr">
        <is>
          <t>Indireta</t>
        </is>
      </c>
      <c r="L143" s="211" t="inlineStr">
        <is>
          <t>Transferegov/SEI</t>
        </is>
      </c>
      <c r="M143" s="211" t="inlineStr">
        <is>
          <t>Convênio</t>
        </is>
      </c>
      <c r="N143" s="207" t="n">
        <v>2023</v>
      </c>
      <c r="O143" s="207" t="n">
        <v>944491</v>
      </c>
      <c r="P143" s="207" t="n">
        <v>90842823005</v>
      </c>
      <c r="Q143" s="210" t="n"/>
      <c r="R143" s="178" t="n"/>
      <c r="S143" s="210" t="n"/>
      <c r="T143" s="29" t="inlineStr">
        <is>
          <t>Eletrocardiógrafo</t>
        </is>
      </c>
      <c r="U143" s="210" t="n"/>
      <c r="V143" s="210" t="n">
        <v>2</v>
      </c>
      <c r="W143" s="182" t="inlineStr">
        <is>
          <t xml:space="preserve"> UND</t>
        </is>
      </c>
      <c r="X143" s="210" t="inlineStr">
        <is>
          <t>EQUIPAMENTO</t>
        </is>
      </c>
      <c r="Y143" s="178" t="n"/>
      <c r="Z143" s="211" t="inlineStr">
        <is>
          <t xml:space="preserve"> NA</t>
        </is>
      </c>
      <c r="AA143" s="212" t="n"/>
      <c r="AB143" s="212" t="n"/>
      <c r="AC143" s="212" t="n"/>
      <c r="AD143" s="211" t="inlineStr">
        <is>
          <t>NI</t>
        </is>
      </c>
      <c r="AE143" s="211" t="inlineStr">
        <is>
          <t>NI</t>
        </is>
      </c>
      <c r="AF143" s="211" t="inlineStr">
        <is>
          <t>NI</t>
        </is>
      </c>
      <c r="AG143" s="177" t="n">
        <v>162920</v>
      </c>
      <c r="AH143" s="177" t="n"/>
      <c r="AI143" s="212" t="n"/>
      <c r="AJ143" s="182" t="n">
        <v>8535</v>
      </c>
      <c r="AK143" s="183" t="inlineStr">
        <is>
          <t> </t>
        </is>
      </c>
      <c r="AL143" s="183" t="inlineStr">
        <is>
          <t> </t>
        </is>
      </c>
      <c r="AM143" s="183" t="inlineStr">
        <is>
          <t> </t>
        </is>
      </c>
      <c r="AN143" s="183" t="inlineStr">
        <is>
          <t> </t>
        </is>
      </c>
      <c r="AO143" s="183" t="inlineStr">
        <is>
          <t> </t>
        </is>
      </c>
      <c r="AP143" s="183" t="inlineStr">
        <is>
          <t> </t>
        </is>
      </c>
      <c r="AQ143" s="183" t="inlineStr">
        <is>
          <t> </t>
        </is>
      </c>
      <c r="AR143" s="183" t="inlineStr">
        <is>
          <t> </t>
        </is>
      </c>
      <c r="AS143" s="183" t="inlineStr">
        <is>
          <t> </t>
        </is>
      </c>
      <c r="AT143" s="183" t="inlineStr">
        <is>
          <t> </t>
        </is>
      </c>
      <c r="AU143" s="183" t="inlineStr">
        <is>
          <t> </t>
        </is>
      </c>
      <c r="AV143" s="183" t="inlineStr">
        <is>
          <t> </t>
        </is>
      </c>
      <c r="AW143" s="183" t="inlineStr">
        <is>
          <t> </t>
        </is>
      </c>
      <c r="AX143" s="183" t="inlineStr">
        <is>
          <t> </t>
        </is>
      </c>
      <c r="AY143" s="210" t="inlineStr">
        <is>
          <t>EM EXECUÇÃO</t>
        </is>
      </c>
      <c r="AZ143" s="210" t="inlineStr">
        <is>
          <t>NI</t>
        </is>
      </c>
      <c r="BA143" s="210" t="inlineStr">
        <is>
          <t>NI</t>
        </is>
      </c>
      <c r="BB143" s="210" t="inlineStr">
        <is>
          <t>NI</t>
        </is>
      </c>
      <c r="BC143" s="212" t="n"/>
      <c r="BD143" s="210" t="n"/>
      <c r="BE143" s="210" t="n"/>
      <c r="BF143" s="178" t="n"/>
      <c r="BG143" s="210" t="n"/>
      <c r="BH143" s="210" t="n"/>
      <c r="BI143" s="210" t="n"/>
      <c r="BJ143" s="210" t="n"/>
      <c r="BK143" s="210" t="n"/>
      <c r="BL143" s="210" t="n"/>
      <c r="BM143" s="210" t="n"/>
      <c r="BN143" s="210" t="n"/>
      <c r="BO143" s="210" t="n"/>
      <c r="BP143" s="210" t="n"/>
      <c r="BQ143" s="210" t="n"/>
      <c r="BR143" s="210" t="n"/>
      <c r="BS143" s="210" t="n"/>
      <c r="BT143" s="212" t="n"/>
      <c r="BU143" s="177" t="n"/>
    </row>
    <row r="144" ht="60" customHeight="1">
      <c r="A144" s="178" t="inlineStr">
        <is>
          <t>NORDESTE</t>
        </is>
      </c>
      <c r="B144" s="207" t="inlineStr">
        <is>
          <t>RN</t>
        </is>
      </c>
      <c r="C144" s="29" t="inlineStr">
        <is>
          <t>NATAL</t>
        </is>
      </c>
      <c r="D144" s="178" t="inlineStr">
        <is>
          <t>LIGA NORTERIOGRANDENSE CONTRA O CANCER</t>
        </is>
      </c>
      <c r="E144" s="208" t="inlineStr">
        <is>
          <t>08428765000139</t>
        </is>
      </c>
      <c r="F144" s="29" t="inlineStr">
        <is>
          <t>LIGA NORTERIOGRANDENSE CONTRA O CANCER</t>
        </is>
      </c>
      <c r="G144" s="254" t="inlineStr">
        <is>
          <t>2409194</t>
        </is>
      </c>
      <c r="H144" s="210" t="n"/>
      <c r="I144" s="210" t="n"/>
      <c r="J144" s="210" t="n"/>
      <c r="K144" s="210" t="inlineStr">
        <is>
          <t>Indireta</t>
        </is>
      </c>
      <c r="L144" s="211" t="inlineStr">
        <is>
          <t>Transferegov/SEI</t>
        </is>
      </c>
      <c r="M144" s="211" t="inlineStr">
        <is>
          <t>Convênio</t>
        </is>
      </c>
      <c r="N144" s="207" t="n">
        <v>2023</v>
      </c>
      <c r="O144" s="207" t="n">
        <v>944491</v>
      </c>
      <c r="P144" s="207" t="n">
        <v>90842823005</v>
      </c>
      <c r="Q144" s="210" t="n"/>
      <c r="R144" s="178" t="n"/>
      <c r="S144" s="210" t="n"/>
      <c r="T144" s="29" t="inlineStr">
        <is>
          <t>Carro de Emergência</t>
        </is>
      </c>
      <c r="U144" s="210" t="n"/>
      <c r="V144" s="210" t="n">
        <v>1</v>
      </c>
      <c r="W144" s="182" t="inlineStr">
        <is>
          <t xml:space="preserve"> UND</t>
        </is>
      </c>
      <c r="X144" s="210" t="inlineStr">
        <is>
          <t>EQUIPAMENTO</t>
        </is>
      </c>
      <c r="Y144" s="178" t="n"/>
      <c r="Z144" s="211" t="inlineStr">
        <is>
          <t xml:space="preserve"> NA</t>
        </is>
      </c>
      <c r="AA144" s="212" t="n"/>
      <c r="AB144" s="212" t="n"/>
      <c r="AC144" s="212" t="n"/>
      <c r="AD144" s="211" t="inlineStr">
        <is>
          <t>NI</t>
        </is>
      </c>
      <c r="AE144" s="211" t="inlineStr">
        <is>
          <t>NI</t>
        </is>
      </c>
      <c r="AF144" s="211" t="inlineStr">
        <is>
          <t>NI</t>
        </is>
      </c>
      <c r="AG144" s="177" t="n">
        <v>162920</v>
      </c>
      <c r="AH144" s="177" t="n"/>
      <c r="AI144" s="212" t="n"/>
      <c r="AJ144" s="182" t="n">
        <v>8535</v>
      </c>
      <c r="AK144" s="183" t="inlineStr">
        <is>
          <t> </t>
        </is>
      </c>
      <c r="AL144" s="183" t="inlineStr">
        <is>
          <t> </t>
        </is>
      </c>
      <c r="AM144" s="183" t="inlineStr">
        <is>
          <t> </t>
        </is>
      </c>
      <c r="AN144" s="183" t="inlineStr">
        <is>
          <t> </t>
        </is>
      </c>
      <c r="AO144" s="183" t="inlineStr">
        <is>
          <t> </t>
        </is>
      </c>
      <c r="AP144" s="183" t="inlineStr">
        <is>
          <t> </t>
        </is>
      </c>
      <c r="AQ144" s="183" t="inlineStr">
        <is>
          <t> </t>
        </is>
      </c>
      <c r="AR144" s="183" t="inlineStr">
        <is>
          <t> </t>
        </is>
      </c>
      <c r="AS144" s="183" t="inlineStr">
        <is>
          <t> </t>
        </is>
      </c>
      <c r="AT144" s="183" t="inlineStr">
        <is>
          <t> </t>
        </is>
      </c>
      <c r="AU144" s="183" t="inlineStr">
        <is>
          <t> </t>
        </is>
      </c>
      <c r="AV144" s="183" t="inlineStr">
        <is>
          <t> </t>
        </is>
      </c>
      <c r="AW144" s="183" t="inlineStr">
        <is>
          <t> </t>
        </is>
      </c>
      <c r="AX144" s="183" t="inlineStr">
        <is>
          <t> </t>
        </is>
      </c>
      <c r="AY144" s="210" t="inlineStr">
        <is>
          <t>EM EXECUÇÃO</t>
        </is>
      </c>
      <c r="AZ144" s="210" t="inlineStr">
        <is>
          <t>NI</t>
        </is>
      </c>
      <c r="BA144" s="210" t="inlineStr">
        <is>
          <t>NI</t>
        </is>
      </c>
      <c r="BB144" s="210" t="inlineStr">
        <is>
          <t>NI</t>
        </is>
      </c>
      <c r="BC144" s="212" t="n"/>
      <c r="BD144" s="210" t="n"/>
      <c r="BE144" s="210" t="n"/>
      <c r="BF144" s="178" t="n"/>
      <c r="BG144" s="210" t="n"/>
      <c r="BH144" s="210" t="n"/>
      <c r="BI144" s="210" t="n"/>
      <c r="BJ144" s="210" t="n"/>
      <c r="BK144" s="210" t="n"/>
      <c r="BL144" s="210" t="n"/>
      <c r="BM144" s="210" t="n"/>
      <c r="BN144" s="210" t="n"/>
      <c r="BO144" s="210" t="n"/>
      <c r="BP144" s="210" t="n"/>
      <c r="BQ144" s="210" t="n"/>
      <c r="BR144" s="210" t="n"/>
      <c r="BS144" s="210" t="n"/>
      <c r="BT144" s="212" t="n"/>
      <c r="BU144" s="177" t="n"/>
    </row>
    <row r="145" ht="60" customHeight="1">
      <c r="A145" s="178" t="inlineStr">
        <is>
          <t>NORDESTE</t>
        </is>
      </c>
      <c r="B145" s="207" t="inlineStr">
        <is>
          <t>RN</t>
        </is>
      </c>
      <c r="C145" s="29" t="inlineStr">
        <is>
          <t>NATAL</t>
        </is>
      </c>
      <c r="D145" s="178" t="inlineStr">
        <is>
          <t>LIGA NORTERIOGRANDENSE CONTRA O CANCER</t>
        </is>
      </c>
      <c r="E145" s="208" t="inlineStr">
        <is>
          <t>08428765000139</t>
        </is>
      </c>
      <c r="F145" s="29" t="inlineStr">
        <is>
          <t>LIGA NORTERIOGRANDENSE CONTRA O CANCER</t>
        </is>
      </c>
      <c r="G145" s="254" t="inlineStr">
        <is>
          <t>2409194</t>
        </is>
      </c>
      <c r="H145" s="210" t="n"/>
      <c r="I145" s="210" t="n"/>
      <c r="J145" s="210" t="n"/>
      <c r="K145" s="210" t="inlineStr">
        <is>
          <t>Indireta</t>
        </is>
      </c>
      <c r="L145" s="211" t="inlineStr">
        <is>
          <t>Transferegov/SEI</t>
        </is>
      </c>
      <c r="M145" s="211" t="inlineStr">
        <is>
          <t>Convênio</t>
        </is>
      </c>
      <c r="N145" s="207" t="n">
        <v>2023</v>
      </c>
      <c r="O145" s="207" t="n">
        <v>944491</v>
      </c>
      <c r="P145" s="207" t="n">
        <v>90842823005</v>
      </c>
      <c r="Q145" s="210" t="n"/>
      <c r="R145" s="178" t="n"/>
      <c r="S145" s="210" t="n"/>
      <c r="T145" s="29" t="inlineStr">
        <is>
          <t>Bisturi Elétrico (a partir de 151 W)</t>
        </is>
      </c>
      <c r="U145" s="210" t="n"/>
      <c r="V145" s="210" t="n">
        <v>4</v>
      </c>
      <c r="W145" s="182" t="inlineStr">
        <is>
          <t xml:space="preserve"> UND</t>
        </is>
      </c>
      <c r="X145" s="210" t="inlineStr">
        <is>
          <t>EQUIPAMENTO</t>
        </is>
      </c>
      <c r="Y145" s="178" t="n"/>
      <c r="Z145" s="211" t="inlineStr">
        <is>
          <t xml:space="preserve"> NA</t>
        </is>
      </c>
      <c r="AA145" s="212" t="n"/>
      <c r="AB145" s="212" t="n"/>
      <c r="AC145" s="212" t="n"/>
      <c r="AD145" s="211" t="inlineStr">
        <is>
          <t>NI</t>
        </is>
      </c>
      <c r="AE145" s="211" t="inlineStr">
        <is>
          <t>NI</t>
        </is>
      </c>
      <c r="AF145" s="211" t="inlineStr">
        <is>
          <t>NI</t>
        </is>
      </c>
      <c r="AG145" s="177" t="n">
        <v>162920</v>
      </c>
      <c r="AH145" s="177" t="n"/>
      <c r="AI145" s="212" t="n"/>
      <c r="AJ145" s="182" t="n">
        <v>8535</v>
      </c>
      <c r="AK145" s="183" t="inlineStr">
        <is>
          <t> </t>
        </is>
      </c>
      <c r="AL145" s="183" t="inlineStr">
        <is>
          <t> </t>
        </is>
      </c>
      <c r="AM145" s="183" t="inlineStr">
        <is>
          <t> </t>
        </is>
      </c>
      <c r="AN145" s="183" t="inlineStr">
        <is>
          <t> </t>
        </is>
      </c>
      <c r="AO145" s="183" t="inlineStr">
        <is>
          <t> </t>
        </is>
      </c>
      <c r="AP145" s="183" t="inlineStr">
        <is>
          <t> </t>
        </is>
      </c>
      <c r="AQ145" s="183" t="inlineStr">
        <is>
          <t> </t>
        </is>
      </c>
      <c r="AR145" s="183" t="inlineStr">
        <is>
          <t> </t>
        </is>
      </c>
      <c r="AS145" s="183" t="inlineStr">
        <is>
          <t> </t>
        </is>
      </c>
      <c r="AT145" s="183" t="inlineStr">
        <is>
          <t> </t>
        </is>
      </c>
      <c r="AU145" s="183" t="inlineStr">
        <is>
          <t> </t>
        </is>
      </c>
      <c r="AV145" s="183" t="inlineStr">
        <is>
          <t> </t>
        </is>
      </c>
      <c r="AW145" s="183" t="inlineStr">
        <is>
          <t> </t>
        </is>
      </c>
      <c r="AX145" s="183" t="inlineStr">
        <is>
          <t> </t>
        </is>
      </c>
      <c r="AY145" s="210" t="inlineStr">
        <is>
          <t>EM EXECUÇÃO</t>
        </is>
      </c>
      <c r="AZ145" s="210" t="inlineStr">
        <is>
          <t>NI</t>
        </is>
      </c>
      <c r="BA145" s="210" t="inlineStr">
        <is>
          <t>NI</t>
        </is>
      </c>
      <c r="BB145" s="210" t="inlineStr">
        <is>
          <t>NI</t>
        </is>
      </c>
      <c r="BC145" s="212" t="n"/>
      <c r="BD145" s="210" t="n"/>
      <c r="BE145" s="210" t="n"/>
      <c r="BF145" s="178" t="n"/>
      <c r="BG145" s="210" t="n"/>
      <c r="BH145" s="210" t="n"/>
      <c r="BI145" s="210" t="n"/>
      <c r="BJ145" s="210" t="n"/>
      <c r="BK145" s="210" t="n"/>
      <c r="BL145" s="210" t="n"/>
      <c r="BM145" s="210" t="n"/>
      <c r="BN145" s="210" t="n"/>
      <c r="BO145" s="210" t="n"/>
      <c r="BP145" s="210" t="n"/>
      <c r="BQ145" s="210" t="n"/>
      <c r="BR145" s="210" t="n"/>
      <c r="BS145" s="210" t="n"/>
      <c r="BT145" s="212" t="n"/>
      <c r="BU145" s="177" t="n"/>
    </row>
    <row r="146" ht="60" customHeight="1">
      <c r="A146" s="178" t="inlineStr">
        <is>
          <t>SUL</t>
        </is>
      </c>
      <c r="B146" s="207" t="inlineStr">
        <is>
          <t>RS</t>
        </is>
      </c>
      <c r="C146" s="29" t="inlineStr">
        <is>
          <t>BENTO GONCALVES</t>
        </is>
      </c>
      <c r="D146" s="178" t="inlineStr">
        <is>
          <t>ASSOCIACAO DR BARTHOLOMEU TACCHINI</t>
        </is>
      </c>
      <c r="E146" s="208" t="inlineStr">
        <is>
          <t>87547444000120</t>
        </is>
      </c>
      <c r="F146" s="29" t="inlineStr">
        <is>
          <t>ASSOCIACAO DR BARTHOLOMEU TACCHINI</t>
        </is>
      </c>
      <c r="G146" s="254" t="inlineStr">
        <is>
          <t>2241021</t>
        </is>
      </c>
      <c r="H146" s="210" t="n"/>
      <c r="I146" s="210" t="n"/>
      <c r="J146" s="210" t="n"/>
      <c r="K146" s="210" t="inlineStr">
        <is>
          <t>Indireta</t>
        </is>
      </c>
      <c r="L146" s="211" t="inlineStr">
        <is>
          <t>Transferegov/SEI</t>
        </is>
      </c>
      <c r="M146" s="211" t="inlineStr">
        <is>
          <t>Convênio</t>
        </is>
      </c>
      <c r="N146" s="207" t="n">
        <v>2023</v>
      </c>
      <c r="O146" s="207" t="n">
        <v>943926</v>
      </c>
      <c r="P146" s="207" t="n">
        <v>98754723003</v>
      </c>
      <c r="Q146" s="210" t="n"/>
      <c r="R146" s="178" t="n"/>
      <c r="S146" s="210" t="n"/>
      <c r="T146" s="29" t="inlineStr">
        <is>
          <t>Bomba de Infusão de Seringa</t>
        </is>
      </c>
      <c r="U146" s="210" t="n"/>
      <c r="V146" s="210" t="n">
        <v>4</v>
      </c>
      <c r="W146" s="182" t="inlineStr">
        <is>
          <t xml:space="preserve"> UND</t>
        </is>
      </c>
      <c r="X146" s="210" t="inlineStr">
        <is>
          <t>EQUIPAMENTO</t>
        </is>
      </c>
      <c r="Y146" s="178" t="n"/>
      <c r="Z146" s="211" t="inlineStr">
        <is>
          <t xml:space="preserve"> NA</t>
        </is>
      </c>
      <c r="AA146" s="212" t="n"/>
      <c r="AB146" s="212" t="n"/>
      <c r="AC146" s="212" t="n"/>
      <c r="AD146" s="211" t="inlineStr">
        <is>
          <t>NI</t>
        </is>
      </c>
      <c r="AE146" s="211" t="inlineStr">
        <is>
          <t>NI</t>
        </is>
      </c>
      <c r="AF146" s="211" t="inlineStr">
        <is>
          <t>NI</t>
        </is>
      </c>
      <c r="AG146" s="177" t="n">
        <v>203185</v>
      </c>
      <c r="AH146" s="177" t="n"/>
      <c r="AI146" s="212" t="n"/>
      <c r="AJ146" s="182" t="n">
        <v>8535</v>
      </c>
      <c r="AK146" s="183" t="inlineStr">
        <is>
          <t> </t>
        </is>
      </c>
      <c r="AL146" s="183" t="inlineStr">
        <is>
          <t> </t>
        </is>
      </c>
      <c r="AM146" s="183" t="inlineStr">
        <is>
          <t> </t>
        </is>
      </c>
      <c r="AN146" s="183" t="inlineStr">
        <is>
          <t> </t>
        </is>
      </c>
      <c r="AO146" s="183" t="inlineStr">
        <is>
          <t> </t>
        </is>
      </c>
      <c r="AP146" s="183" t="inlineStr">
        <is>
          <t> </t>
        </is>
      </c>
      <c r="AQ146" s="183" t="inlineStr">
        <is>
          <t> </t>
        </is>
      </c>
      <c r="AR146" s="183" t="inlineStr">
        <is>
          <t> </t>
        </is>
      </c>
      <c r="AS146" s="183" t="inlineStr">
        <is>
          <t> </t>
        </is>
      </c>
      <c r="AT146" s="183" t="inlineStr">
        <is>
          <t> </t>
        </is>
      </c>
      <c r="AU146" s="183" t="inlineStr">
        <is>
          <t> </t>
        </is>
      </c>
      <c r="AV146" s="183" t="inlineStr">
        <is>
          <t> </t>
        </is>
      </c>
      <c r="AW146" s="183" t="inlineStr">
        <is>
          <t> </t>
        </is>
      </c>
      <c r="AX146" s="183" t="inlineStr">
        <is>
          <t> </t>
        </is>
      </c>
      <c r="AY146" s="210" t="inlineStr">
        <is>
          <t>EM EXECUÇÃO</t>
        </is>
      </c>
      <c r="AZ146" s="210" t="inlineStr">
        <is>
          <t>NI</t>
        </is>
      </c>
      <c r="BA146" s="210" t="inlineStr">
        <is>
          <t>NI</t>
        </is>
      </c>
      <c r="BB146" s="210" t="inlineStr">
        <is>
          <t>NI</t>
        </is>
      </c>
      <c r="BC146" s="212" t="n"/>
      <c r="BD146" s="210" t="n"/>
      <c r="BE146" s="210" t="n"/>
      <c r="BF146" s="178" t="n"/>
      <c r="BG146" s="210" t="n"/>
      <c r="BH146" s="210" t="n"/>
      <c r="BI146" s="210" t="n"/>
      <c r="BJ146" s="210" t="n"/>
      <c r="BK146" s="210" t="n"/>
      <c r="BL146" s="210" t="n"/>
      <c r="BM146" s="210" t="n"/>
      <c r="BN146" s="210" t="n"/>
      <c r="BO146" s="210" t="n"/>
      <c r="BP146" s="210" t="n"/>
      <c r="BQ146" s="210" t="n"/>
      <c r="BR146" s="210" t="n"/>
      <c r="BS146" s="210" t="n"/>
      <c r="BT146" s="212" t="n"/>
      <c r="BU146" s="177" t="n"/>
    </row>
    <row r="147" ht="60" customHeight="1">
      <c r="A147" s="178" t="inlineStr">
        <is>
          <t>SUL</t>
        </is>
      </c>
      <c r="B147" s="207" t="inlineStr">
        <is>
          <t>RS</t>
        </is>
      </c>
      <c r="C147" s="29" t="inlineStr">
        <is>
          <t>BENTO GONCALVES</t>
        </is>
      </c>
      <c r="D147" s="178" t="inlineStr">
        <is>
          <t>ASSOCIACAO DR BARTHOLOMEU TACCHINI</t>
        </is>
      </c>
      <c r="E147" s="208" t="inlineStr">
        <is>
          <t>87547444000120</t>
        </is>
      </c>
      <c r="F147" s="29" t="inlineStr">
        <is>
          <t>ASSOCIACAO DR BARTHOLOMEU TACCHINI</t>
        </is>
      </c>
      <c r="G147" s="254" t="inlineStr">
        <is>
          <t>2241021</t>
        </is>
      </c>
      <c r="H147" s="210" t="n"/>
      <c r="I147" s="210" t="n"/>
      <c r="J147" s="210" t="n"/>
      <c r="K147" s="210" t="inlineStr">
        <is>
          <t>Indireta</t>
        </is>
      </c>
      <c r="L147" s="211" t="inlineStr">
        <is>
          <t>Transferegov/SEI</t>
        </is>
      </c>
      <c r="M147" s="211" t="inlineStr">
        <is>
          <t>Convênio</t>
        </is>
      </c>
      <c r="N147" s="207" t="n">
        <v>2023</v>
      </c>
      <c r="O147" s="207" t="n">
        <v>943926</v>
      </c>
      <c r="P147" s="207" t="n">
        <v>98754723003</v>
      </c>
      <c r="Q147" s="210" t="n"/>
      <c r="R147" s="178" t="n"/>
      <c r="S147" s="210" t="n"/>
      <c r="T147" s="29" t="inlineStr">
        <is>
          <t>Foco Cirúrgico de Teto</t>
        </is>
      </c>
      <c r="U147" s="210" t="n"/>
      <c r="V147" s="210" t="n">
        <v>1</v>
      </c>
      <c r="W147" s="182" t="inlineStr">
        <is>
          <t xml:space="preserve"> UND</t>
        </is>
      </c>
      <c r="X147" s="210" t="inlineStr">
        <is>
          <t>EQUIPAMENTO</t>
        </is>
      </c>
      <c r="Y147" s="178" t="n"/>
      <c r="Z147" s="211" t="inlineStr">
        <is>
          <t xml:space="preserve"> NA</t>
        </is>
      </c>
      <c r="AA147" s="212" t="n"/>
      <c r="AB147" s="212" t="n"/>
      <c r="AC147" s="212" t="n"/>
      <c r="AD147" s="211" t="inlineStr">
        <is>
          <t>NI</t>
        </is>
      </c>
      <c r="AE147" s="211" t="inlineStr">
        <is>
          <t>NI</t>
        </is>
      </c>
      <c r="AF147" s="211" t="inlineStr">
        <is>
          <t>NI</t>
        </is>
      </c>
      <c r="AG147" s="177" t="n">
        <v>203185</v>
      </c>
      <c r="AH147" s="177" t="n"/>
      <c r="AI147" s="212" t="n"/>
      <c r="AJ147" s="182" t="n">
        <v>8535</v>
      </c>
      <c r="AK147" s="183" t="inlineStr">
        <is>
          <t> </t>
        </is>
      </c>
      <c r="AL147" s="183" t="inlineStr">
        <is>
          <t> </t>
        </is>
      </c>
      <c r="AM147" s="183" t="inlineStr">
        <is>
          <t> </t>
        </is>
      </c>
      <c r="AN147" s="183" t="inlineStr">
        <is>
          <t> </t>
        </is>
      </c>
      <c r="AO147" s="183" t="inlineStr">
        <is>
          <t> </t>
        </is>
      </c>
      <c r="AP147" s="183" t="inlineStr">
        <is>
          <t> </t>
        </is>
      </c>
      <c r="AQ147" s="183" t="inlineStr">
        <is>
          <t> </t>
        </is>
      </c>
      <c r="AR147" s="183" t="inlineStr">
        <is>
          <t> </t>
        </is>
      </c>
      <c r="AS147" s="183" t="inlineStr">
        <is>
          <t> </t>
        </is>
      </c>
      <c r="AT147" s="183" t="inlineStr">
        <is>
          <t> </t>
        </is>
      </c>
      <c r="AU147" s="183" t="inlineStr">
        <is>
          <t> </t>
        </is>
      </c>
      <c r="AV147" s="183" t="inlineStr">
        <is>
          <t> </t>
        </is>
      </c>
      <c r="AW147" s="183" t="inlineStr">
        <is>
          <t> </t>
        </is>
      </c>
      <c r="AX147" s="183" t="inlineStr">
        <is>
          <t> </t>
        </is>
      </c>
      <c r="AY147" s="210" t="inlineStr">
        <is>
          <t>EM EXECUÇÃO</t>
        </is>
      </c>
      <c r="AZ147" s="210" t="inlineStr">
        <is>
          <t>NI</t>
        </is>
      </c>
      <c r="BA147" s="210" t="inlineStr">
        <is>
          <t>NI</t>
        </is>
      </c>
      <c r="BB147" s="210" t="inlineStr">
        <is>
          <t>NI</t>
        </is>
      </c>
      <c r="BC147" s="212" t="n"/>
      <c r="BD147" s="210" t="n"/>
      <c r="BE147" s="210" t="n"/>
      <c r="BF147" s="178" t="n"/>
      <c r="BG147" s="210" t="n"/>
      <c r="BH147" s="210" t="n"/>
      <c r="BI147" s="210" t="n"/>
      <c r="BJ147" s="210" t="n"/>
      <c r="BK147" s="210" t="n"/>
      <c r="BL147" s="210" t="n"/>
      <c r="BM147" s="210" t="n"/>
      <c r="BN147" s="210" t="n"/>
      <c r="BO147" s="210" t="n"/>
      <c r="BP147" s="210" t="n"/>
      <c r="BQ147" s="210" t="n"/>
      <c r="BR147" s="210" t="n"/>
      <c r="BS147" s="210" t="n"/>
      <c r="BT147" s="212" t="n"/>
      <c r="BU147" s="177" t="n"/>
    </row>
    <row r="148" ht="60" customHeight="1">
      <c r="A148" s="178" t="inlineStr">
        <is>
          <t>SUL</t>
        </is>
      </c>
      <c r="B148" s="207" t="inlineStr">
        <is>
          <t>RS</t>
        </is>
      </c>
      <c r="C148" s="29" t="inlineStr">
        <is>
          <t>BENTO GONCALVES</t>
        </is>
      </c>
      <c r="D148" s="178" t="inlineStr">
        <is>
          <t>ASSOCIACAO DR BARTHOLOMEU TACCHINI</t>
        </is>
      </c>
      <c r="E148" s="208" t="inlineStr">
        <is>
          <t>87547444000120</t>
        </is>
      </c>
      <c r="F148" s="29" t="inlineStr">
        <is>
          <t>ASSOCIACAO DR BARTHOLOMEU TACCHINI</t>
        </is>
      </c>
      <c r="G148" s="254" t="inlineStr">
        <is>
          <t>2241021</t>
        </is>
      </c>
      <c r="H148" s="210" t="n"/>
      <c r="I148" s="210" t="n"/>
      <c r="J148" s="210" t="n"/>
      <c r="K148" s="210" t="inlineStr">
        <is>
          <t>Indireta</t>
        </is>
      </c>
      <c r="L148" s="211" t="inlineStr">
        <is>
          <t>Transferegov/SEI</t>
        </is>
      </c>
      <c r="M148" s="211" t="inlineStr">
        <is>
          <t>Convênio</t>
        </is>
      </c>
      <c r="N148" s="207" t="n">
        <v>2023</v>
      </c>
      <c r="O148" s="207" t="n">
        <v>943926</v>
      </c>
      <c r="P148" s="207" t="n">
        <v>98754723003</v>
      </c>
      <c r="Q148" s="210" t="n"/>
      <c r="R148" s="178" t="n"/>
      <c r="S148" s="210" t="n"/>
      <c r="T148" s="29" t="inlineStr">
        <is>
          <t>Mesa Cirúrgica Elétrica</t>
        </is>
      </c>
      <c r="U148" s="210" t="n"/>
      <c r="V148" s="210" t="n">
        <v>1</v>
      </c>
      <c r="W148" s="182" t="inlineStr">
        <is>
          <t xml:space="preserve"> UND</t>
        </is>
      </c>
      <c r="X148" s="210" t="inlineStr">
        <is>
          <t>EQUIPAMENTO</t>
        </is>
      </c>
      <c r="Y148" s="178" t="n"/>
      <c r="Z148" s="211" t="inlineStr">
        <is>
          <t xml:space="preserve"> NA</t>
        </is>
      </c>
      <c r="AA148" s="212" t="n"/>
      <c r="AB148" s="212" t="n"/>
      <c r="AC148" s="212" t="n"/>
      <c r="AD148" s="211" t="inlineStr">
        <is>
          <t>NI</t>
        </is>
      </c>
      <c r="AE148" s="211" t="inlineStr">
        <is>
          <t>NI</t>
        </is>
      </c>
      <c r="AF148" s="211" t="inlineStr">
        <is>
          <t>NI</t>
        </is>
      </c>
      <c r="AG148" s="177" t="n">
        <v>203185</v>
      </c>
      <c r="AH148" s="177" t="n"/>
      <c r="AI148" s="212" t="n"/>
      <c r="AJ148" s="182" t="n">
        <v>8535</v>
      </c>
      <c r="AK148" s="183" t="inlineStr">
        <is>
          <t> </t>
        </is>
      </c>
      <c r="AL148" s="183" t="inlineStr">
        <is>
          <t> </t>
        </is>
      </c>
      <c r="AM148" s="183" t="inlineStr">
        <is>
          <t> </t>
        </is>
      </c>
      <c r="AN148" s="183" t="inlineStr">
        <is>
          <t> </t>
        </is>
      </c>
      <c r="AO148" s="183" t="inlineStr">
        <is>
          <t> </t>
        </is>
      </c>
      <c r="AP148" s="183" t="inlineStr">
        <is>
          <t> </t>
        </is>
      </c>
      <c r="AQ148" s="183" t="inlineStr">
        <is>
          <t> </t>
        </is>
      </c>
      <c r="AR148" s="183" t="inlineStr">
        <is>
          <t> </t>
        </is>
      </c>
      <c r="AS148" s="183" t="inlineStr">
        <is>
          <t> </t>
        </is>
      </c>
      <c r="AT148" s="183" t="inlineStr">
        <is>
          <t> </t>
        </is>
      </c>
      <c r="AU148" s="183" t="inlineStr">
        <is>
          <t> </t>
        </is>
      </c>
      <c r="AV148" s="183" t="inlineStr">
        <is>
          <t> </t>
        </is>
      </c>
      <c r="AW148" s="183" t="inlineStr">
        <is>
          <t> </t>
        </is>
      </c>
      <c r="AX148" s="183" t="inlineStr">
        <is>
          <t> </t>
        </is>
      </c>
      <c r="AY148" s="210" t="inlineStr">
        <is>
          <t>EM EXECUÇÃO</t>
        </is>
      </c>
      <c r="AZ148" s="210" t="inlineStr">
        <is>
          <t>NI</t>
        </is>
      </c>
      <c r="BA148" s="210" t="inlineStr">
        <is>
          <t>NI</t>
        </is>
      </c>
      <c r="BB148" s="210" t="inlineStr">
        <is>
          <t>NI</t>
        </is>
      </c>
      <c r="BC148" s="212" t="n"/>
      <c r="BD148" s="210" t="n"/>
      <c r="BE148" s="210" t="n"/>
      <c r="BF148" s="178" t="n"/>
      <c r="BG148" s="210" t="n"/>
      <c r="BH148" s="210" t="n"/>
      <c r="BI148" s="210" t="n"/>
      <c r="BJ148" s="210" t="n"/>
      <c r="BK148" s="210" t="n"/>
      <c r="BL148" s="210" t="n"/>
      <c r="BM148" s="210" t="n"/>
      <c r="BN148" s="210" t="n"/>
      <c r="BO148" s="210" t="n"/>
      <c r="BP148" s="210" t="n"/>
      <c r="BQ148" s="210" t="n"/>
      <c r="BR148" s="210" t="n"/>
      <c r="BS148" s="210" t="n"/>
      <c r="BT148" s="212" t="n"/>
      <c r="BU148" s="177" t="n"/>
    </row>
    <row r="149" ht="60" customHeight="1">
      <c r="A149" s="178" t="inlineStr">
        <is>
          <t>SUL</t>
        </is>
      </c>
      <c r="B149" s="207" t="inlineStr">
        <is>
          <t>RS</t>
        </is>
      </c>
      <c r="C149" s="29" t="inlineStr">
        <is>
          <t>BENTO GONCALVES</t>
        </is>
      </c>
      <c r="D149" s="178" t="inlineStr">
        <is>
          <t>ASSOCIACAO DR BARTHOLOMEU TACCHINI</t>
        </is>
      </c>
      <c r="E149" s="208" t="inlineStr">
        <is>
          <t>87547444000120</t>
        </is>
      </c>
      <c r="F149" s="29" t="inlineStr">
        <is>
          <t>ASSOCIACAO DR BARTHOLOMEU TACCHINI</t>
        </is>
      </c>
      <c r="G149" s="254" t="inlineStr">
        <is>
          <t>2241021</t>
        </is>
      </c>
      <c r="H149" s="210" t="n"/>
      <c r="I149" s="210" t="n"/>
      <c r="J149" s="210" t="n"/>
      <c r="K149" s="210" t="inlineStr">
        <is>
          <t>Indireta</t>
        </is>
      </c>
      <c r="L149" s="211" t="inlineStr">
        <is>
          <t>Transferegov/SEI</t>
        </is>
      </c>
      <c r="M149" s="211" t="inlineStr">
        <is>
          <t>Convênio</t>
        </is>
      </c>
      <c r="N149" s="207" t="n">
        <v>2023</v>
      </c>
      <c r="O149" s="207" t="n">
        <v>942629</v>
      </c>
      <c r="P149" s="207" t="n">
        <v>98754723004</v>
      </c>
      <c r="Q149" s="210" t="n"/>
      <c r="R149" s="178" t="n"/>
      <c r="S149" s="210" t="n"/>
      <c r="T149" s="29" t="inlineStr">
        <is>
          <t>Foco Cirúrgico de Teto</t>
        </is>
      </c>
      <c r="U149" s="210" t="n"/>
      <c r="V149" s="210" t="n">
        <v>2</v>
      </c>
      <c r="W149" s="182" t="inlineStr">
        <is>
          <t xml:space="preserve"> UND</t>
        </is>
      </c>
      <c r="X149" s="210" t="inlineStr">
        <is>
          <t>EQUIPAMENTO</t>
        </is>
      </c>
      <c r="Y149" s="178" t="n"/>
      <c r="Z149" s="211" t="inlineStr">
        <is>
          <t xml:space="preserve"> NA</t>
        </is>
      </c>
      <c r="AA149" s="212" t="n"/>
      <c r="AB149" s="212" t="n"/>
      <c r="AC149" s="212" t="n"/>
      <c r="AD149" s="211" t="inlineStr">
        <is>
          <t>NI</t>
        </is>
      </c>
      <c r="AE149" s="211" t="inlineStr">
        <is>
          <t>NI</t>
        </is>
      </c>
      <c r="AF149" s="211" t="inlineStr">
        <is>
          <t>NI</t>
        </is>
      </c>
      <c r="AG149" s="177" t="n">
        <v>146998</v>
      </c>
      <c r="AH149" s="177" t="n"/>
      <c r="AI149" s="212" t="n"/>
      <c r="AJ149" s="182" t="n">
        <v>8535</v>
      </c>
      <c r="AK149" s="183" t="inlineStr">
        <is>
          <t> </t>
        </is>
      </c>
      <c r="AL149" s="183" t="inlineStr">
        <is>
          <t> </t>
        </is>
      </c>
      <c r="AM149" s="183" t="inlineStr">
        <is>
          <t> </t>
        </is>
      </c>
      <c r="AN149" s="183" t="inlineStr">
        <is>
          <t> </t>
        </is>
      </c>
      <c r="AO149" s="183" t="inlineStr">
        <is>
          <t> </t>
        </is>
      </c>
      <c r="AP149" s="183" t="inlineStr">
        <is>
          <t> </t>
        </is>
      </c>
      <c r="AQ149" s="183" t="inlineStr">
        <is>
          <t> </t>
        </is>
      </c>
      <c r="AR149" s="183" t="inlineStr">
        <is>
          <t> </t>
        </is>
      </c>
      <c r="AS149" s="183" t="inlineStr">
        <is>
          <t> </t>
        </is>
      </c>
      <c r="AT149" s="183" t="inlineStr">
        <is>
          <t> </t>
        </is>
      </c>
      <c r="AU149" s="183" t="inlineStr">
        <is>
          <t> </t>
        </is>
      </c>
      <c r="AV149" s="183" t="inlineStr">
        <is>
          <t> </t>
        </is>
      </c>
      <c r="AW149" s="183" t="inlineStr">
        <is>
          <t> </t>
        </is>
      </c>
      <c r="AX149" s="183" t="inlineStr">
        <is>
          <t> </t>
        </is>
      </c>
      <c r="AY149" s="210" t="inlineStr">
        <is>
          <t>EM EXECUÇÃO</t>
        </is>
      </c>
      <c r="AZ149" s="210" t="inlineStr">
        <is>
          <t>NI</t>
        </is>
      </c>
      <c r="BA149" s="210" t="inlineStr">
        <is>
          <t>NI</t>
        </is>
      </c>
      <c r="BB149" s="210" t="inlineStr">
        <is>
          <t>NI</t>
        </is>
      </c>
      <c r="BC149" s="212" t="n"/>
      <c r="BD149" s="210" t="n"/>
      <c r="BE149" s="210" t="n"/>
      <c r="BF149" s="178" t="n"/>
      <c r="BG149" s="210" t="n"/>
      <c r="BH149" s="210" t="n"/>
      <c r="BI149" s="210" t="n"/>
      <c r="BJ149" s="210" t="n"/>
      <c r="BK149" s="210" t="n"/>
      <c r="BL149" s="210" t="n"/>
      <c r="BM149" s="210" t="n"/>
      <c r="BN149" s="210" t="n"/>
      <c r="BO149" s="210" t="n"/>
      <c r="BP149" s="210" t="n"/>
      <c r="BQ149" s="210" t="n"/>
      <c r="BR149" s="210" t="n"/>
      <c r="BS149" s="210" t="n"/>
      <c r="BT149" s="212" t="n"/>
      <c r="BU149" s="177" t="n"/>
    </row>
    <row r="150" ht="60" customHeight="1">
      <c r="A150" s="178" t="inlineStr">
        <is>
          <t>SUL</t>
        </is>
      </c>
      <c r="B150" s="207" t="inlineStr">
        <is>
          <t>RS</t>
        </is>
      </c>
      <c r="C150" s="29" t="inlineStr">
        <is>
          <t>SANTA CRUZ DO SUL</t>
        </is>
      </c>
      <c r="D150" s="178" t="inlineStr">
        <is>
          <t>HOSPITAL ANA NERY SANTA CRUZ DO SUL</t>
        </is>
      </c>
      <c r="E150" s="208" t="inlineStr">
        <is>
          <t>95422358000119</t>
        </is>
      </c>
      <c r="F150" s="29" t="inlineStr">
        <is>
          <t>HOSPITAL ANA NERY SANTA CRUZ DO SUL</t>
        </is>
      </c>
      <c r="G150" s="254" t="inlineStr">
        <is>
          <t>2255936</t>
        </is>
      </c>
      <c r="H150" s="210" t="n"/>
      <c r="I150" s="210" t="n"/>
      <c r="J150" s="210" t="n"/>
      <c r="K150" s="210" t="inlineStr">
        <is>
          <t>Indireta</t>
        </is>
      </c>
      <c r="L150" s="211" t="inlineStr">
        <is>
          <t>Transferegov/SEI</t>
        </is>
      </c>
      <c r="M150" s="211" t="inlineStr">
        <is>
          <t>Convênio</t>
        </is>
      </c>
      <c r="N150" s="207" t="n">
        <v>2023</v>
      </c>
      <c r="O150" s="207" t="n">
        <v>947321</v>
      </c>
      <c r="P150" s="207" t="n">
        <v>99542223007</v>
      </c>
      <c r="Q150" s="210" t="n"/>
      <c r="R150" s="178" t="n"/>
      <c r="S150" s="210" t="n"/>
      <c r="T150" s="29" t="inlineStr">
        <is>
          <t>Ventilador Pulmonar Pressométrico e Volumétrico</t>
        </is>
      </c>
      <c r="U150" s="210" t="n"/>
      <c r="V150" s="210" t="n">
        <v>1</v>
      </c>
      <c r="W150" s="182" t="inlineStr">
        <is>
          <t xml:space="preserve"> UND</t>
        </is>
      </c>
      <c r="X150" s="210" t="inlineStr">
        <is>
          <t>EQUIPAMENTO</t>
        </is>
      </c>
      <c r="Y150" s="178" t="n"/>
      <c r="Z150" s="211" t="inlineStr">
        <is>
          <t xml:space="preserve"> NA</t>
        </is>
      </c>
      <c r="AA150" s="212" t="n"/>
      <c r="AB150" s="212" t="n"/>
      <c r="AC150" s="212" t="n"/>
      <c r="AD150" s="211" t="inlineStr">
        <is>
          <t>NI</t>
        </is>
      </c>
      <c r="AE150" s="211" t="inlineStr">
        <is>
          <t>NI</t>
        </is>
      </c>
      <c r="AF150" s="211" t="inlineStr">
        <is>
          <t>NI</t>
        </is>
      </c>
      <c r="AG150" s="177" t="n">
        <v>128441</v>
      </c>
      <c r="AH150" s="177" t="n"/>
      <c r="AI150" s="212" t="n"/>
      <c r="AJ150" s="182" t="n">
        <v>8535</v>
      </c>
      <c r="AK150" s="183" t="inlineStr">
        <is>
          <t> </t>
        </is>
      </c>
      <c r="AL150" s="183" t="inlineStr">
        <is>
          <t> </t>
        </is>
      </c>
      <c r="AM150" s="183" t="inlineStr">
        <is>
          <t> </t>
        </is>
      </c>
      <c r="AN150" s="183" t="inlineStr">
        <is>
          <t> </t>
        </is>
      </c>
      <c r="AO150" s="183" t="inlineStr">
        <is>
          <t> </t>
        </is>
      </c>
      <c r="AP150" s="183" t="inlineStr">
        <is>
          <t> </t>
        </is>
      </c>
      <c r="AQ150" s="183" t="inlineStr">
        <is>
          <t> </t>
        </is>
      </c>
      <c r="AR150" s="183" t="inlineStr">
        <is>
          <t> </t>
        </is>
      </c>
      <c r="AS150" s="183" t="inlineStr">
        <is>
          <t> </t>
        </is>
      </c>
      <c r="AT150" s="183" t="inlineStr">
        <is>
          <t> </t>
        </is>
      </c>
      <c r="AU150" s="183" t="inlineStr">
        <is>
          <t> </t>
        </is>
      </c>
      <c r="AV150" s="183" t="inlineStr">
        <is>
          <t> </t>
        </is>
      </c>
      <c r="AW150" s="183" t="inlineStr">
        <is>
          <t> </t>
        </is>
      </c>
      <c r="AX150" s="183" t="inlineStr">
        <is>
          <t> </t>
        </is>
      </c>
      <c r="AY150" s="210" t="inlineStr">
        <is>
          <t>EM EXECUÇÃO</t>
        </is>
      </c>
      <c r="AZ150" s="210" t="inlineStr">
        <is>
          <t>NI</t>
        </is>
      </c>
      <c r="BA150" s="210" t="inlineStr">
        <is>
          <t>NI</t>
        </is>
      </c>
      <c r="BB150" s="210" t="inlineStr">
        <is>
          <t>NI</t>
        </is>
      </c>
      <c r="BC150" s="212" t="n"/>
      <c r="BD150" s="210" t="n"/>
      <c r="BE150" s="210" t="n"/>
      <c r="BF150" s="178" t="n"/>
      <c r="BG150" s="210" t="n"/>
      <c r="BH150" s="210" t="n"/>
      <c r="BI150" s="210" t="n"/>
      <c r="BJ150" s="210" t="n"/>
      <c r="BK150" s="210" t="n"/>
      <c r="BL150" s="210" t="n"/>
      <c r="BM150" s="210" t="n"/>
      <c r="BN150" s="210" t="n"/>
      <c r="BO150" s="210" t="n"/>
      <c r="BP150" s="210" t="n"/>
      <c r="BQ150" s="210" t="n"/>
      <c r="BR150" s="210" t="n"/>
      <c r="BS150" s="210" t="n"/>
      <c r="BT150" s="212" t="n"/>
      <c r="BU150" s="177" t="n"/>
    </row>
    <row r="151" ht="60" customHeight="1">
      <c r="A151" s="178" t="inlineStr">
        <is>
          <t>SUL</t>
        </is>
      </c>
      <c r="B151" s="207" t="inlineStr">
        <is>
          <t>RS</t>
        </is>
      </c>
      <c r="C151" s="29" t="inlineStr">
        <is>
          <t>SANTA CRUZ DO SUL</t>
        </is>
      </c>
      <c r="D151" s="178" t="inlineStr">
        <is>
          <t>HOSPITAL ANA NERY SANTA CRUZ DO SUL</t>
        </is>
      </c>
      <c r="E151" s="208" t="inlineStr">
        <is>
          <t>95422358000119</t>
        </is>
      </c>
      <c r="F151" s="29" t="inlineStr">
        <is>
          <t>HOSPITAL ANA NERY SANTA CRUZ DO SUL</t>
        </is>
      </c>
      <c r="G151" s="254" t="inlineStr">
        <is>
          <t>2255936</t>
        </is>
      </c>
      <c r="H151" s="210" t="n"/>
      <c r="I151" s="210" t="n"/>
      <c r="J151" s="210" t="n"/>
      <c r="K151" s="210" t="inlineStr">
        <is>
          <t>Indireta</t>
        </is>
      </c>
      <c r="L151" s="211" t="inlineStr">
        <is>
          <t>Transferegov/SEI</t>
        </is>
      </c>
      <c r="M151" s="211" t="inlineStr">
        <is>
          <t>Convênio</t>
        </is>
      </c>
      <c r="N151" s="207" t="n">
        <v>2023</v>
      </c>
      <c r="O151" s="207" t="n">
        <v>947321</v>
      </c>
      <c r="P151" s="207" t="n">
        <v>99542223007</v>
      </c>
      <c r="Q151" s="210" t="n"/>
      <c r="R151" s="178" t="n"/>
      <c r="S151" s="210" t="n"/>
      <c r="T151" s="29" t="inlineStr">
        <is>
          <t>Manta Térmica Elétrica</t>
        </is>
      </c>
      <c r="U151" s="210" t="n"/>
      <c r="V151" s="210" t="n">
        <v>3</v>
      </c>
      <c r="W151" s="182" t="inlineStr">
        <is>
          <t xml:space="preserve"> UND</t>
        </is>
      </c>
      <c r="X151" s="210" t="inlineStr">
        <is>
          <t>EQUIPAMENTO</t>
        </is>
      </c>
      <c r="Y151" s="178" t="n"/>
      <c r="Z151" s="211" t="inlineStr">
        <is>
          <t xml:space="preserve"> NA</t>
        </is>
      </c>
      <c r="AA151" s="212" t="n"/>
      <c r="AB151" s="212" t="n"/>
      <c r="AC151" s="212" t="n"/>
      <c r="AD151" s="211" t="inlineStr">
        <is>
          <t>NI</t>
        </is>
      </c>
      <c r="AE151" s="211" t="inlineStr">
        <is>
          <t>NI</t>
        </is>
      </c>
      <c r="AF151" s="211" t="inlineStr">
        <is>
          <t>NI</t>
        </is>
      </c>
      <c r="AG151" s="177" t="n">
        <v>128441</v>
      </c>
      <c r="AH151" s="177" t="n"/>
      <c r="AI151" s="212" t="n"/>
      <c r="AJ151" s="182" t="n">
        <v>8535</v>
      </c>
      <c r="AK151" s="183" t="inlineStr">
        <is>
          <t> </t>
        </is>
      </c>
      <c r="AL151" s="183" t="inlineStr">
        <is>
          <t> </t>
        </is>
      </c>
      <c r="AM151" s="183" t="inlineStr">
        <is>
          <t> </t>
        </is>
      </c>
      <c r="AN151" s="183" t="inlineStr">
        <is>
          <t> </t>
        </is>
      </c>
      <c r="AO151" s="183" t="inlineStr">
        <is>
          <t> </t>
        </is>
      </c>
      <c r="AP151" s="183" t="inlineStr">
        <is>
          <t> </t>
        </is>
      </c>
      <c r="AQ151" s="183" t="inlineStr">
        <is>
          <t> </t>
        </is>
      </c>
      <c r="AR151" s="183" t="inlineStr">
        <is>
          <t> </t>
        </is>
      </c>
      <c r="AS151" s="183" t="inlineStr">
        <is>
          <t> </t>
        </is>
      </c>
      <c r="AT151" s="183" t="inlineStr">
        <is>
          <t> </t>
        </is>
      </c>
      <c r="AU151" s="183" t="inlineStr">
        <is>
          <t> </t>
        </is>
      </c>
      <c r="AV151" s="183" t="inlineStr">
        <is>
          <t> </t>
        </is>
      </c>
      <c r="AW151" s="183" t="inlineStr">
        <is>
          <t> </t>
        </is>
      </c>
      <c r="AX151" s="183" t="inlineStr">
        <is>
          <t> </t>
        </is>
      </c>
      <c r="AY151" s="210" t="inlineStr">
        <is>
          <t>EM EXECUÇÃO</t>
        </is>
      </c>
      <c r="AZ151" s="210" t="inlineStr">
        <is>
          <t>NI</t>
        </is>
      </c>
      <c r="BA151" s="210" t="inlineStr">
        <is>
          <t>NI</t>
        </is>
      </c>
      <c r="BB151" s="210" t="inlineStr">
        <is>
          <t>NI</t>
        </is>
      </c>
      <c r="BC151" s="212" t="n"/>
      <c r="BD151" s="210" t="n"/>
      <c r="BE151" s="210" t="n"/>
      <c r="BF151" s="178" t="n"/>
      <c r="BG151" s="210" t="n"/>
      <c r="BH151" s="210" t="n"/>
      <c r="BI151" s="210" t="n"/>
      <c r="BJ151" s="210" t="n"/>
      <c r="BK151" s="210" t="n"/>
      <c r="BL151" s="210" t="n"/>
      <c r="BM151" s="210" t="n"/>
      <c r="BN151" s="210" t="n"/>
      <c r="BO151" s="210" t="n"/>
      <c r="BP151" s="210" t="n"/>
      <c r="BQ151" s="210" t="n"/>
      <c r="BR151" s="210" t="n"/>
      <c r="BS151" s="210" t="n"/>
      <c r="BT151" s="212" t="n"/>
      <c r="BU151" s="177" t="n"/>
    </row>
    <row r="152" ht="60" customHeight="1">
      <c r="A152" s="178" t="inlineStr">
        <is>
          <t>SUL</t>
        </is>
      </c>
      <c r="B152" s="207" t="inlineStr">
        <is>
          <t>RS</t>
        </is>
      </c>
      <c r="C152" s="29" t="inlineStr">
        <is>
          <t>SANTA CRUZ DO SUL</t>
        </is>
      </c>
      <c r="D152" s="178" t="inlineStr">
        <is>
          <t>HOSPITAL ANA NERY SANTA CRUZ DO SUL</t>
        </is>
      </c>
      <c r="E152" s="208" t="inlineStr">
        <is>
          <t>95422358000119</t>
        </is>
      </c>
      <c r="F152" s="29" t="inlineStr">
        <is>
          <t>HOSPITAL ANA NERY SANTA CRUZ DO SUL</t>
        </is>
      </c>
      <c r="G152" s="254" t="inlineStr">
        <is>
          <t>2255936</t>
        </is>
      </c>
      <c r="H152" s="210" t="n"/>
      <c r="I152" s="210" t="n"/>
      <c r="J152" s="210" t="n"/>
      <c r="K152" s="210" t="inlineStr">
        <is>
          <t>Indireta</t>
        </is>
      </c>
      <c r="L152" s="211" t="inlineStr">
        <is>
          <t>Transferegov/SEI</t>
        </is>
      </c>
      <c r="M152" s="211" t="inlineStr">
        <is>
          <t>Convênio</t>
        </is>
      </c>
      <c r="N152" s="207" t="n">
        <v>2023</v>
      </c>
      <c r="O152" s="207" t="n">
        <v>947321</v>
      </c>
      <c r="P152" s="207" t="n">
        <v>99542223007</v>
      </c>
      <c r="Q152" s="210" t="n"/>
      <c r="R152" s="178" t="n"/>
      <c r="S152" s="210" t="n"/>
      <c r="T152" s="29" t="inlineStr">
        <is>
          <t>Carro de Emergência</t>
        </is>
      </c>
      <c r="U152" s="210" t="n"/>
      <c r="V152" s="210" t="n">
        <v>3</v>
      </c>
      <c r="W152" s="182" t="inlineStr">
        <is>
          <t xml:space="preserve"> UND</t>
        </is>
      </c>
      <c r="X152" s="210" t="inlineStr">
        <is>
          <t>EQUIPAMENTO</t>
        </is>
      </c>
      <c r="Y152" s="178" t="n"/>
      <c r="Z152" s="211" t="inlineStr">
        <is>
          <t xml:space="preserve"> NA</t>
        </is>
      </c>
      <c r="AA152" s="212" t="n"/>
      <c r="AB152" s="212" t="n"/>
      <c r="AC152" s="212" t="n"/>
      <c r="AD152" s="211" t="inlineStr">
        <is>
          <t>NI</t>
        </is>
      </c>
      <c r="AE152" s="211" t="inlineStr">
        <is>
          <t>NI</t>
        </is>
      </c>
      <c r="AF152" s="211" t="inlineStr">
        <is>
          <t>NI</t>
        </is>
      </c>
      <c r="AG152" s="177" t="n">
        <v>128441</v>
      </c>
      <c r="AH152" s="177" t="n"/>
      <c r="AI152" s="212" t="n"/>
      <c r="AJ152" s="182" t="n">
        <v>8535</v>
      </c>
      <c r="AK152" s="183" t="inlineStr">
        <is>
          <t> </t>
        </is>
      </c>
      <c r="AL152" s="183" t="inlineStr">
        <is>
          <t> </t>
        </is>
      </c>
      <c r="AM152" s="183" t="inlineStr">
        <is>
          <t> </t>
        </is>
      </c>
      <c r="AN152" s="183" t="inlineStr">
        <is>
          <t> </t>
        </is>
      </c>
      <c r="AO152" s="183" t="inlineStr">
        <is>
          <t> </t>
        </is>
      </c>
      <c r="AP152" s="183" t="inlineStr">
        <is>
          <t> </t>
        </is>
      </c>
      <c r="AQ152" s="183" t="inlineStr">
        <is>
          <t> </t>
        </is>
      </c>
      <c r="AR152" s="183" t="inlineStr">
        <is>
          <t> </t>
        </is>
      </c>
      <c r="AS152" s="183" t="inlineStr">
        <is>
          <t> </t>
        </is>
      </c>
      <c r="AT152" s="183" t="inlineStr">
        <is>
          <t> </t>
        </is>
      </c>
      <c r="AU152" s="183" t="inlineStr">
        <is>
          <t> </t>
        </is>
      </c>
      <c r="AV152" s="183" t="inlineStr">
        <is>
          <t> </t>
        </is>
      </c>
      <c r="AW152" s="183" t="inlineStr">
        <is>
          <t> </t>
        </is>
      </c>
      <c r="AX152" s="183" t="inlineStr">
        <is>
          <t> </t>
        </is>
      </c>
      <c r="AY152" s="210" t="inlineStr">
        <is>
          <t>EM EXECUÇÃO</t>
        </is>
      </c>
      <c r="AZ152" s="210" t="inlineStr">
        <is>
          <t>NI</t>
        </is>
      </c>
      <c r="BA152" s="210" t="inlineStr">
        <is>
          <t>NI</t>
        </is>
      </c>
      <c r="BB152" s="210" t="inlineStr">
        <is>
          <t>NI</t>
        </is>
      </c>
      <c r="BC152" s="212" t="n"/>
      <c r="BD152" s="210" t="n"/>
      <c r="BE152" s="210" t="n"/>
      <c r="BF152" s="178" t="n"/>
      <c r="BG152" s="210" t="n"/>
      <c r="BH152" s="210" t="n"/>
      <c r="BI152" s="210" t="n"/>
      <c r="BJ152" s="210" t="n"/>
      <c r="BK152" s="210" t="n"/>
      <c r="BL152" s="210" t="n"/>
      <c r="BM152" s="210" t="n"/>
      <c r="BN152" s="210" t="n"/>
      <c r="BO152" s="210" t="n"/>
      <c r="BP152" s="210" t="n"/>
      <c r="BQ152" s="210" t="n"/>
      <c r="BR152" s="210" t="n"/>
      <c r="BS152" s="210" t="n"/>
      <c r="BT152" s="212" t="n"/>
      <c r="BU152" s="177" t="n"/>
    </row>
    <row r="153" ht="60" customHeight="1">
      <c r="A153" s="178" t="inlineStr">
        <is>
          <t>SUL</t>
        </is>
      </c>
      <c r="B153" s="207" t="inlineStr">
        <is>
          <t>RS</t>
        </is>
      </c>
      <c r="C153" s="29" t="inlineStr">
        <is>
          <t>SANTA CRUZ DO SUL</t>
        </is>
      </c>
      <c r="D153" s="178" t="inlineStr">
        <is>
          <t>HOSPITAL ANA NERY SANTA CRUZ DO SUL</t>
        </is>
      </c>
      <c r="E153" s="208" t="inlineStr">
        <is>
          <t>95422358000119</t>
        </is>
      </c>
      <c r="F153" s="29" t="inlineStr">
        <is>
          <t>HOSPITAL ANA NERY SANTA CRUZ DO SUL</t>
        </is>
      </c>
      <c r="G153" s="254" t="inlineStr">
        <is>
          <t>2255936</t>
        </is>
      </c>
      <c r="H153" s="210" t="n"/>
      <c r="I153" s="210" t="n"/>
      <c r="J153" s="210" t="n"/>
      <c r="K153" s="210" t="inlineStr">
        <is>
          <t>Indireta</t>
        </is>
      </c>
      <c r="L153" s="211" t="inlineStr">
        <is>
          <t>Transferegov/SEI</t>
        </is>
      </c>
      <c r="M153" s="211" t="inlineStr">
        <is>
          <t>Convênio</t>
        </is>
      </c>
      <c r="N153" s="207" t="n">
        <v>2023</v>
      </c>
      <c r="O153" s="207" t="n">
        <v>947321</v>
      </c>
      <c r="P153" s="207" t="n">
        <v>99542223007</v>
      </c>
      <c r="Q153" s="210" t="n"/>
      <c r="R153" s="178" t="n"/>
      <c r="S153" s="210" t="n"/>
      <c r="T153" s="29" t="inlineStr">
        <is>
          <t>Aspirador de Secreções Elétrico Móvel</t>
        </is>
      </c>
      <c r="U153" s="210" t="n"/>
      <c r="V153" s="210" t="n">
        <v>2</v>
      </c>
      <c r="W153" s="182" t="inlineStr">
        <is>
          <t xml:space="preserve"> UND</t>
        </is>
      </c>
      <c r="X153" s="210" t="inlineStr">
        <is>
          <t>EQUIPAMENTO</t>
        </is>
      </c>
      <c r="Y153" s="178" t="n"/>
      <c r="Z153" s="211" t="inlineStr">
        <is>
          <t xml:space="preserve"> NA</t>
        </is>
      </c>
      <c r="AA153" s="212" t="n"/>
      <c r="AB153" s="212" t="n"/>
      <c r="AC153" s="212" t="n"/>
      <c r="AD153" s="211" t="inlineStr">
        <is>
          <t>NI</t>
        </is>
      </c>
      <c r="AE153" s="211" t="inlineStr">
        <is>
          <t>NI</t>
        </is>
      </c>
      <c r="AF153" s="211" t="inlineStr">
        <is>
          <t>NI</t>
        </is>
      </c>
      <c r="AG153" s="177" t="n">
        <v>128441</v>
      </c>
      <c r="AH153" s="177" t="n"/>
      <c r="AI153" s="212" t="n"/>
      <c r="AJ153" s="182" t="n">
        <v>8535</v>
      </c>
      <c r="AK153" s="183" t="inlineStr">
        <is>
          <t> </t>
        </is>
      </c>
      <c r="AL153" s="183" t="inlineStr">
        <is>
          <t> </t>
        </is>
      </c>
      <c r="AM153" s="183" t="inlineStr">
        <is>
          <t> </t>
        </is>
      </c>
      <c r="AN153" s="183" t="inlineStr">
        <is>
          <t> </t>
        </is>
      </c>
      <c r="AO153" s="183" t="inlineStr">
        <is>
          <t> </t>
        </is>
      </c>
      <c r="AP153" s="183" t="inlineStr">
        <is>
          <t> </t>
        </is>
      </c>
      <c r="AQ153" s="183" t="inlineStr">
        <is>
          <t> </t>
        </is>
      </c>
      <c r="AR153" s="183" t="inlineStr">
        <is>
          <t> </t>
        </is>
      </c>
      <c r="AS153" s="183" t="inlineStr">
        <is>
          <t> </t>
        </is>
      </c>
      <c r="AT153" s="183" t="inlineStr">
        <is>
          <t> </t>
        </is>
      </c>
      <c r="AU153" s="183" t="inlineStr">
        <is>
          <t> </t>
        </is>
      </c>
      <c r="AV153" s="183" t="inlineStr">
        <is>
          <t> </t>
        </is>
      </c>
      <c r="AW153" s="183" t="inlineStr">
        <is>
          <t> </t>
        </is>
      </c>
      <c r="AX153" s="183" t="inlineStr">
        <is>
          <t> </t>
        </is>
      </c>
      <c r="AY153" s="210" t="inlineStr">
        <is>
          <t>EM EXECUÇÃO</t>
        </is>
      </c>
      <c r="AZ153" s="210" t="inlineStr">
        <is>
          <t>NI</t>
        </is>
      </c>
      <c r="BA153" s="210" t="inlineStr">
        <is>
          <t>NI</t>
        </is>
      </c>
      <c r="BB153" s="210" t="inlineStr">
        <is>
          <t>NI</t>
        </is>
      </c>
      <c r="BC153" s="212" t="n"/>
      <c r="BD153" s="210" t="n"/>
      <c r="BE153" s="210" t="n"/>
      <c r="BF153" s="178" t="n"/>
      <c r="BG153" s="210" t="n"/>
      <c r="BH153" s="210" t="n"/>
      <c r="BI153" s="210" t="n"/>
      <c r="BJ153" s="210" t="n"/>
      <c r="BK153" s="210" t="n"/>
      <c r="BL153" s="210" t="n"/>
      <c r="BM153" s="210" t="n"/>
      <c r="BN153" s="210" t="n"/>
      <c r="BO153" s="210" t="n"/>
      <c r="BP153" s="210" t="n"/>
      <c r="BQ153" s="210" t="n"/>
      <c r="BR153" s="210" t="n"/>
      <c r="BS153" s="210" t="n"/>
      <c r="BT153" s="212" t="n"/>
      <c r="BU153" s="177" t="n"/>
    </row>
    <row r="154" ht="60" customHeight="1">
      <c r="A154" s="178" t="inlineStr">
        <is>
          <t>SUDESTE</t>
        </is>
      </c>
      <c r="B154" s="207" t="inlineStr">
        <is>
          <t>SP</t>
        </is>
      </c>
      <c r="C154" s="29" t="inlineStr">
        <is>
          <t>JAU</t>
        </is>
      </c>
      <c r="D154" s="178" t="inlineStr">
        <is>
          <t>FUNDACAO DR AMARAL CARVALHO</t>
        </is>
      </c>
      <c r="E154" s="208" t="inlineStr">
        <is>
          <t>50753755000135</t>
        </is>
      </c>
      <c r="F154" s="29" t="inlineStr">
        <is>
          <t>FUNDACAO DR AMARAL CARVALHO</t>
        </is>
      </c>
      <c r="G154" s="209" t="inlineStr">
        <is>
          <t>2083086</t>
        </is>
      </c>
      <c r="H154" s="210" t="n"/>
      <c r="I154" s="210" t="n"/>
      <c r="J154" s="210" t="n"/>
      <c r="K154" s="210" t="inlineStr">
        <is>
          <t>Indireta</t>
        </is>
      </c>
      <c r="L154" s="211" t="inlineStr">
        <is>
          <t>Transferegov/SEI</t>
        </is>
      </c>
      <c r="M154" s="211" t="inlineStr">
        <is>
          <t>Convênio</t>
        </is>
      </c>
      <c r="N154" s="207" t="n">
        <v>2023</v>
      </c>
      <c r="O154" s="207" t="n">
        <v>944132</v>
      </c>
      <c r="P154" s="207" t="n">
        <v>95075323002</v>
      </c>
      <c r="Q154" s="210" t="n"/>
      <c r="R154" s="178" t="n"/>
      <c r="S154" s="210" t="n"/>
      <c r="T154" s="29" t="inlineStr">
        <is>
          <t>Microscópio Laboratorial</t>
        </is>
      </c>
      <c r="U154" s="210" t="n"/>
      <c r="V154" s="210" t="n">
        <v>1</v>
      </c>
      <c r="W154" s="182" t="inlineStr">
        <is>
          <t xml:space="preserve"> UND</t>
        </is>
      </c>
      <c r="X154" s="210" t="inlineStr">
        <is>
          <t>EQUIPAMENTO</t>
        </is>
      </c>
      <c r="Y154" s="178" t="n"/>
      <c r="Z154" s="211" t="inlineStr">
        <is>
          <t xml:space="preserve"> NA</t>
        </is>
      </c>
      <c r="AA154" s="212" t="n"/>
      <c r="AB154" s="212" t="n"/>
      <c r="AC154" s="212" t="n"/>
      <c r="AD154" s="211" t="inlineStr">
        <is>
          <t>NI</t>
        </is>
      </c>
      <c r="AE154" s="211" t="inlineStr">
        <is>
          <t>NI</t>
        </is>
      </c>
      <c r="AF154" s="211" t="inlineStr">
        <is>
          <t>NI</t>
        </is>
      </c>
      <c r="AG154" s="177" t="n">
        <v>100000</v>
      </c>
      <c r="AH154" s="177" t="n"/>
      <c r="AI154" s="212" t="n"/>
      <c r="AJ154" s="182" t="n">
        <v>8535</v>
      </c>
      <c r="AK154" s="183" t="inlineStr">
        <is>
          <t> </t>
        </is>
      </c>
      <c r="AL154" s="183" t="inlineStr">
        <is>
          <t> </t>
        </is>
      </c>
      <c r="AM154" s="183" t="inlineStr">
        <is>
          <t> </t>
        </is>
      </c>
      <c r="AN154" s="183" t="inlineStr">
        <is>
          <t> </t>
        </is>
      </c>
      <c r="AO154" s="183" t="inlineStr">
        <is>
          <t> </t>
        </is>
      </c>
      <c r="AP154" s="183" t="inlineStr">
        <is>
          <t> </t>
        </is>
      </c>
      <c r="AQ154" s="183" t="inlineStr">
        <is>
          <t> </t>
        </is>
      </c>
      <c r="AR154" s="183" t="inlineStr">
        <is>
          <t> </t>
        </is>
      </c>
      <c r="AS154" s="183" t="inlineStr">
        <is>
          <t> </t>
        </is>
      </c>
      <c r="AT154" s="183" t="inlineStr">
        <is>
          <t> </t>
        </is>
      </c>
      <c r="AU154" s="183" t="inlineStr">
        <is>
          <t> </t>
        </is>
      </c>
      <c r="AV154" s="183" t="inlineStr">
        <is>
          <t> </t>
        </is>
      </c>
      <c r="AW154" s="183" t="inlineStr">
        <is>
          <t> </t>
        </is>
      </c>
      <c r="AX154" s="183" t="inlineStr">
        <is>
          <t> </t>
        </is>
      </c>
      <c r="AY154" s="210" t="inlineStr">
        <is>
          <t>PRESTAÇÃO DE CONTAS EM ANÁLISE</t>
        </is>
      </c>
      <c r="AZ154" s="210" t="inlineStr">
        <is>
          <t>NI</t>
        </is>
      </c>
      <c r="BA154" s="210" t="inlineStr">
        <is>
          <t>NI</t>
        </is>
      </c>
      <c r="BB154" s="210" t="inlineStr">
        <is>
          <t>NI</t>
        </is>
      </c>
      <c r="BC154" s="212" t="n"/>
      <c r="BD154" s="210" t="n"/>
      <c r="BE154" s="210" t="n"/>
      <c r="BF154" s="178" t="n"/>
      <c r="BG154" s="210" t="n"/>
      <c r="BH154" s="210" t="n"/>
      <c r="BI154" s="210" t="n"/>
      <c r="BJ154" s="210" t="n"/>
      <c r="BK154" s="210" t="n"/>
      <c r="BL154" s="210" t="n"/>
      <c r="BM154" s="210" t="n"/>
      <c r="BN154" s="210" t="n"/>
      <c r="BO154" s="210" t="n"/>
      <c r="BP154" s="210" t="n"/>
      <c r="BQ154" s="210" t="n"/>
      <c r="BR154" s="210" t="n"/>
      <c r="BS154" s="210" t="n"/>
      <c r="BT154" s="212" t="n"/>
      <c r="BU154" s="177" t="n"/>
    </row>
    <row r="155" ht="60" customHeight="1">
      <c r="A155" s="178" t="inlineStr">
        <is>
          <t>SUDESTE</t>
        </is>
      </c>
      <c r="B155" s="207" t="inlineStr">
        <is>
          <t>SP</t>
        </is>
      </c>
      <c r="C155" s="29" t="inlineStr">
        <is>
          <t>JAU</t>
        </is>
      </c>
      <c r="D155" s="178" t="inlineStr">
        <is>
          <t>FUNDACAO DR AMARAL CARVALHO</t>
        </is>
      </c>
      <c r="E155" s="208" t="inlineStr">
        <is>
          <t>50753755000135</t>
        </is>
      </c>
      <c r="F155" s="29" t="inlineStr">
        <is>
          <t>FUNDACAO DR AMARAL CARVALHO</t>
        </is>
      </c>
      <c r="G155" s="209" t="inlineStr">
        <is>
          <t>2083086</t>
        </is>
      </c>
      <c r="H155" s="210" t="n"/>
      <c r="I155" s="210" t="n"/>
      <c r="J155" s="210" t="n"/>
      <c r="K155" s="210" t="inlineStr">
        <is>
          <t>Indireta</t>
        </is>
      </c>
      <c r="L155" s="211" t="inlineStr">
        <is>
          <t>Transferegov/SEI</t>
        </is>
      </c>
      <c r="M155" s="211" t="inlineStr">
        <is>
          <t>Convênio</t>
        </is>
      </c>
      <c r="N155" s="207" t="n">
        <v>2023</v>
      </c>
      <c r="O155" s="207" t="n">
        <v>944132</v>
      </c>
      <c r="P155" s="207" t="n">
        <v>95075323002</v>
      </c>
      <c r="Q155" s="210" t="n"/>
      <c r="R155" s="178" t="n"/>
      <c r="S155" s="210" t="n"/>
      <c r="T155" s="29" t="inlineStr">
        <is>
          <t>Carro Maca Avançado</t>
        </is>
      </c>
      <c r="U155" s="210" t="n"/>
      <c r="V155" s="210" t="n">
        <v>4</v>
      </c>
      <c r="W155" s="182" t="inlineStr">
        <is>
          <t xml:space="preserve"> UND</t>
        </is>
      </c>
      <c r="X155" s="210" t="inlineStr">
        <is>
          <t>EQUIPAMENTO</t>
        </is>
      </c>
      <c r="Y155" s="178" t="n"/>
      <c r="Z155" s="211" t="inlineStr">
        <is>
          <t xml:space="preserve"> NA</t>
        </is>
      </c>
      <c r="AA155" s="212" t="n"/>
      <c r="AB155" s="212" t="n"/>
      <c r="AC155" s="212" t="n"/>
      <c r="AD155" s="211" t="inlineStr">
        <is>
          <t>NI</t>
        </is>
      </c>
      <c r="AE155" s="211" t="inlineStr">
        <is>
          <t>NI</t>
        </is>
      </c>
      <c r="AF155" s="211" t="inlineStr">
        <is>
          <t>NI</t>
        </is>
      </c>
      <c r="AG155" s="177" t="n">
        <v>100000</v>
      </c>
      <c r="AH155" s="177" t="n"/>
      <c r="AI155" s="212" t="n"/>
      <c r="AJ155" s="182" t="n">
        <v>8535</v>
      </c>
      <c r="AK155" s="183" t="inlineStr">
        <is>
          <t> </t>
        </is>
      </c>
      <c r="AL155" s="183" t="inlineStr">
        <is>
          <t> </t>
        </is>
      </c>
      <c r="AM155" s="183" t="inlineStr">
        <is>
          <t> </t>
        </is>
      </c>
      <c r="AN155" s="183" t="inlineStr">
        <is>
          <t> </t>
        </is>
      </c>
      <c r="AO155" s="183" t="inlineStr">
        <is>
          <t> </t>
        </is>
      </c>
      <c r="AP155" s="183" t="inlineStr">
        <is>
          <t> </t>
        </is>
      </c>
      <c r="AQ155" s="183" t="inlineStr">
        <is>
          <t> </t>
        </is>
      </c>
      <c r="AR155" s="183" t="inlineStr">
        <is>
          <t> </t>
        </is>
      </c>
      <c r="AS155" s="183" t="inlineStr">
        <is>
          <t> </t>
        </is>
      </c>
      <c r="AT155" s="183" t="inlineStr">
        <is>
          <t> </t>
        </is>
      </c>
      <c r="AU155" s="183" t="inlineStr">
        <is>
          <t> </t>
        </is>
      </c>
      <c r="AV155" s="183" t="inlineStr">
        <is>
          <t> </t>
        </is>
      </c>
      <c r="AW155" s="183" t="inlineStr">
        <is>
          <t> </t>
        </is>
      </c>
      <c r="AX155" s="183" t="inlineStr">
        <is>
          <t> </t>
        </is>
      </c>
      <c r="AY155" s="210" t="inlineStr">
        <is>
          <t>PRESTAÇÃO DE CONTAS EM ANÁLISE</t>
        </is>
      </c>
      <c r="AZ155" s="210" t="inlineStr">
        <is>
          <t>NI</t>
        </is>
      </c>
      <c r="BA155" s="210" t="inlineStr">
        <is>
          <t>NI</t>
        </is>
      </c>
      <c r="BB155" s="210" t="inlineStr">
        <is>
          <t>NI</t>
        </is>
      </c>
      <c r="BC155" s="212" t="n"/>
      <c r="BD155" s="210" t="n"/>
      <c r="BE155" s="210" t="n"/>
      <c r="BF155" s="178" t="n"/>
      <c r="BG155" s="210" t="n"/>
      <c r="BH155" s="210" t="n"/>
      <c r="BI155" s="210" t="n"/>
      <c r="BJ155" s="210" t="n"/>
      <c r="BK155" s="210" t="n"/>
      <c r="BL155" s="210" t="n"/>
      <c r="BM155" s="210" t="n"/>
      <c r="BN155" s="210" t="n"/>
      <c r="BO155" s="210" t="n"/>
      <c r="BP155" s="210" t="n"/>
      <c r="BQ155" s="210" t="n"/>
      <c r="BR155" s="210" t="n"/>
      <c r="BS155" s="210" t="n"/>
      <c r="BT155" s="212" t="n"/>
      <c r="BU155" s="177" t="n"/>
    </row>
    <row r="156" ht="60" customHeight="1">
      <c r="A156" s="178" t="inlineStr">
        <is>
          <t>SUDESTE</t>
        </is>
      </c>
      <c r="B156" s="207" t="inlineStr">
        <is>
          <t>SP</t>
        </is>
      </c>
      <c r="C156" s="29" t="inlineStr">
        <is>
          <t>JAU</t>
        </is>
      </c>
      <c r="D156" s="178" t="inlineStr">
        <is>
          <t>FUNDACAO DR AMARAL CARVALHO</t>
        </is>
      </c>
      <c r="E156" s="208" t="inlineStr">
        <is>
          <t>50753755000135</t>
        </is>
      </c>
      <c r="F156" s="29" t="inlineStr">
        <is>
          <t>FUNDACAO DR AMARAL CARVALHO</t>
        </is>
      </c>
      <c r="G156" s="209" t="inlineStr">
        <is>
          <t>2083086</t>
        </is>
      </c>
      <c r="H156" s="210" t="n"/>
      <c r="I156" s="210" t="n"/>
      <c r="J156" s="210" t="n"/>
      <c r="K156" s="210" t="inlineStr">
        <is>
          <t>Indireta</t>
        </is>
      </c>
      <c r="L156" s="211" t="inlineStr">
        <is>
          <t>Transferegov/SEI</t>
        </is>
      </c>
      <c r="M156" s="211" t="inlineStr">
        <is>
          <t>Convênio</t>
        </is>
      </c>
      <c r="N156" s="207" t="n">
        <v>2023</v>
      </c>
      <c r="O156" s="207" t="n">
        <v>944519</v>
      </c>
      <c r="P156" s="207" t="n">
        <v>95075323003</v>
      </c>
      <c r="Q156" s="210" t="n"/>
      <c r="R156" s="178" t="n"/>
      <c r="S156" s="210" t="n"/>
      <c r="T156" s="29" t="inlineStr">
        <is>
          <t>Cadeira de Banho/ Higiênica</t>
        </is>
      </c>
      <c r="U156" s="210" t="n"/>
      <c r="V156" s="210" t="n">
        <v>3</v>
      </c>
      <c r="W156" s="182" t="inlineStr">
        <is>
          <t xml:space="preserve"> UND</t>
        </is>
      </c>
      <c r="X156" s="210" t="inlineStr">
        <is>
          <t>EQUIPAMENTO</t>
        </is>
      </c>
      <c r="Y156" s="178" t="n"/>
      <c r="Z156" s="211" t="inlineStr">
        <is>
          <t xml:space="preserve"> NA</t>
        </is>
      </c>
      <c r="AA156" s="212" t="n"/>
      <c r="AB156" s="212" t="n"/>
      <c r="AC156" s="212" t="n"/>
      <c r="AD156" s="211" t="inlineStr">
        <is>
          <t>NI</t>
        </is>
      </c>
      <c r="AE156" s="211" t="inlineStr">
        <is>
          <t>NI</t>
        </is>
      </c>
      <c r="AF156" s="211" t="inlineStr">
        <is>
          <t>NI</t>
        </is>
      </c>
      <c r="AG156" s="177" t="n">
        <v>499999</v>
      </c>
      <c r="AH156" s="177" t="n"/>
      <c r="AI156" s="212" t="n"/>
      <c r="AJ156" s="182" t="n">
        <v>8535</v>
      </c>
      <c r="AK156" s="183" t="inlineStr">
        <is>
          <t> </t>
        </is>
      </c>
      <c r="AL156" s="183" t="inlineStr">
        <is>
          <t> </t>
        </is>
      </c>
      <c r="AM156" s="183" t="inlineStr">
        <is>
          <t> </t>
        </is>
      </c>
      <c r="AN156" s="183" t="inlineStr">
        <is>
          <t> </t>
        </is>
      </c>
      <c r="AO156" s="183" t="inlineStr">
        <is>
          <t> </t>
        </is>
      </c>
      <c r="AP156" s="183" t="inlineStr">
        <is>
          <t> </t>
        </is>
      </c>
      <c r="AQ156" s="183" t="inlineStr">
        <is>
          <t> </t>
        </is>
      </c>
      <c r="AR156" s="183" t="inlineStr">
        <is>
          <t> </t>
        </is>
      </c>
      <c r="AS156" s="183" t="inlineStr">
        <is>
          <t> </t>
        </is>
      </c>
      <c r="AT156" s="183" t="inlineStr">
        <is>
          <t> </t>
        </is>
      </c>
      <c r="AU156" s="183" t="inlineStr">
        <is>
          <t> </t>
        </is>
      </c>
      <c r="AV156" s="183" t="inlineStr">
        <is>
          <t> </t>
        </is>
      </c>
      <c r="AW156" s="183" t="inlineStr">
        <is>
          <t> </t>
        </is>
      </c>
      <c r="AX156" s="183" t="inlineStr">
        <is>
          <t> </t>
        </is>
      </c>
      <c r="AY156" s="210" t="inlineStr">
        <is>
          <t>PRESTAÇÃO DE CONTAS ENVIADA PARA ANÁLISE</t>
        </is>
      </c>
      <c r="AZ156" s="210" t="inlineStr">
        <is>
          <t>NI</t>
        </is>
      </c>
      <c r="BA156" s="210" t="inlineStr">
        <is>
          <t>NI</t>
        </is>
      </c>
      <c r="BB156" s="210" t="inlineStr">
        <is>
          <t>NI</t>
        </is>
      </c>
      <c r="BC156" s="212" t="n"/>
      <c r="BD156" s="210" t="n"/>
      <c r="BE156" s="210" t="n"/>
      <c r="BF156" s="178" t="n"/>
      <c r="BG156" s="210" t="n"/>
      <c r="BH156" s="210" t="n"/>
      <c r="BI156" s="210" t="n"/>
      <c r="BJ156" s="210" t="n"/>
      <c r="BK156" s="210" t="n"/>
      <c r="BL156" s="210" t="n"/>
      <c r="BM156" s="210" t="n"/>
      <c r="BN156" s="210" t="n"/>
      <c r="BO156" s="210" t="n"/>
      <c r="BP156" s="210" t="n"/>
      <c r="BQ156" s="210" t="n"/>
      <c r="BR156" s="210" t="n"/>
      <c r="BS156" s="210" t="n"/>
      <c r="BT156" s="212" t="n"/>
      <c r="BU156" s="177" t="n"/>
    </row>
    <row r="157" ht="60" customHeight="1">
      <c r="A157" s="178" t="inlineStr">
        <is>
          <t>SUDESTE</t>
        </is>
      </c>
      <c r="B157" s="207" t="inlineStr">
        <is>
          <t>SP</t>
        </is>
      </c>
      <c r="C157" s="29" t="inlineStr">
        <is>
          <t>JAU</t>
        </is>
      </c>
      <c r="D157" s="178" t="inlineStr">
        <is>
          <t>FUNDACAO DR AMARAL CARVALHO</t>
        </is>
      </c>
      <c r="E157" s="208" t="inlineStr">
        <is>
          <t>50753755000135</t>
        </is>
      </c>
      <c r="F157" s="29" t="inlineStr">
        <is>
          <t>FUNDACAO DR AMARAL CARVALHO</t>
        </is>
      </c>
      <c r="G157" s="209" t="inlineStr">
        <is>
          <t>2083086</t>
        </is>
      </c>
      <c r="H157" s="210" t="n"/>
      <c r="I157" s="210" t="n"/>
      <c r="J157" s="210" t="n"/>
      <c r="K157" s="210" t="inlineStr">
        <is>
          <t>Indireta</t>
        </is>
      </c>
      <c r="L157" s="211" t="inlineStr">
        <is>
          <t>Transferegov/SEI</t>
        </is>
      </c>
      <c r="M157" s="211" t="inlineStr">
        <is>
          <t>Convênio</t>
        </is>
      </c>
      <c r="N157" s="207" t="n">
        <v>2023</v>
      </c>
      <c r="O157" s="207" t="n">
        <v>944519</v>
      </c>
      <c r="P157" s="207" t="n">
        <v>95075323003</v>
      </c>
      <c r="Q157" s="210" t="n"/>
      <c r="R157" s="178" t="n"/>
      <c r="S157" s="210" t="n"/>
      <c r="T157" s="29" t="inlineStr">
        <is>
          <t>Poltrona Hospitalar</t>
        </is>
      </c>
      <c r="U157" s="210" t="n"/>
      <c r="V157" s="210" t="n">
        <v>3</v>
      </c>
      <c r="W157" s="182" t="inlineStr">
        <is>
          <t xml:space="preserve"> UND</t>
        </is>
      </c>
      <c r="X157" s="210" t="inlineStr">
        <is>
          <t>EQUIPAMENTO</t>
        </is>
      </c>
      <c r="Y157" s="178" t="n"/>
      <c r="Z157" s="211" t="inlineStr">
        <is>
          <t xml:space="preserve"> NA</t>
        </is>
      </c>
      <c r="AA157" s="212" t="n"/>
      <c r="AB157" s="212" t="n"/>
      <c r="AC157" s="212" t="n"/>
      <c r="AD157" s="211" t="inlineStr">
        <is>
          <t>NI</t>
        </is>
      </c>
      <c r="AE157" s="211" t="inlineStr">
        <is>
          <t>NI</t>
        </is>
      </c>
      <c r="AF157" s="211" t="inlineStr">
        <is>
          <t>NI</t>
        </is>
      </c>
      <c r="AG157" s="177" t="n">
        <v>499999</v>
      </c>
      <c r="AH157" s="177" t="n"/>
      <c r="AI157" s="212" t="n"/>
      <c r="AJ157" s="182" t="n">
        <v>8535</v>
      </c>
      <c r="AK157" s="183" t="inlineStr">
        <is>
          <t> </t>
        </is>
      </c>
      <c r="AL157" s="183" t="inlineStr">
        <is>
          <t> </t>
        </is>
      </c>
      <c r="AM157" s="183" t="inlineStr">
        <is>
          <t> </t>
        </is>
      </c>
      <c r="AN157" s="183" t="inlineStr">
        <is>
          <t> </t>
        </is>
      </c>
      <c r="AO157" s="183" t="inlineStr">
        <is>
          <t> </t>
        </is>
      </c>
      <c r="AP157" s="183" t="inlineStr">
        <is>
          <t> </t>
        </is>
      </c>
      <c r="AQ157" s="183" t="inlineStr">
        <is>
          <t> </t>
        </is>
      </c>
      <c r="AR157" s="183" t="inlineStr">
        <is>
          <t> </t>
        </is>
      </c>
      <c r="AS157" s="183" t="inlineStr">
        <is>
          <t> </t>
        </is>
      </c>
      <c r="AT157" s="183" t="inlineStr">
        <is>
          <t> </t>
        </is>
      </c>
      <c r="AU157" s="183" t="inlineStr">
        <is>
          <t> </t>
        </is>
      </c>
      <c r="AV157" s="183" t="inlineStr">
        <is>
          <t> </t>
        </is>
      </c>
      <c r="AW157" s="183" t="inlineStr">
        <is>
          <t> </t>
        </is>
      </c>
      <c r="AX157" s="183" t="inlineStr">
        <is>
          <t> </t>
        </is>
      </c>
      <c r="AY157" s="210" t="inlineStr">
        <is>
          <t>PRESTAÇÃO DE CONTAS ENVIADA PARA ANÁLISE</t>
        </is>
      </c>
      <c r="AZ157" s="210" t="inlineStr">
        <is>
          <t>NI</t>
        </is>
      </c>
      <c r="BA157" s="210" t="inlineStr">
        <is>
          <t>NI</t>
        </is>
      </c>
      <c r="BB157" s="210" t="inlineStr">
        <is>
          <t>NI</t>
        </is>
      </c>
      <c r="BC157" s="212" t="n"/>
      <c r="BD157" s="210" t="n"/>
      <c r="BE157" s="210" t="n"/>
      <c r="BF157" s="178" t="n"/>
      <c r="BG157" s="210" t="n"/>
      <c r="BH157" s="210" t="n"/>
      <c r="BI157" s="210" t="n"/>
      <c r="BJ157" s="210" t="n"/>
      <c r="BK157" s="210" t="n"/>
      <c r="BL157" s="210" t="n"/>
      <c r="BM157" s="210" t="n"/>
      <c r="BN157" s="210" t="n"/>
      <c r="BO157" s="210" t="n"/>
      <c r="BP157" s="210" t="n"/>
      <c r="BQ157" s="210" t="n"/>
      <c r="BR157" s="210" t="n"/>
      <c r="BS157" s="210" t="n"/>
      <c r="BT157" s="212" t="n"/>
      <c r="BU157" s="177" t="n"/>
    </row>
    <row r="158" ht="60" customHeight="1">
      <c r="A158" s="178" t="inlineStr">
        <is>
          <t>SUDESTE</t>
        </is>
      </c>
      <c r="B158" s="207" t="inlineStr">
        <is>
          <t>SP</t>
        </is>
      </c>
      <c r="C158" s="29" t="inlineStr">
        <is>
          <t>JAU</t>
        </is>
      </c>
      <c r="D158" s="178" t="inlineStr">
        <is>
          <t>FUNDACAO DR AMARAL CARVALHO</t>
        </is>
      </c>
      <c r="E158" s="208" t="inlineStr">
        <is>
          <t>50753755000135</t>
        </is>
      </c>
      <c r="F158" s="29" t="inlineStr">
        <is>
          <t>FUNDACAO DR AMARAL CARVALHO</t>
        </is>
      </c>
      <c r="G158" s="209" t="inlineStr">
        <is>
          <t>2083086</t>
        </is>
      </c>
      <c r="H158" s="210" t="n"/>
      <c r="I158" s="210" t="n"/>
      <c r="J158" s="210" t="n"/>
      <c r="K158" s="210" t="inlineStr">
        <is>
          <t>Indireta</t>
        </is>
      </c>
      <c r="L158" s="211" t="inlineStr">
        <is>
          <t>Transferegov/SEI</t>
        </is>
      </c>
      <c r="M158" s="211" t="inlineStr">
        <is>
          <t>Convênio</t>
        </is>
      </c>
      <c r="N158" s="207" t="n">
        <v>2023</v>
      </c>
      <c r="O158" s="207" t="n">
        <v>944519</v>
      </c>
      <c r="P158" s="207" t="n">
        <v>95075323003</v>
      </c>
      <c r="Q158" s="210" t="n"/>
      <c r="R158" s="178" t="n"/>
      <c r="S158" s="210" t="n"/>
      <c r="T158" s="29" t="inlineStr">
        <is>
          <t>Carro Maca Avançado</t>
        </is>
      </c>
      <c r="U158" s="210" t="n"/>
      <c r="V158" s="210" t="n">
        <v>23</v>
      </c>
      <c r="W158" s="182" t="inlineStr">
        <is>
          <t xml:space="preserve"> UND</t>
        </is>
      </c>
      <c r="X158" s="210" t="inlineStr">
        <is>
          <t>EQUIPAMENTO</t>
        </is>
      </c>
      <c r="Y158" s="178" t="n"/>
      <c r="Z158" s="211" t="inlineStr">
        <is>
          <t xml:space="preserve"> NA</t>
        </is>
      </c>
      <c r="AA158" s="212" t="n"/>
      <c r="AB158" s="212" t="n"/>
      <c r="AC158" s="212" t="n"/>
      <c r="AD158" s="211" t="inlineStr">
        <is>
          <t>NI</t>
        </is>
      </c>
      <c r="AE158" s="211" t="inlineStr">
        <is>
          <t>NI</t>
        </is>
      </c>
      <c r="AF158" s="211" t="inlineStr">
        <is>
          <t>NI</t>
        </is>
      </c>
      <c r="AG158" s="177" t="n">
        <v>499999</v>
      </c>
      <c r="AH158" s="177" t="n"/>
      <c r="AI158" s="212" t="n"/>
      <c r="AJ158" s="182" t="n">
        <v>8535</v>
      </c>
      <c r="AK158" s="183" t="inlineStr">
        <is>
          <t> </t>
        </is>
      </c>
      <c r="AL158" s="183" t="inlineStr">
        <is>
          <t> </t>
        </is>
      </c>
      <c r="AM158" s="183" t="inlineStr">
        <is>
          <t> </t>
        </is>
      </c>
      <c r="AN158" s="183" t="inlineStr">
        <is>
          <t> </t>
        </is>
      </c>
      <c r="AO158" s="183" t="inlineStr">
        <is>
          <t> </t>
        </is>
      </c>
      <c r="AP158" s="183" t="inlineStr">
        <is>
          <t> </t>
        </is>
      </c>
      <c r="AQ158" s="183" t="inlineStr">
        <is>
          <t> </t>
        </is>
      </c>
      <c r="AR158" s="183" t="inlineStr">
        <is>
          <t> </t>
        </is>
      </c>
      <c r="AS158" s="183" t="inlineStr">
        <is>
          <t> </t>
        </is>
      </c>
      <c r="AT158" s="183" t="inlineStr">
        <is>
          <t> </t>
        </is>
      </c>
      <c r="AU158" s="183" t="inlineStr">
        <is>
          <t> </t>
        </is>
      </c>
      <c r="AV158" s="183" t="inlineStr">
        <is>
          <t> </t>
        </is>
      </c>
      <c r="AW158" s="183" t="inlineStr">
        <is>
          <t> </t>
        </is>
      </c>
      <c r="AX158" s="183" t="inlineStr">
        <is>
          <t> </t>
        </is>
      </c>
      <c r="AY158" s="210" t="inlineStr">
        <is>
          <t>PRESTAÇÃO DE CONTAS ENVIADA PARA ANÁLISE</t>
        </is>
      </c>
      <c r="AZ158" s="210" t="inlineStr">
        <is>
          <t>NI</t>
        </is>
      </c>
      <c r="BA158" s="210" t="inlineStr">
        <is>
          <t>NI</t>
        </is>
      </c>
      <c r="BB158" s="210" t="inlineStr">
        <is>
          <t>NI</t>
        </is>
      </c>
      <c r="BC158" s="212" t="n"/>
      <c r="BD158" s="210" t="n"/>
      <c r="BE158" s="210" t="n"/>
      <c r="BF158" s="178" t="n"/>
      <c r="BG158" s="210" t="n"/>
      <c r="BH158" s="210" t="n"/>
      <c r="BI158" s="210" t="n"/>
      <c r="BJ158" s="210" t="n"/>
      <c r="BK158" s="210" t="n"/>
      <c r="BL158" s="210" t="n"/>
      <c r="BM158" s="210" t="n"/>
      <c r="BN158" s="210" t="n"/>
      <c r="BO158" s="210" t="n"/>
      <c r="BP158" s="210" t="n"/>
      <c r="BQ158" s="210" t="n"/>
      <c r="BR158" s="210" t="n"/>
      <c r="BS158" s="210" t="n"/>
      <c r="BT158" s="212" t="n"/>
      <c r="BU158" s="177" t="n"/>
    </row>
    <row r="159" ht="60" customHeight="1">
      <c r="A159" s="178" t="inlineStr">
        <is>
          <t>SUDESTE</t>
        </is>
      </c>
      <c r="B159" s="207" t="inlineStr">
        <is>
          <t>SP</t>
        </is>
      </c>
      <c r="C159" s="29" t="inlineStr">
        <is>
          <t>SAO PAULO</t>
        </is>
      </c>
      <c r="D159" s="178" t="inlineStr">
        <is>
          <t>FUNDACAO FACULDADE DE MEDICINA MEC MPAS</t>
        </is>
      </c>
      <c r="E159" s="208" t="inlineStr">
        <is>
          <t>56577059000100</t>
        </is>
      </c>
      <c r="F159" s="29" t="inlineStr">
        <is>
          <t>FUNDACAO FACULDADE DE MEDICINA MEC MPAS</t>
        </is>
      </c>
      <c r="G159" s="209" t="inlineStr">
        <is>
          <t>2078015</t>
        </is>
      </c>
      <c r="H159" s="210" t="n"/>
      <c r="I159" s="210" t="n"/>
      <c r="J159" s="210" t="n"/>
      <c r="K159" s="210" t="inlineStr">
        <is>
          <t>Indireta</t>
        </is>
      </c>
      <c r="L159" s="211" t="inlineStr">
        <is>
          <t>Transferegov/SEI</t>
        </is>
      </c>
      <c r="M159" s="211" t="inlineStr">
        <is>
          <t>Convênio</t>
        </is>
      </c>
      <c r="N159" s="207" t="n">
        <v>2023</v>
      </c>
      <c r="O159" s="207" t="n">
        <v>949766</v>
      </c>
      <c r="P159" s="207" t="n">
        <v>95657723021</v>
      </c>
      <c r="Q159" s="210" t="n"/>
      <c r="R159" s="178" t="n"/>
      <c r="S159" s="210" t="n"/>
      <c r="T159" s="29" t="inlineStr">
        <is>
          <t>Berço Hospitalar com Grades</t>
        </is>
      </c>
      <c r="U159" s="210" t="n"/>
      <c r="V159" s="210" t="n">
        <v>12</v>
      </c>
      <c r="W159" s="182" t="inlineStr">
        <is>
          <t xml:space="preserve"> UND</t>
        </is>
      </c>
      <c r="X159" s="210" t="inlineStr">
        <is>
          <t>EQUIPAMENTO</t>
        </is>
      </c>
      <c r="Y159" s="178" t="n"/>
      <c r="Z159" s="211" t="inlineStr">
        <is>
          <t xml:space="preserve"> NA</t>
        </is>
      </c>
      <c r="AA159" s="212" t="n"/>
      <c r="AB159" s="212" t="n"/>
      <c r="AC159" s="212" t="n"/>
      <c r="AD159" s="211" t="inlineStr">
        <is>
          <t>NI</t>
        </is>
      </c>
      <c r="AE159" s="211" t="inlineStr">
        <is>
          <t>NI</t>
        </is>
      </c>
      <c r="AF159" s="211" t="inlineStr">
        <is>
          <t>NI</t>
        </is>
      </c>
      <c r="AG159" s="177" t="n">
        <v>252000</v>
      </c>
      <c r="AH159" s="177" t="n"/>
      <c r="AI159" s="212" t="n"/>
      <c r="AJ159" s="182" t="n">
        <v>8535</v>
      </c>
      <c r="AK159" s="183" t="inlineStr">
        <is>
          <t> </t>
        </is>
      </c>
      <c r="AL159" s="183" t="inlineStr">
        <is>
          <t> </t>
        </is>
      </c>
      <c r="AM159" s="183" t="inlineStr">
        <is>
          <t> </t>
        </is>
      </c>
      <c r="AN159" s="183" t="inlineStr">
        <is>
          <t> </t>
        </is>
      </c>
      <c r="AO159" s="183" t="inlineStr">
        <is>
          <t> </t>
        </is>
      </c>
      <c r="AP159" s="183" t="inlineStr">
        <is>
          <t> </t>
        </is>
      </c>
      <c r="AQ159" s="183" t="inlineStr">
        <is>
          <t> </t>
        </is>
      </c>
      <c r="AR159" s="183" t="inlineStr">
        <is>
          <t> </t>
        </is>
      </c>
      <c r="AS159" s="183" t="inlineStr">
        <is>
          <t> </t>
        </is>
      </c>
      <c r="AT159" s="183" t="inlineStr">
        <is>
          <t> </t>
        </is>
      </c>
      <c r="AU159" s="183" t="inlineStr">
        <is>
          <t> </t>
        </is>
      </c>
      <c r="AV159" s="183" t="inlineStr">
        <is>
          <t> </t>
        </is>
      </c>
      <c r="AW159" s="183" t="inlineStr">
        <is>
          <t> </t>
        </is>
      </c>
      <c r="AX159" s="183" t="inlineStr">
        <is>
          <t> </t>
        </is>
      </c>
      <c r="AY159" s="210" t="inlineStr">
        <is>
          <t>PRESTAÇÃO DE CONTAS ENVIADA PARA ANÁLISE</t>
        </is>
      </c>
      <c r="AZ159" s="210" t="inlineStr">
        <is>
          <t>NI</t>
        </is>
      </c>
      <c r="BA159" s="210" t="inlineStr">
        <is>
          <t>NI</t>
        </is>
      </c>
      <c r="BB159" s="210" t="inlineStr">
        <is>
          <t>NI</t>
        </is>
      </c>
      <c r="BC159" s="212" t="n"/>
      <c r="BD159" s="210" t="n"/>
      <c r="BE159" s="210" t="n"/>
      <c r="BF159" s="178" t="n"/>
      <c r="BG159" s="210" t="n"/>
      <c r="BH159" s="210" t="n"/>
      <c r="BI159" s="210" t="n"/>
      <c r="BJ159" s="210" t="n"/>
      <c r="BK159" s="210" t="n"/>
      <c r="BL159" s="210" t="n"/>
      <c r="BM159" s="210" t="n"/>
      <c r="BN159" s="210" t="n"/>
      <c r="BO159" s="210" t="n"/>
      <c r="BP159" s="210" t="n"/>
      <c r="BQ159" s="210" t="n"/>
      <c r="BR159" s="210" t="n"/>
      <c r="BS159" s="210" t="n"/>
      <c r="BT159" s="212" t="n"/>
      <c r="BU159" s="177" t="n"/>
    </row>
    <row r="160" ht="60" customHeight="1">
      <c r="A160" s="178" t="inlineStr">
        <is>
          <t>SUDESTE</t>
        </is>
      </c>
      <c r="B160" s="207" t="inlineStr">
        <is>
          <t>SP</t>
        </is>
      </c>
      <c r="C160" s="29" t="inlineStr">
        <is>
          <t>SAO PAULO</t>
        </is>
      </c>
      <c r="D160" s="178" t="inlineStr">
        <is>
          <t>INSTITUTO DO CANCER ARNALDO VIEIRA DE CARVALHO</t>
        </is>
      </c>
      <c r="E160" s="208" t="inlineStr">
        <is>
          <t>60945854000172</t>
        </is>
      </c>
      <c r="F160" s="29" t="inlineStr">
        <is>
          <t>INSTITUTO DO CANCER ARNALDO VIEIRA DE CARVALHO</t>
        </is>
      </c>
      <c r="G160" s="209" t="inlineStr">
        <is>
          <t>2080125</t>
        </is>
      </c>
      <c r="H160" s="210" t="n"/>
      <c r="I160" s="210" t="n"/>
      <c r="J160" s="210" t="n"/>
      <c r="K160" s="210" t="inlineStr">
        <is>
          <t>Indireta</t>
        </is>
      </c>
      <c r="L160" s="211" t="inlineStr">
        <is>
          <t>Transferegov/SEI</t>
        </is>
      </c>
      <c r="M160" s="211" t="inlineStr">
        <is>
          <t>Convênio</t>
        </is>
      </c>
      <c r="N160" s="207" t="n">
        <v>2023</v>
      </c>
      <c r="O160" s="207" t="n">
        <v>946563</v>
      </c>
      <c r="P160" s="207" t="n">
        <v>96094523001</v>
      </c>
      <c r="Q160" s="210" t="n"/>
      <c r="R160" s="178" t="n"/>
      <c r="S160" s="210" t="n"/>
      <c r="T160" s="29" t="inlineStr">
        <is>
          <t>Eletrocardiógrafo</t>
        </is>
      </c>
      <c r="U160" s="210" t="n"/>
      <c r="V160" s="210" t="n">
        <v>1</v>
      </c>
      <c r="W160" s="182" t="inlineStr">
        <is>
          <t xml:space="preserve"> UND</t>
        </is>
      </c>
      <c r="X160" s="210" t="inlineStr">
        <is>
          <t>EQUIPAMENTO</t>
        </is>
      </c>
      <c r="Y160" s="178" t="n"/>
      <c r="Z160" s="211" t="inlineStr">
        <is>
          <t xml:space="preserve"> NA</t>
        </is>
      </c>
      <c r="AA160" s="212" t="n"/>
      <c r="AB160" s="212" t="n"/>
      <c r="AC160" s="212" t="n"/>
      <c r="AD160" s="211" t="inlineStr">
        <is>
          <t>NI</t>
        </is>
      </c>
      <c r="AE160" s="211" t="inlineStr">
        <is>
          <t>NI</t>
        </is>
      </c>
      <c r="AF160" s="211" t="inlineStr">
        <is>
          <t>NI</t>
        </is>
      </c>
      <c r="AG160" s="177" t="n">
        <v>186600</v>
      </c>
      <c r="AH160" s="177" t="n"/>
      <c r="AI160" s="212" t="n"/>
      <c r="AJ160" s="182" t="n">
        <v>8535</v>
      </c>
      <c r="AK160" s="183" t="inlineStr">
        <is>
          <t> </t>
        </is>
      </c>
      <c r="AL160" s="183" t="inlineStr">
        <is>
          <t> </t>
        </is>
      </c>
      <c r="AM160" s="183" t="inlineStr">
        <is>
          <t> </t>
        </is>
      </c>
      <c r="AN160" s="183" t="inlineStr">
        <is>
          <t> </t>
        </is>
      </c>
      <c r="AO160" s="183" t="inlineStr">
        <is>
          <t> </t>
        </is>
      </c>
      <c r="AP160" s="183" t="inlineStr">
        <is>
          <t> </t>
        </is>
      </c>
      <c r="AQ160" s="183" t="inlineStr">
        <is>
          <t> </t>
        </is>
      </c>
      <c r="AR160" s="183" t="inlineStr">
        <is>
          <t> </t>
        </is>
      </c>
      <c r="AS160" s="183" t="inlineStr">
        <is>
          <t> </t>
        </is>
      </c>
      <c r="AT160" s="183" t="inlineStr">
        <is>
          <t> </t>
        </is>
      </c>
      <c r="AU160" s="183" t="inlineStr">
        <is>
          <t> </t>
        </is>
      </c>
      <c r="AV160" s="183" t="inlineStr">
        <is>
          <t> </t>
        </is>
      </c>
      <c r="AW160" s="183" t="inlineStr">
        <is>
          <t> </t>
        </is>
      </c>
      <c r="AX160" s="183" t="inlineStr">
        <is>
          <t> </t>
        </is>
      </c>
      <c r="AY160" s="210" t="inlineStr">
        <is>
          <t>EM EXECUÇÃO</t>
        </is>
      </c>
      <c r="AZ160" s="210" t="inlineStr">
        <is>
          <t>NI</t>
        </is>
      </c>
      <c r="BA160" s="210" t="inlineStr">
        <is>
          <t>NI</t>
        </is>
      </c>
      <c r="BB160" s="210" t="inlineStr">
        <is>
          <t>NI</t>
        </is>
      </c>
      <c r="BC160" s="212" t="n"/>
      <c r="BD160" s="210" t="n"/>
      <c r="BE160" s="210" t="n"/>
      <c r="BF160" s="178" t="n"/>
      <c r="BG160" s="210" t="n"/>
      <c r="BH160" s="210" t="n"/>
      <c r="BI160" s="210" t="n"/>
      <c r="BJ160" s="210" t="n"/>
      <c r="BK160" s="210" t="n"/>
      <c r="BL160" s="210" t="n"/>
      <c r="BM160" s="210" t="n"/>
      <c r="BN160" s="210" t="n"/>
      <c r="BO160" s="210" t="n"/>
      <c r="BP160" s="210" t="n"/>
      <c r="BQ160" s="210" t="n"/>
      <c r="BR160" s="210" t="n"/>
      <c r="BS160" s="210" t="n"/>
      <c r="BT160" s="212" t="n"/>
      <c r="BU160" s="177" t="n"/>
    </row>
    <row r="161" ht="60" customHeight="1">
      <c r="A161" s="178" t="inlineStr">
        <is>
          <t>SUDESTE</t>
        </is>
      </c>
      <c r="B161" s="207" t="inlineStr">
        <is>
          <t>SP</t>
        </is>
      </c>
      <c r="C161" s="29" t="inlineStr">
        <is>
          <t>SAO PAULO</t>
        </is>
      </c>
      <c r="D161" s="178" t="inlineStr">
        <is>
          <t>INSTITUTO DO CANCER ARNALDO VIEIRA DE CARVALHO</t>
        </is>
      </c>
      <c r="E161" s="208" t="inlineStr">
        <is>
          <t>60945854000172</t>
        </is>
      </c>
      <c r="F161" s="29" t="inlineStr">
        <is>
          <t>INSTITUTO DO CANCER ARNALDO VIEIRA DE CARVALHO</t>
        </is>
      </c>
      <c r="G161" s="209" t="inlineStr">
        <is>
          <t>2080125</t>
        </is>
      </c>
      <c r="H161" s="210" t="n"/>
      <c r="I161" s="210" t="n"/>
      <c r="J161" s="210" t="n"/>
      <c r="K161" s="210" t="inlineStr">
        <is>
          <t>Indireta</t>
        </is>
      </c>
      <c r="L161" s="211" t="inlineStr">
        <is>
          <t>Transferegov/SEI</t>
        </is>
      </c>
      <c r="M161" s="211" t="inlineStr">
        <is>
          <t>Convênio</t>
        </is>
      </c>
      <c r="N161" s="207" t="n">
        <v>2023</v>
      </c>
      <c r="O161" s="207" t="n">
        <v>946563</v>
      </c>
      <c r="P161" s="207" t="n">
        <v>96094523001</v>
      </c>
      <c r="Q161" s="210" t="n"/>
      <c r="R161" s="178" t="n"/>
      <c r="S161" s="210" t="n"/>
      <c r="T161" s="29" t="inlineStr">
        <is>
          <t>Foco Refletor Ambulatorial</t>
        </is>
      </c>
      <c r="U161" s="210" t="n"/>
      <c r="V161" s="210" t="n">
        <v>2</v>
      </c>
      <c r="W161" s="182" t="inlineStr">
        <is>
          <t xml:space="preserve"> UND</t>
        </is>
      </c>
      <c r="X161" s="210" t="inlineStr">
        <is>
          <t>EQUIPAMENTO</t>
        </is>
      </c>
      <c r="Y161" s="178" t="n"/>
      <c r="Z161" s="211" t="inlineStr">
        <is>
          <t xml:space="preserve"> NA</t>
        </is>
      </c>
      <c r="AA161" s="212" t="n"/>
      <c r="AB161" s="212" t="n"/>
      <c r="AC161" s="212" t="n"/>
      <c r="AD161" s="211" t="inlineStr">
        <is>
          <t>NI</t>
        </is>
      </c>
      <c r="AE161" s="211" t="inlineStr">
        <is>
          <t>NI</t>
        </is>
      </c>
      <c r="AF161" s="211" t="inlineStr">
        <is>
          <t>NI</t>
        </is>
      </c>
      <c r="AG161" s="177" t="n">
        <v>186600</v>
      </c>
      <c r="AH161" s="177" t="n"/>
      <c r="AI161" s="212" t="n"/>
      <c r="AJ161" s="182" t="n">
        <v>8535</v>
      </c>
      <c r="AK161" s="183" t="inlineStr">
        <is>
          <t> </t>
        </is>
      </c>
      <c r="AL161" s="183" t="inlineStr">
        <is>
          <t> </t>
        </is>
      </c>
      <c r="AM161" s="183" t="inlineStr">
        <is>
          <t> </t>
        </is>
      </c>
      <c r="AN161" s="183" t="inlineStr">
        <is>
          <t> </t>
        </is>
      </c>
      <c r="AO161" s="183" t="inlineStr">
        <is>
          <t> </t>
        </is>
      </c>
      <c r="AP161" s="183" t="inlineStr">
        <is>
          <t> </t>
        </is>
      </c>
      <c r="AQ161" s="183" t="inlineStr">
        <is>
          <t> </t>
        </is>
      </c>
      <c r="AR161" s="183" t="inlineStr">
        <is>
          <t> </t>
        </is>
      </c>
      <c r="AS161" s="183" t="inlineStr">
        <is>
          <t> </t>
        </is>
      </c>
      <c r="AT161" s="183" t="inlineStr">
        <is>
          <t> </t>
        </is>
      </c>
      <c r="AU161" s="183" t="inlineStr">
        <is>
          <t> </t>
        </is>
      </c>
      <c r="AV161" s="183" t="inlineStr">
        <is>
          <t> </t>
        </is>
      </c>
      <c r="AW161" s="183" t="inlineStr">
        <is>
          <t> </t>
        </is>
      </c>
      <c r="AX161" s="183" t="inlineStr">
        <is>
          <t> </t>
        </is>
      </c>
      <c r="AY161" s="210" t="inlineStr">
        <is>
          <t>EM EXECUÇÃO</t>
        </is>
      </c>
      <c r="AZ161" s="210" t="inlineStr">
        <is>
          <t>NI</t>
        </is>
      </c>
      <c r="BA161" s="210" t="inlineStr">
        <is>
          <t>NI</t>
        </is>
      </c>
      <c r="BB161" s="210" t="inlineStr">
        <is>
          <t>NI</t>
        </is>
      </c>
      <c r="BC161" s="212" t="n"/>
      <c r="BD161" s="210" t="n"/>
      <c r="BE161" s="210" t="n"/>
      <c r="BF161" s="178" t="n"/>
      <c r="BG161" s="210" t="n"/>
      <c r="BH161" s="210" t="n"/>
      <c r="BI161" s="210" t="n"/>
      <c r="BJ161" s="210" t="n"/>
      <c r="BK161" s="210" t="n"/>
      <c r="BL161" s="210" t="n"/>
      <c r="BM161" s="210" t="n"/>
      <c r="BN161" s="210" t="n"/>
      <c r="BO161" s="210" t="n"/>
      <c r="BP161" s="210" t="n"/>
      <c r="BQ161" s="210" t="n"/>
      <c r="BR161" s="210" t="n"/>
      <c r="BS161" s="210" t="n"/>
      <c r="BT161" s="212" t="n"/>
      <c r="BU161" s="177" t="n"/>
    </row>
    <row r="162" ht="60" customHeight="1">
      <c r="A162" s="178" t="inlineStr">
        <is>
          <t>SUDESTE</t>
        </is>
      </c>
      <c r="B162" s="207" t="inlineStr">
        <is>
          <t>SP</t>
        </is>
      </c>
      <c r="C162" s="29" t="inlineStr">
        <is>
          <t>SAO PAULO</t>
        </is>
      </c>
      <c r="D162" s="178" t="inlineStr">
        <is>
          <t>INSTITUTO DO CANCER ARNALDO VIEIRA DE CARVALHO</t>
        </is>
      </c>
      <c r="E162" s="208" t="inlineStr">
        <is>
          <t>60945854000172</t>
        </is>
      </c>
      <c r="F162" s="29" t="inlineStr">
        <is>
          <t>INSTITUTO DO CANCER ARNALDO VIEIRA DE CARVALHO</t>
        </is>
      </c>
      <c r="G162" s="209" t="inlineStr">
        <is>
          <t>2080125</t>
        </is>
      </c>
      <c r="H162" s="210" t="n"/>
      <c r="I162" s="210" t="n"/>
      <c r="J162" s="210" t="n"/>
      <c r="K162" s="210" t="inlineStr">
        <is>
          <t>Indireta</t>
        </is>
      </c>
      <c r="L162" s="211" t="inlineStr">
        <is>
          <t>Transferegov/SEI</t>
        </is>
      </c>
      <c r="M162" s="211" t="inlineStr">
        <is>
          <t>Convênio</t>
        </is>
      </c>
      <c r="N162" s="207" t="n">
        <v>2023</v>
      </c>
      <c r="O162" s="207" t="n">
        <v>946563</v>
      </c>
      <c r="P162" s="207" t="n">
        <v>96094523001</v>
      </c>
      <c r="Q162" s="210" t="n"/>
      <c r="R162" s="178" t="n"/>
      <c r="S162" s="210" t="n"/>
      <c r="T162" s="29" t="inlineStr">
        <is>
          <t>Laringoscópio Adulto</t>
        </is>
      </c>
      <c r="U162" s="210" t="n"/>
      <c r="V162" s="210" t="n">
        <v>1</v>
      </c>
      <c r="W162" s="182" t="inlineStr">
        <is>
          <t xml:space="preserve"> UND</t>
        </is>
      </c>
      <c r="X162" s="210" t="inlineStr">
        <is>
          <t>EQUIPAMENTO</t>
        </is>
      </c>
      <c r="Y162" s="178" t="n"/>
      <c r="Z162" s="211" t="inlineStr">
        <is>
          <t xml:space="preserve"> NA</t>
        </is>
      </c>
      <c r="AA162" s="212" t="n"/>
      <c r="AB162" s="212" t="n"/>
      <c r="AC162" s="212" t="n"/>
      <c r="AD162" s="211" t="inlineStr">
        <is>
          <t>NI</t>
        </is>
      </c>
      <c r="AE162" s="211" t="inlineStr">
        <is>
          <t>NI</t>
        </is>
      </c>
      <c r="AF162" s="211" t="inlineStr">
        <is>
          <t>NI</t>
        </is>
      </c>
      <c r="AG162" s="177" t="n">
        <v>186600</v>
      </c>
      <c r="AH162" s="177" t="n"/>
      <c r="AI162" s="212" t="n"/>
      <c r="AJ162" s="182" t="n">
        <v>8535</v>
      </c>
      <c r="AK162" s="183" t="inlineStr">
        <is>
          <t> </t>
        </is>
      </c>
      <c r="AL162" s="183" t="inlineStr">
        <is>
          <t> </t>
        </is>
      </c>
      <c r="AM162" s="183" t="inlineStr">
        <is>
          <t> </t>
        </is>
      </c>
      <c r="AN162" s="183" t="inlineStr">
        <is>
          <t> </t>
        </is>
      </c>
      <c r="AO162" s="183" t="inlineStr">
        <is>
          <t> </t>
        </is>
      </c>
      <c r="AP162" s="183" t="inlineStr">
        <is>
          <t> </t>
        </is>
      </c>
      <c r="AQ162" s="183" t="inlineStr">
        <is>
          <t> </t>
        </is>
      </c>
      <c r="AR162" s="183" t="inlineStr">
        <is>
          <t> </t>
        </is>
      </c>
      <c r="AS162" s="183" t="inlineStr">
        <is>
          <t> </t>
        </is>
      </c>
      <c r="AT162" s="183" t="inlineStr">
        <is>
          <t> </t>
        </is>
      </c>
      <c r="AU162" s="183" t="inlineStr">
        <is>
          <t> </t>
        </is>
      </c>
      <c r="AV162" s="183" t="inlineStr">
        <is>
          <t> </t>
        </is>
      </c>
      <c r="AW162" s="183" t="inlineStr">
        <is>
          <t> </t>
        </is>
      </c>
      <c r="AX162" s="183" t="inlineStr">
        <is>
          <t> </t>
        </is>
      </c>
      <c r="AY162" s="210" t="inlineStr">
        <is>
          <t>EM EXECUÇÃO</t>
        </is>
      </c>
      <c r="AZ162" s="210" t="inlineStr">
        <is>
          <t>NI</t>
        </is>
      </c>
      <c r="BA162" s="210" t="inlineStr">
        <is>
          <t>NI</t>
        </is>
      </c>
      <c r="BB162" s="210" t="inlineStr">
        <is>
          <t>NI</t>
        </is>
      </c>
      <c r="BC162" s="212" t="n"/>
      <c r="BD162" s="210" t="n"/>
      <c r="BE162" s="210" t="n"/>
      <c r="BF162" s="178" t="n"/>
      <c r="BG162" s="210" t="n"/>
      <c r="BH162" s="210" t="n"/>
      <c r="BI162" s="210" t="n"/>
      <c r="BJ162" s="210" t="n"/>
      <c r="BK162" s="210" t="n"/>
      <c r="BL162" s="210" t="n"/>
      <c r="BM162" s="210" t="n"/>
      <c r="BN162" s="210" t="n"/>
      <c r="BO162" s="210" t="n"/>
      <c r="BP162" s="210" t="n"/>
      <c r="BQ162" s="210" t="n"/>
      <c r="BR162" s="210" t="n"/>
      <c r="BS162" s="210" t="n"/>
      <c r="BT162" s="212" t="n"/>
      <c r="BU162" s="177" t="n"/>
    </row>
    <row r="163" ht="60" customHeight="1">
      <c r="A163" s="178" t="inlineStr">
        <is>
          <t>SUDESTE</t>
        </is>
      </c>
      <c r="B163" s="207" t="inlineStr">
        <is>
          <t>SP</t>
        </is>
      </c>
      <c r="C163" s="29" t="inlineStr">
        <is>
          <t>SAO PAULO</t>
        </is>
      </c>
      <c r="D163" s="178" t="inlineStr">
        <is>
          <t>INSTITUTO DO CANCER ARNALDO VIEIRA DE CARVALHO</t>
        </is>
      </c>
      <c r="E163" s="208" t="inlineStr">
        <is>
          <t>60945854000172</t>
        </is>
      </c>
      <c r="F163" s="29" t="inlineStr">
        <is>
          <t>INSTITUTO DO CANCER ARNALDO VIEIRA DE CARVALHO</t>
        </is>
      </c>
      <c r="G163" s="209" t="inlineStr">
        <is>
          <t>2080125</t>
        </is>
      </c>
      <c r="H163" s="210" t="n"/>
      <c r="I163" s="210" t="n"/>
      <c r="J163" s="210" t="n"/>
      <c r="K163" s="210" t="inlineStr">
        <is>
          <t>Indireta</t>
        </is>
      </c>
      <c r="L163" s="211" t="inlineStr">
        <is>
          <t>Transferegov/SEI</t>
        </is>
      </c>
      <c r="M163" s="211" t="inlineStr">
        <is>
          <t>Convênio</t>
        </is>
      </c>
      <c r="N163" s="207" t="n">
        <v>2023</v>
      </c>
      <c r="O163" s="207" t="n">
        <v>946563</v>
      </c>
      <c r="P163" s="207" t="n">
        <v>96094523001</v>
      </c>
      <c r="Q163" s="210" t="n"/>
      <c r="R163" s="178" t="n"/>
      <c r="S163" s="210" t="n"/>
      <c r="T163" s="29" t="inlineStr">
        <is>
          <t>Monitor Multiparâmetros</t>
        </is>
      </c>
      <c r="U163" s="210" t="n"/>
      <c r="V163" s="210" t="n">
        <v>2</v>
      </c>
      <c r="W163" s="182" t="inlineStr">
        <is>
          <t xml:space="preserve"> UND</t>
        </is>
      </c>
      <c r="X163" s="210" t="inlineStr">
        <is>
          <t>EQUIPAMENTO</t>
        </is>
      </c>
      <c r="Y163" s="178" t="n"/>
      <c r="Z163" s="211" t="inlineStr">
        <is>
          <t xml:space="preserve"> NA</t>
        </is>
      </c>
      <c r="AA163" s="212" t="n"/>
      <c r="AB163" s="212" t="n"/>
      <c r="AC163" s="212" t="n"/>
      <c r="AD163" s="211" t="inlineStr">
        <is>
          <t>NI</t>
        </is>
      </c>
      <c r="AE163" s="211" t="inlineStr">
        <is>
          <t>NI</t>
        </is>
      </c>
      <c r="AF163" s="211" t="inlineStr">
        <is>
          <t>NI</t>
        </is>
      </c>
      <c r="AG163" s="177" t="n">
        <v>186600</v>
      </c>
      <c r="AH163" s="177" t="n"/>
      <c r="AI163" s="212" t="n"/>
      <c r="AJ163" s="182" t="n">
        <v>8535</v>
      </c>
      <c r="AK163" s="183" t="inlineStr">
        <is>
          <t> </t>
        </is>
      </c>
      <c r="AL163" s="183" t="inlineStr">
        <is>
          <t> </t>
        </is>
      </c>
      <c r="AM163" s="183" t="inlineStr">
        <is>
          <t> </t>
        </is>
      </c>
      <c r="AN163" s="183" t="inlineStr">
        <is>
          <t> </t>
        </is>
      </c>
      <c r="AO163" s="183" t="inlineStr">
        <is>
          <t> </t>
        </is>
      </c>
      <c r="AP163" s="183" t="inlineStr">
        <is>
          <t> </t>
        </is>
      </c>
      <c r="AQ163" s="183" t="inlineStr">
        <is>
          <t> </t>
        </is>
      </c>
      <c r="AR163" s="183" t="inlineStr">
        <is>
          <t> </t>
        </is>
      </c>
      <c r="AS163" s="183" t="inlineStr">
        <is>
          <t> </t>
        </is>
      </c>
      <c r="AT163" s="183" t="inlineStr">
        <is>
          <t> </t>
        </is>
      </c>
      <c r="AU163" s="183" t="inlineStr">
        <is>
          <t> </t>
        </is>
      </c>
      <c r="AV163" s="183" t="inlineStr">
        <is>
          <t> </t>
        </is>
      </c>
      <c r="AW163" s="183" t="inlineStr">
        <is>
          <t> </t>
        </is>
      </c>
      <c r="AX163" s="183" t="inlineStr">
        <is>
          <t> </t>
        </is>
      </c>
      <c r="AY163" s="210" t="inlineStr">
        <is>
          <t>EM EXECUÇÃO</t>
        </is>
      </c>
      <c r="AZ163" s="210" t="inlineStr">
        <is>
          <t>NI</t>
        </is>
      </c>
      <c r="BA163" s="210" t="inlineStr">
        <is>
          <t>NI</t>
        </is>
      </c>
      <c r="BB163" s="210" t="inlineStr">
        <is>
          <t>NI</t>
        </is>
      </c>
      <c r="BC163" s="212" t="n"/>
      <c r="BD163" s="210" t="n"/>
      <c r="BE163" s="210" t="n"/>
      <c r="BF163" s="178" t="n"/>
      <c r="BG163" s="210" t="n"/>
      <c r="BH163" s="210" t="n"/>
      <c r="BI163" s="210" t="n"/>
      <c r="BJ163" s="210" t="n"/>
      <c r="BK163" s="210" t="n"/>
      <c r="BL163" s="210" t="n"/>
      <c r="BM163" s="210" t="n"/>
      <c r="BN163" s="210" t="n"/>
      <c r="BO163" s="210" t="n"/>
      <c r="BP163" s="210" t="n"/>
      <c r="BQ163" s="210" t="n"/>
      <c r="BR163" s="210" t="n"/>
      <c r="BS163" s="210" t="n"/>
      <c r="BT163" s="212" t="n"/>
      <c r="BU163" s="177" t="n"/>
    </row>
    <row r="164" ht="60" customHeight="1">
      <c r="A164" s="178" t="inlineStr">
        <is>
          <t>SUDESTE</t>
        </is>
      </c>
      <c r="B164" s="207" t="inlineStr">
        <is>
          <t>SP</t>
        </is>
      </c>
      <c r="C164" s="29" t="inlineStr">
        <is>
          <t>SAO PAULO</t>
        </is>
      </c>
      <c r="D164" s="178" t="inlineStr">
        <is>
          <t>INSTITUTO DO CANCER ARNALDO VIEIRA DE CARVALHO</t>
        </is>
      </c>
      <c r="E164" s="208" t="inlineStr">
        <is>
          <t>60945854000172</t>
        </is>
      </c>
      <c r="F164" s="29" t="inlineStr">
        <is>
          <t>INSTITUTO DO CANCER ARNALDO VIEIRA DE CARVALHO</t>
        </is>
      </c>
      <c r="G164" s="209" t="inlineStr">
        <is>
          <t>2080125</t>
        </is>
      </c>
      <c r="H164" s="210" t="n"/>
      <c r="I164" s="210" t="n"/>
      <c r="J164" s="210" t="n"/>
      <c r="K164" s="210" t="inlineStr">
        <is>
          <t>Indireta</t>
        </is>
      </c>
      <c r="L164" s="211" t="inlineStr">
        <is>
          <t>Transferegov/SEI</t>
        </is>
      </c>
      <c r="M164" s="211" t="inlineStr">
        <is>
          <t>Convênio</t>
        </is>
      </c>
      <c r="N164" s="207" t="n">
        <v>2023</v>
      </c>
      <c r="O164" s="207" t="n">
        <v>946563</v>
      </c>
      <c r="P164" s="207" t="n">
        <v>96094523001</v>
      </c>
      <c r="Q164" s="210" t="n"/>
      <c r="R164" s="178" t="n"/>
      <c r="S164" s="210" t="n"/>
      <c r="T164" s="29" t="inlineStr">
        <is>
          <t>Cadeira de Banho/ Higiênica</t>
        </is>
      </c>
      <c r="U164" s="210" t="n"/>
      <c r="V164" s="210" t="n">
        <v>4</v>
      </c>
      <c r="W164" s="182" t="inlineStr">
        <is>
          <t xml:space="preserve"> UND</t>
        </is>
      </c>
      <c r="X164" s="210" t="inlineStr">
        <is>
          <t>EQUIPAMENTO</t>
        </is>
      </c>
      <c r="Y164" s="178" t="n"/>
      <c r="Z164" s="211" t="inlineStr">
        <is>
          <t xml:space="preserve"> NA</t>
        </is>
      </c>
      <c r="AA164" s="212" t="n"/>
      <c r="AB164" s="212" t="n"/>
      <c r="AC164" s="212" t="n"/>
      <c r="AD164" s="211" t="inlineStr">
        <is>
          <t>NI</t>
        </is>
      </c>
      <c r="AE164" s="211" t="inlineStr">
        <is>
          <t>NI</t>
        </is>
      </c>
      <c r="AF164" s="211" t="inlineStr">
        <is>
          <t>NI</t>
        </is>
      </c>
      <c r="AG164" s="177" t="n">
        <v>186600</v>
      </c>
      <c r="AH164" s="177" t="n"/>
      <c r="AI164" s="212" t="n"/>
      <c r="AJ164" s="182" t="n">
        <v>8535</v>
      </c>
      <c r="AK164" s="183" t="inlineStr">
        <is>
          <t> </t>
        </is>
      </c>
      <c r="AL164" s="183" t="inlineStr">
        <is>
          <t> </t>
        </is>
      </c>
      <c r="AM164" s="183" t="inlineStr">
        <is>
          <t> </t>
        </is>
      </c>
      <c r="AN164" s="183" t="inlineStr">
        <is>
          <t> </t>
        </is>
      </c>
      <c r="AO164" s="183" t="inlineStr">
        <is>
          <t> </t>
        </is>
      </c>
      <c r="AP164" s="183" t="inlineStr">
        <is>
          <t> </t>
        </is>
      </c>
      <c r="AQ164" s="183" t="inlineStr">
        <is>
          <t> </t>
        </is>
      </c>
      <c r="AR164" s="183" t="inlineStr">
        <is>
          <t> </t>
        </is>
      </c>
      <c r="AS164" s="183" t="inlineStr">
        <is>
          <t> </t>
        </is>
      </c>
      <c r="AT164" s="183" t="inlineStr">
        <is>
          <t> </t>
        </is>
      </c>
      <c r="AU164" s="183" t="inlineStr">
        <is>
          <t> </t>
        </is>
      </c>
      <c r="AV164" s="183" t="inlineStr">
        <is>
          <t> </t>
        </is>
      </c>
      <c r="AW164" s="183" t="inlineStr">
        <is>
          <t> </t>
        </is>
      </c>
      <c r="AX164" s="183" t="inlineStr">
        <is>
          <t> </t>
        </is>
      </c>
      <c r="AY164" s="210" t="inlineStr">
        <is>
          <t>EM EXECUÇÃO</t>
        </is>
      </c>
      <c r="AZ164" s="210" t="inlineStr">
        <is>
          <t>NI</t>
        </is>
      </c>
      <c r="BA164" s="210" t="inlineStr">
        <is>
          <t>NI</t>
        </is>
      </c>
      <c r="BB164" s="210" t="inlineStr">
        <is>
          <t>NI</t>
        </is>
      </c>
      <c r="BC164" s="212" t="n"/>
      <c r="BD164" s="210" t="n"/>
      <c r="BE164" s="210" t="n"/>
      <c r="BF164" s="178" t="n"/>
      <c r="BG164" s="210" t="n"/>
      <c r="BH164" s="210" t="n"/>
      <c r="BI164" s="210" t="n"/>
      <c r="BJ164" s="210" t="n"/>
      <c r="BK164" s="210" t="n"/>
      <c r="BL164" s="210" t="n"/>
      <c r="BM164" s="210" t="n"/>
      <c r="BN164" s="210" t="n"/>
      <c r="BO164" s="210" t="n"/>
      <c r="BP164" s="210" t="n"/>
      <c r="BQ164" s="210" t="n"/>
      <c r="BR164" s="210" t="n"/>
      <c r="BS164" s="210" t="n"/>
      <c r="BT164" s="212" t="n"/>
      <c r="BU164" s="177" t="n"/>
    </row>
    <row r="165" ht="60" customHeight="1">
      <c r="A165" s="178" t="inlineStr">
        <is>
          <t>SUDESTE</t>
        </is>
      </c>
      <c r="B165" s="207" t="inlineStr">
        <is>
          <t>SP</t>
        </is>
      </c>
      <c r="C165" s="29" t="inlineStr">
        <is>
          <t>SAO PAULO</t>
        </is>
      </c>
      <c r="D165" s="178" t="inlineStr">
        <is>
          <t>INSTITUTO DO CANCER ARNALDO VIEIRA DE CARVALHO</t>
        </is>
      </c>
      <c r="E165" s="208" t="inlineStr">
        <is>
          <t>60945854000172</t>
        </is>
      </c>
      <c r="F165" s="29" t="inlineStr">
        <is>
          <t>INSTITUTO DO CANCER ARNALDO VIEIRA DE CARVALHO</t>
        </is>
      </c>
      <c r="G165" s="209" t="inlineStr">
        <is>
          <t>2080125</t>
        </is>
      </c>
      <c r="H165" s="210" t="n"/>
      <c r="I165" s="210" t="n"/>
      <c r="J165" s="210" t="n"/>
      <c r="K165" s="210" t="inlineStr">
        <is>
          <t>Indireta</t>
        </is>
      </c>
      <c r="L165" s="211" t="inlineStr">
        <is>
          <t>Transferegov/SEI</t>
        </is>
      </c>
      <c r="M165" s="211" t="inlineStr">
        <is>
          <t>Convênio</t>
        </is>
      </c>
      <c r="N165" s="207" t="n">
        <v>2023</v>
      </c>
      <c r="O165" s="207" t="n">
        <v>946563</v>
      </c>
      <c r="P165" s="207" t="n">
        <v>96094523001</v>
      </c>
      <c r="Q165" s="210" t="n"/>
      <c r="R165" s="178" t="n"/>
      <c r="S165" s="210" t="n"/>
      <c r="T165" s="29" t="inlineStr">
        <is>
          <t>Cadeira de Rodas Adulto</t>
        </is>
      </c>
      <c r="U165" s="210" t="n"/>
      <c r="V165" s="210" t="n">
        <v>2</v>
      </c>
      <c r="W165" s="182" t="inlineStr">
        <is>
          <t xml:space="preserve"> UND</t>
        </is>
      </c>
      <c r="X165" s="210" t="inlineStr">
        <is>
          <t>EQUIPAMENTO</t>
        </is>
      </c>
      <c r="Y165" s="178" t="n"/>
      <c r="Z165" s="211" t="inlineStr">
        <is>
          <t xml:space="preserve"> NA</t>
        </is>
      </c>
      <c r="AA165" s="212" t="n"/>
      <c r="AB165" s="212" t="n"/>
      <c r="AC165" s="212" t="n"/>
      <c r="AD165" s="211" t="inlineStr">
        <is>
          <t>NI</t>
        </is>
      </c>
      <c r="AE165" s="211" t="inlineStr">
        <is>
          <t>NI</t>
        </is>
      </c>
      <c r="AF165" s="211" t="inlineStr">
        <is>
          <t>NI</t>
        </is>
      </c>
      <c r="AG165" s="177" t="n">
        <v>186600</v>
      </c>
      <c r="AH165" s="177" t="n"/>
      <c r="AI165" s="212" t="n"/>
      <c r="AJ165" s="182" t="n">
        <v>8535</v>
      </c>
      <c r="AK165" s="183" t="inlineStr">
        <is>
          <t> </t>
        </is>
      </c>
      <c r="AL165" s="183" t="inlineStr">
        <is>
          <t> </t>
        </is>
      </c>
      <c r="AM165" s="183" t="inlineStr">
        <is>
          <t> </t>
        </is>
      </c>
      <c r="AN165" s="183" t="inlineStr">
        <is>
          <t> </t>
        </is>
      </c>
      <c r="AO165" s="183" t="inlineStr">
        <is>
          <t> </t>
        </is>
      </c>
      <c r="AP165" s="183" t="inlineStr">
        <is>
          <t> </t>
        </is>
      </c>
      <c r="AQ165" s="183" t="inlineStr">
        <is>
          <t> </t>
        </is>
      </c>
      <c r="AR165" s="183" t="inlineStr">
        <is>
          <t> </t>
        </is>
      </c>
      <c r="AS165" s="183" t="inlineStr">
        <is>
          <t> </t>
        </is>
      </c>
      <c r="AT165" s="183" t="inlineStr">
        <is>
          <t> </t>
        </is>
      </c>
      <c r="AU165" s="183" t="inlineStr">
        <is>
          <t> </t>
        </is>
      </c>
      <c r="AV165" s="183" t="inlineStr">
        <is>
          <t> </t>
        </is>
      </c>
      <c r="AW165" s="183" t="inlineStr">
        <is>
          <t> </t>
        </is>
      </c>
      <c r="AX165" s="183" t="inlineStr">
        <is>
          <t> </t>
        </is>
      </c>
      <c r="AY165" s="210" t="inlineStr">
        <is>
          <t>EM EXECUÇÃO</t>
        </is>
      </c>
      <c r="AZ165" s="210" t="inlineStr">
        <is>
          <t>NI</t>
        </is>
      </c>
      <c r="BA165" s="210" t="inlineStr">
        <is>
          <t>NI</t>
        </is>
      </c>
      <c r="BB165" s="210" t="inlineStr">
        <is>
          <t>NI</t>
        </is>
      </c>
      <c r="BC165" s="212" t="n"/>
      <c r="BD165" s="210" t="n"/>
      <c r="BE165" s="210" t="n"/>
      <c r="BF165" s="178" t="n"/>
      <c r="BG165" s="210" t="n"/>
      <c r="BH165" s="210" t="n"/>
      <c r="BI165" s="210" t="n"/>
      <c r="BJ165" s="210" t="n"/>
      <c r="BK165" s="210" t="n"/>
      <c r="BL165" s="210" t="n"/>
      <c r="BM165" s="210" t="n"/>
      <c r="BN165" s="210" t="n"/>
      <c r="BO165" s="210" t="n"/>
      <c r="BP165" s="210" t="n"/>
      <c r="BQ165" s="210" t="n"/>
      <c r="BR165" s="210" t="n"/>
      <c r="BS165" s="210" t="n"/>
      <c r="BT165" s="212" t="n"/>
      <c r="BU165" s="177" t="n"/>
    </row>
    <row r="166" ht="60" customHeight="1">
      <c r="A166" s="178" t="inlineStr">
        <is>
          <t>SUDESTE</t>
        </is>
      </c>
      <c r="B166" s="207" t="inlineStr">
        <is>
          <t>SP</t>
        </is>
      </c>
      <c r="C166" s="29" t="inlineStr">
        <is>
          <t>SAO PAULO</t>
        </is>
      </c>
      <c r="D166" s="178" t="inlineStr">
        <is>
          <t>INSTITUTO DO CANCER ARNALDO VIEIRA DE CARVALHO</t>
        </is>
      </c>
      <c r="E166" s="208" t="inlineStr">
        <is>
          <t>60945854000172</t>
        </is>
      </c>
      <c r="F166" s="29" t="inlineStr">
        <is>
          <t>INSTITUTO DO CANCER ARNALDO VIEIRA DE CARVALHO</t>
        </is>
      </c>
      <c r="G166" s="209" t="inlineStr">
        <is>
          <t>2080125</t>
        </is>
      </c>
      <c r="H166" s="210" t="n"/>
      <c r="I166" s="210" t="n"/>
      <c r="J166" s="210" t="n"/>
      <c r="K166" s="210" t="inlineStr">
        <is>
          <t>Indireta</t>
        </is>
      </c>
      <c r="L166" s="211" t="inlineStr">
        <is>
          <t>Transferegov/SEI</t>
        </is>
      </c>
      <c r="M166" s="211" t="inlineStr">
        <is>
          <t>Convênio</t>
        </is>
      </c>
      <c r="N166" s="207" t="n">
        <v>2023</v>
      </c>
      <c r="O166" s="207" t="n">
        <v>946563</v>
      </c>
      <c r="P166" s="207" t="n">
        <v>96094523001</v>
      </c>
      <c r="Q166" s="210" t="n"/>
      <c r="R166" s="178" t="n"/>
      <c r="S166" s="210" t="n"/>
      <c r="T166" s="29" t="inlineStr">
        <is>
          <t>Escada com 2 degraus</t>
        </is>
      </c>
      <c r="U166" s="210" t="n"/>
      <c r="V166" s="210" t="n">
        <v>30</v>
      </c>
      <c r="W166" s="182" t="inlineStr">
        <is>
          <t xml:space="preserve"> UND</t>
        </is>
      </c>
      <c r="X166" s="210" t="inlineStr">
        <is>
          <t>EQUIPAMENTO</t>
        </is>
      </c>
      <c r="Y166" s="178" t="n"/>
      <c r="Z166" s="211" t="inlineStr">
        <is>
          <t xml:space="preserve"> NA</t>
        </is>
      </c>
      <c r="AA166" s="212" t="n"/>
      <c r="AB166" s="212" t="n"/>
      <c r="AC166" s="212" t="n"/>
      <c r="AD166" s="211" t="inlineStr">
        <is>
          <t>NI</t>
        </is>
      </c>
      <c r="AE166" s="211" t="inlineStr">
        <is>
          <t>NI</t>
        </is>
      </c>
      <c r="AF166" s="211" t="inlineStr">
        <is>
          <t>NI</t>
        </is>
      </c>
      <c r="AG166" s="177" t="n">
        <v>186600</v>
      </c>
      <c r="AH166" s="177" t="n"/>
      <c r="AI166" s="212" t="n"/>
      <c r="AJ166" s="182" t="n">
        <v>8535</v>
      </c>
      <c r="AK166" s="183" t="inlineStr">
        <is>
          <t> </t>
        </is>
      </c>
      <c r="AL166" s="183" t="inlineStr">
        <is>
          <t> </t>
        </is>
      </c>
      <c r="AM166" s="183" t="inlineStr">
        <is>
          <t> </t>
        </is>
      </c>
      <c r="AN166" s="183" t="inlineStr">
        <is>
          <t> </t>
        </is>
      </c>
      <c r="AO166" s="183" t="inlineStr">
        <is>
          <t> </t>
        </is>
      </c>
      <c r="AP166" s="183" t="inlineStr">
        <is>
          <t> </t>
        </is>
      </c>
      <c r="AQ166" s="183" t="inlineStr">
        <is>
          <t> </t>
        </is>
      </c>
      <c r="AR166" s="183" t="inlineStr">
        <is>
          <t> </t>
        </is>
      </c>
      <c r="AS166" s="183" t="inlineStr">
        <is>
          <t> </t>
        </is>
      </c>
      <c r="AT166" s="183" t="inlineStr">
        <is>
          <t> </t>
        </is>
      </c>
      <c r="AU166" s="183" t="inlineStr">
        <is>
          <t> </t>
        </is>
      </c>
      <c r="AV166" s="183" t="inlineStr">
        <is>
          <t> </t>
        </is>
      </c>
      <c r="AW166" s="183" t="inlineStr">
        <is>
          <t> </t>
        </is>
      </c>
      <c r="AX166" s="183" t="inlineStr">
        <is>
          <t> </t>
        </is>
      </c>
      <c r="AY166" s="210" t="inlineStr">
        <is>
          <t>EM EXECUÇÃO</t>
        </is>
      </c>
      <c r="AZ166" s="210" t="inlineStr">
        <is>
          <t>NI</t>
        </is>
      </c>
      <c r="BA166" s="210" t="inlineStr">
        <is>
          <t>NI</t>
        </is>
      </c>
      <c r="BB166" s="210" t="inlineStr">
        <is>
          <t>NI</t>
        </is>
      </c>
      <c r="BC166" s="212" t="n"/>
      <c r="BD166" s="210" t="n"/>
      <c r="BE166" s="210" t="n"/>
      <c r="BF166" s="178" t="n"/>
      <c r="BG166" s="210" t="n"/>
      <c r="BH166" s="210" t="n"/>
      <c r="BI166" s="210" t="n"/>
      <c r="BJ166" s="210" t="n"/>
      <c r="BK166" s="210" t="n"/>
      <c r="BL166" s="210" t="n"/>
      <c r="BM166" s="210" t="n"/>
      <c r="BN166" s="210" t="n"/>
      <c r="BO166" s="210" t="n"/>
      <c r="BP166" s="210" t="n"/>
      <c r="BQ166" s="210" t="n"/>
      <c r="BR166" s="210" t="n"/>
      <c r="BS166" s="210" t="n"/>
      <c r="BT166" s="212" t="n"/>
      <c r="BU166" s="177" t="n"/>
    </row>
    <row r="167" ht="60" customHeight="1">
      <c r="A167" s="178" t="inlineStr">
        <is>
          <t>SUDESTE</t>
        </is>
      </c>
      <c r="B167" s="207" t="inlineStr">
        <is>
          <t>SP</t>
        </is>
      </c>
      <c r="C167" s="29" t="inlineStr">
        <is>
          <t>SAO PAULO</t>
        </is>
      </c>
      <c r="D167" s="178" t="inlineStr">
        <is>
          <t>INSTITUTO DO CANCER ARNALDO VIEIRA DE CARVALHO</t>
        </is>
      </c>
      <c r="E167" s="208" t="inlineStr">
        <is>
          <t>60945854000172</t>
        </is>
      </c>
      <c r="F167" s="29" t="inlineStr">
        <is>
          <t>INSTITUTO DO CANCER ARNALDO VIEIRA DE CARVALHO</t>
        </is>
      </c>
      <c r="G167" s="209" t="inlineStr">
        <is>
          <t>2080125</t>
        </is>
      </c>
      <c r="H167" s="210" t="n"/>
      <c r="I167" s="210" t="n"/>
      <c r="J167" s="210" t="n"/>
      <c r="K167" s="210" t="inlineStr">
        <is>
          <t>Indireta</t>
        </is>
      </c>
      <c r="L167" s="211" t="inlineStr">
        <is>
          <t>Transferegov/SEI</t>
        </is>
      </c>
      <c r="M167" s="211" t="inlineStr">
        <is>
          <t>Convênio</t>
        </is>
      </c>
      <c r="N167" s="207" t="n">
        <v>2023</v>
      </c>
      <c r="O167" s="207" t="n">
        <v>946563</v>
      </c>
      <c r="P167" s="207" t="n">
        <v>96094523001</v>
      </c>
      <c r="Q167" s="210" t="n"/>
      <c r="R167" s="178" t="n"/>
      <c r="S167" s="210" t="n"/>
      <c r="T167" s="29" t="inlineStr">
        <is>
          <t>Mesa para Refeição</t>
        </is>
      </c>
      <c r="U167" s="210" t="n"/>
      <c r="V167" s="210" t="n">
        <v>30</v>
      </c>
      <c r="W167" s="182" t="inlineStr">
        <is>
          <t xml:space="preserve"> UND</t>
        </is>
      </c>
      <c r="X167" s="210" t="inlineStr">
        <is>
          <t>EQUIPAMENTO</t>
        </is>
      </c>
      <c r="Y167" s="178" t="n"/>
      <c r="Z167" s="211" t="inlineStr">
        <is>
          <t xml:space="preserve"> NA</t>
        </is>
      </c>
      <c r="AA167" s="212" t="n"/>
      <c r="AB167" s="212" t="n"/>
      <c r="AC167" s="212" t="n"/>
      <c r="AD167" s="211" t="inlineStr">
        <is>
          <t>NI</t>
        </is>
      </c>
      <c r="AE167" s="211" t="inlineStr">
        <is>
          <t>NI</t>
        </is>
      </c>
      <c r="AF167" s="211" t="inlineStr">
        <is>
          <t>NI</t>
        </is>
      </c>
      <c r="AG167" s="177" t="n">
        <v>186600</v>
      </c>
      <c r="AH167" s="177" t="n"/>
      <c r="AI167" s="212" t="n"/>
      <c r="AJ167" s="182" t="n">
        <v>8535</v>
      </c>
      <c r="AK167" s="183" t="inlineStr">
        <is>
          <t> </t>
        </is>
      </c>
      <c r="AL167" s="183" t="inlineStr">
        <is>
          <t> </t>
        </is>
      </c>
      <c r="AM167" s="183" t="inlineStr">
        <is>
          <t> </t>
        </is>
      </c>
      <c r="AN167" s="183" t="inlineStr">
        <is>
          <t> </t>
        </is>
      </c>
      <c r="AO167" s="183" t="inlineStr">
        <is>
          <t> </t>
        </is>
      </c>
      <c r="AP167" s="183" t="inlineStr">
        <is>
          <t> </t>
        </is>
      </c>
      <c r="AQ167" s="183" t="inlineStr">
        <is>
          <t> </t>
        </is>
      </c>
      <c r="AR167" s="183" t="inlineStr">
        <is>
          <t> </t>
        </is>
      </c>
      <c r="AS167" s="183" t="inlineStr">
        <is>
          <t> </t>
        </is>
      </c>
      <c r="AT167" s="183" t="inlineStr">
        <is>
          <t> </t>
        </is>
      </c>
      <c r="AU167" s="183" t="inlineStr">
        <is>
          <t> </t>
        </is>
      </c>
      <c r="AV167" s="183" t="inlineStr">
        <is>
          <t> </t>
        </is>
      </c>
      <c r="AW167" s="183" t="inlineStr">
        <is>
          <t> </t>
        </is>
      </c>
      <c r="AX167" s="183" t="inlineStr">
        <is>
          <t> </t>
        </is>
      </c>
      <c r="AY167" s="210" t="inlineStr">
        <is>
          <t>EM EXECUÇÃO</t>
        </is>
      </c>
      <c r="AZ167" s="210" t="inlineStr">
        <is>
          <t>NI</t>
        </is>
      </c>
      <c r="BA167" s="210" t="inlineStr">
        <is>
          <t>NI</t>
        </is>
      </c>
      <c r="BB167" s="210" t="inlineStr">
        <is>
          <t>NI</t>
        </is>
      </c>
      <c r="BC167" s="212" t="n"/>
      <c r="BD167" s="210" t="n"/>
      <c r="BE167" s="210" t="n"/>
      <c r="BF167" s="178" t="n"/>
      <c r="BG167" s="210" t="n"/>
      <c r="BH167" s="210" t="n"/>
      <c r="BI167" s="210" t="n"/>
      <c r="BJ167" s="210" t="n"/>
      <c r="BK167" s="210" t="n"/>
      <c r="BL167" s="210" t="n"/>
      <c r="BM167" s="210" t="n"/>
      <c r="BN167" s="210" t="n"/>
      <c r="BO167" s="210" t="n"/>
      <c r="BP167" s="210" t="n"/>
      <c r="BQ167" s="210" t="n"/>
      <c r="BR167" s="210" t="n"/>
      <c r="BS167" s="210" t="n"/>
      <c r="BT167" s="212" t="n"/>
      <c r="BU167" s="177" t="n"/>
    </row>
    <row r="168" ht="60" customHeight="1">
      <c r="A168" s="178" t="inlineStr">
        <is>
          <t>SUDESTE</t>
        </is>
      </c>
      <c r="B168" s="207" t="inlineStr">
        <is>
          <t>SP</t>
        </is>
      </c>
      <c r="C168" s="29" t="inlineStr">
        <is>
          <t>SAO PAULO</t>
        </is>
      </c>
      <c r="D168" s="178" t="inlineStr">
        <is>
          <t>INSTITUTO DO CANCER ARNALDO VIEIRA DE CARVALHO</t>
        </is>
      </c>
      <c r="E168" s="208" t="inlineStr">
        <is>
          <t>60945854000172</t>
        </is>
      </c>
      <c r="F168" s="29" t="inlineStr">
        <is>
          <t>INSTITUTO DO CANCER ARNALDO VIEIRA DE CARVALHO</t>
        </is>
      </c>
      <c r="G168" s="209" t="inlineStr">
        <is>
          <t>2080125</t>
        </is>
      </c>
      <c r="H168" s="210" t="n"/>
      <c r="I168" s="210" t="n"/>
      <c r="J168" s="210" t="n"/>
      <c r="K168" s="210" t="inlineStr">
        <is>
          <t>Indireta</t>
        </is>
      </c>
      <c r="L168" s="211" t="inlineStr">
        <is>
          <t>Transferegov/SEI</t>
        </is>
      </c>
      <c r="M168" s="211" t="inlineStr">
        <is>
          <t>Convênio</t>
        </is>
      </c>
      <c r="N168" s="207" t="n">
        <v>2023</v>
      </c>
      <c r="O168" s="207" t="n">
        <v>946563</v>
      </c>
      <c r="P168" s="207" t="n">
        <v>96094523001</v>
      </c>
      <c r="Q168" s="210" t="n"/>
      <c r="R168" s="178" t="n"/>
      <c r="S168" s="210" t="n"/>
      <c r="T168" s="29" t="inlineStr">
        <is>
          <t>Poltrona Hospitalar</t>
        </is>
      </c>
      <c r="U168" s="210" t="n"/>
      <c r="V168" s="210" t="n">
        <v>30</v>
      </c>
      <c r="W168" s="182" t="inlineStr">
        <is>
          <t xml:space="preserve"> UND</t>
        </is>
      </c>
      <c r="X168" s="210" t="inlineStr">
        <is>
          <t>EQUIPAMENTO</t>
        </is>
      </c>
      <c r="Y168" s="178" t="n"/>
      <c r="Z168" s="211" t="inlineStr">
        <is>
          <t xml:space="preserve"> NA</t>
        </is>
      </c>
      <c r="AA168" s="212" t="n"/>
      <c r="AB168" s="212" t="n"/>
      <c r="AC168" s="212" t="n"/>
      <c r="AD168" s="211" t="inlineStr">
        <is>
          <t>NI</t>
        </is>
      </c>
      <c r="AE168" s="211" t="inlineStr">
        <is>
          <t>NI</t>
        </is>
      </c>
      <c r="AF168" s="211" t="inlineStr">
        <is>
          <t>NI</t>
        </is>
      </c>
      <c r="AG168" s="177" t="n">
        <v>186600</v>
      </c>
      <c r="AH168" s="177" t="n"/>
      <c r="AI168" s="212" t="n"/>
      <c r="AJ168" s="182" t="n">
        <v>8535</v>
      </c>
      <c r="AK168" s="183" t="inlineStr">
        <is>
          <t> </t>
        </is>
      </c>
      <c r="AL168" s="183" t="inlineStr">
        <is>
          <t> </t>
        </is>
      </c>
      <c r="AM168" s="183" t="inlineStr">
        <is>
          <t> </t>
        </is>
      </c>
      <c r="AN168" s="183" t="inlineStr">
        <is>
          <t> </t>
        </is>
      </c>
      <c r="AO168" s="183" t="inlineStr">
        <is>
          <t> </t>
        </is>
      </c>
      <c r="AP168" s="183" t="inlineStr">
        <is>
          <t> </t>
        </is>
      </c>
      <c r="AQ168" s="183" t="inlineStr">
        <is>
          <t> </t>
        </is>
      </c>
      <c r="AR168" s="183" t="inlineStr">
        <is>
          <t> </t>
        </is>
      </c>
      <c r="AS168" s="183" t="inlineStr">
        <is>
          <t> </t>
        </is>
      </c>
      <c r="AT168" s="183" t="inlineStr">
        <is>
          <t> </t>
        </is>
      </c>
      <c r="AU168" s="183" t="inlineStr">
        <is>
          <t> </t>
        </is>
      </c>
      <c r="AV168" s="183" t="inlineStr">
        <is>
          <t> </t>
        </is>
      </c>
      <c r="AW168" s="183" t="inlineStr">
        <is>
          <t> </t>
        </is>
      </c>
      <c r="AX168" s="183" t="inlineStr">
        <is>
          <t> </t>
        </is>
      </c>
      <c r="AY168" s="210" t="inlineStr">
        <is>
          <t>EM EXECUÇÃO</t>
        </is>
      </c>
      <c r="AZ168" s="210" t="inlineStr">
        <is>
          <t>NI</t>
        </is>
      </c>
      <c r="BA168" s="210" t="inlineStr">
        <is>
          <t>NI</t>
        </is>
      </c>
      <c r="BB168" s="210" t="inlineStr">
        <is>
          <t>NI</t>
        </is>
      </c>
      <c r="BC168" s="212" t="n"/>
      <c r="BD168" s="210" t="n"/>
      <c r="BE168" s="210" t="n"/>
      <c r="BF168" s="178" t="n"/>
      <c r="BG168" s="210" t="n"/>
      <c r="BH168" s="210" t="n"/>
      <c r="BI168" s="210" t="n"/>
      <c r="BJ168" s="210" t="n"/>
      <c r="BK168" s="210" t="n"/>
      <c r="BL168" s="210" t="n"/>
      <c r="BM168" s="210" t="n"/>
      <c r="BN168" s="210" t="n"/>
      <c r="BO168" s="210" t="n"/>
      <c r="BP168" s="210" t="n"/>
      <c r="BQ168" s="210" t="n"/>
      <c r="BR168" s="210" t="n"/>
      <c r="BS168" s="210" t="n"/>
      <c r="BT168" s="212" t="n"/>
      <c r="BU168" s="177" t="n"/>
    </row>
    <row r="169" ht="60" customHeight="1">
      <c r="A169" s="178" t="inlineStr">
        <is>
          <t>SUDESTE</t>
        </is>
      </c>
      <c r="B169" s="207" t="inlineStr">
        <is>
          <t>SP</t>
        </is>
      </c>
      <c r="C169" s="29" t="inlineStr">
        <is>
          <t>SAO PAULO</t>
        </is>
      </c>
      <c r="D169" s="178" t="inlineStr">
        <is>
          <t>INSTITUTO DO CANCER ARNALDO VIEIRA DE CARVALHO</t>
        </is>
      </c>
      <c r="E169" s="208" t="inlineStr">
        <is>
          <t>60945854000172</t>
        </is>
      </c>
      <c r="F169" s="29" t="inlineStr">
        <is>
          <t>INSTITUTO DO CANCER ARNALDO VIEIRA DE CARVALHO</t>
        </is>
      </c>
      <c r="G169" s="209" t="inlineStr">
        <is>
          <t>2080125</t>
        </is>
      </c>
      <c r="H169" s="210" t="n"/>
      <c r="I169" s="210" t="n"/>
      <c r="J169" s="210" t="n"/>
      <c r="K169" s="210" t="inlineStr">
        <is>
          <t>Indireta</t>
        </is>
      </c>
      <c r="L169" s="211" t="inlineStr">
        <is>
          <t>Transferegov/SEI</t>
        </is>
      </c>
      <c r="M169" s="211" t="inlineStr">
        <is>
          <t>Convênio</t>
        </is>
      </c>
      <c r="N169" s="207" t="n">
        <v>2023</v>
      </c>
      <c r="O169" s="207" t="n">
        <v>946563</v>
      </c>
      <c r="P169" s="207" t="n">
        <v>96094523001</v>
      </c>
      <c r="Q169" s="210" t="n"/>
      <c r="R169" s="178" t="n"/>
      <c r="S169" s="210" t="n"/>
      <c r="T169" s="29" t="inlineStr">
        <is>
          <t>Suporte de Soro</t>
        </is>
      </c>
      <c r="U169" s="210" t="n"/>
      <c r="V169" s="210" t="n">
        <v>30</v>
      </c>
      <c r="W169" s="182" t="inlineStr">
        <is>
          <t xml:space="preserve"> UND</t>
        </is>
      </c>
      <c r="X169" s="210" t="inlineStr">
        <is>
          <t>EQUIPAMENTO</t>
        </is>
      </c>
      <c r="Y169" s="178" t="n"/>
      <c r="Z169" s="211" t="inlineStr">
        <is>
          <t xml:space="preserve"> NA</t>
        </is>
      </c>
      <c r="AA169" s="212" t="n"/>
      <c r="AB169" s="212" t="n"/>
      <c r="AC169" s="212" t="n"/>
      <c r="AD169" s="211" t="inlineStr">
        <is>
          <t>NI</t>
        </is>
      </c>
      <c r="AE169" s="211" t="inlineStr">
        <is>
          <t>NI</t>
        </is>
      </c>
      <c r="AF169" s="211" t="inlineStr">
        <is>
          <t>NI</t>
        </is>
      </c>
      <c r="AG169" s="177" t="n">
        <v>186600</v>
      </c>
      <c r="AH169" s="177" t="n"/>
      <c r="AI169" s="212" t="n"/>
      <c r="AJ169" s="182" t="n">
        <v>8535</v>
      </c>
      <c r="AK169" s="183" t="inlineStr">
        <is>
          <t> </t>
        </is>
      </c>
      <c r="AL169" s="183" t="inlineStr">
        <is>
          <t> </t>
        </is>
      </c>
      <c r="AM169" s="183" t="inlineStr">
        <is>
          <t> </t>
        </is>
      </c>
      <c r="AN169" s="183" t="inlineStr">
        <is>
          <t> </t>
        </is>
      </c>
      <c r="AO169" s="183" t="inlineStr">
        <is>
          <t> </t>
        </is>
      </c>
      <c r="AP169" s="183" t="inlineStr">
        <is>
          <t> </t>
        </is>
      </c>
      <c r="AQ169" s="183" t="inlineStr">
        <is>
          <t> </t>
        </is>
      </c>
      <c r="AR169" s="183" t="inlineStr">
        <is>
          <t> </t>
        </is>
      </c>
      <c r="AS169" s="183" t="inlineStr">
        <is>
          <t> </t>
        </is>
      </c>
      <c r="AT169" s="183" t="inlineStr">
        <is>
          <t> </t>
        </is>
      </c>
      <c r="AU169" s="183" t="inlineStr">
        <is>
          <t> </t>
        </is>
      </c>
      <c r="AV169" s="183" t="inlineStr">
        <is>
          <t> </t>
        </is>
      </c>
      <c r="AW169" s="183" t="inlineStr">
        <is>
          <t> </t>
        </is>
      </c>
      <c r="AX169" s="183" t="inlineStr">
        <is>
          <t> </t>
        </is>
      </c>
      <c r="AY169" s="210" t="inlineStr">
        <is>
          <t>EM EXECUÇÃO</t>
        </is>
      </c>
      <c r="AZ169" s="210" t="inlineStr">
        <is>
          <t>NI</t>
        </is>
      </c>
      <c r="BA169" s="210" t="inlineStr">
        <is>
          <t>NI</t>
        </is>
      </c>
      <c r="BB169" s="210" t="inlineStr">
        <is>
          <t>NI</t>
        </is>
      </c>
      <c r="BC169" s="212" t="n"/>
      <c r="BD169" s="210" t="n"/>
      <c r="BE169" s="210" t="n"/>
      <c r="BF169" s="178" t="n"/>
      <c r="BG169" s="210" t="n"/>
      <c r="BH169" s="210" t="n"/>
      <c r="BI169" s="210" t="n"/>
      <c r="BJ169" s="210" t="n"/>
      <c r="BK169" s="210" t="n"/>
      <c r="BL169" s="210" t="n"/>
      <c r="BM169" s="210" t="n"/>
      <c r="BN169" s="210" t="n"/>
      <c r="BO169" s="210" t="n"/>
      <c r="BP169" s="210" t="n"/>
      <c r="BQ169" s="210" t="n"/>
      <c r="BR169" s="210" t="n"/>
      <c r="BS169" s="210" t="n"/>
      <c r="BT169" s="212" t="n"/>
      <c r="BU169" s="177" t="n"/>
    </row>
    <row r="170" ht="60" customHeight="1">
      <c r="A170" s="178" t="inlineStr">
        <is>
          <t>SUDESTE</t>
        </is>
      </c>
      <c r="B170" s="207" t="inlineStr">
        <is>
          <t>SP</t>
        </is>
      </c>
      <c r="C170" s="29" t="inlineStr">
        <is>
          <t>SAO PAULO</t>
        </is>
      </c>
      <c r="D170" s="178" t="inlineStr">
        <is>
          <t>INSTITUTO DO CANCER ARNALDO VIEIRA DE CARVALHO</t>
        </is>
      </c>
      <c r="E170" s="208" t="inlineStr">
        <is>
          <t>60945854000172</t>
        </is>
      </c>
      <c r="F170" s="29" t="inlineStr">
        <is>
          <t>INSTITUTO DO CANCER ARNALDO VIEIRA DE CARVALHO</t>
        </is>
      </c>
      <c r="G170" s="209" t="inlineStr">
        <is>
          <t>2080125</t>
        </is>
      </c>
      <c r="H170" s="210" t="n"/>
      <c r="I170" s="210" t="n"/>
      <c r="J170" s="210" t="n"/>
      <c r="K170" s="210" t="inlineStr">
        <is>
          <t>Indireta</t>
        </is>
      </c>
      <c r="L170" s="211" t="inlineStr">
        <is>
          <t>Transferegov/SEI</t>
        </is>
      </c>
      <c r="M170" s="211" t="inlineStr">
        <is>
          <t>Convênio</t>
        </is>
      </c>
      <c r="N170" s="207" t="n">
        <v>2023</v>
      </c>
      <c r="O170" s="207" t="n">
        <v>946563</v>
      </c>
      <c r="P170" s="207" t="n">
        <v>96094523001</v>
      </c>
      <c r="Q170" s="210" t="n"/>
      <c r="R170" s="178" t="n"/>
      <c r="S170" s="210" t="n"/>
      <c r="T170" s="29" t="inlineStr">
        <is>
          <t>Computador (Desktop-Básico)</t>
        </is>
      </c>
      <c r="U170" s="210" t="n"/>
      <c r="V170" s="210" t="n">
        <v>4</v>
      </c>
      <c r="W170" s="182" t="inlineStr">
        <is>
          <t xml:space="preserve"> UND</t>
        </is>
      </c>
      <c r="X170" s="210" t="inlineStr">
        <is>
          <t>EQUIPAMENTO</t>
        </is>
      </c>
      <c r="Y170" s="178" t="n"/>
      <c r="Z170" s="211" t="inlineStr">
        <is>
          <t xml:space="preserve"> NA</t>
        </is>
      </c>
      <c r="AA170" s="212" t="n"/>
      <c r="AB170" s="212" t="n"/>
      <c r="AC170" s="212" t="n"/>
      <c r="AD170" s="211" t="inlineStr">
        <is>
          <t>NI</t>
        </is>
      </c>
      <c r="AE170" s="211" t="inlineStr">
        <is>
          <t>NI</t>
        </is>
      </c>
      <c r="AF170" s="211" t="inlineStr">
        <is>
          <t>NI</t>
        </is>
      </c>
      <c r="AG170" s="177" t="n">
        <v>186600</v>
      </c>
      <c r="AH170" s="177" t="n"/>
      <c r="AI170" s="212" t="n"/>
      <c r="AJ170" s="182" t="n">
        <v>8535</v>
      </c>
      <c r="AK170" s="183" t="inlineStr">
        <is>
          <t> </t>
        </is>
      </c>
      <c r="AL170" s="183" t="inlineStr">
        <is>
          <t> </t>
        </is>
      </c>
      <c r="AM170" s="183" t="inlineStr">
        <is>
          <t> </t>
        </is>
      </c>
      <c r="AN170" s="183" t="inlineStr">
        <is>
          <t> </t>
        </is>
      </c>
      <c r="AO170" s="183" t="inlineStr">
        <is>
          <t> </t>
        </is>
      </c>
      <c r="AP170" s="183" t="inlineStr">
        <is>
          <t> </t>
        </is>
      </c>
      <c r="AQ170" s="183" t="inlineStr">
        <is>
          <t> </t>
        </is>
      </c>
      <c r="AR170" s="183" t="inlineStr">
        <is>
          <t> </t>
        </is>
      </c>
      <c r="AS170" s="183" t="inlineStr">
        <is>
          <t> </t>
        </is>
      </c>
      <c r="AT170" s="183" t="inlineStr">
        <is>
          <t> </t>
        </is>
      </c>
      <c r="AU170" s="183" t="inlineStr">
        <is>
          <t> </t>
        </is>
      </c>
      <c r="AV170" s="183" t="inlineStr">
        <is>
          <t> </t>
        </is>
      </c>
      <c r="AW170" s="183" t="inlineStr">
        <is>
          <t> </t>
        </is>
      </c>
      <c r="AX170" s="183" t="inlineStr">
        <is>
          <t> </t>
        </is>
      </c>
      <c r="AY170" s="210" t="inlineStr">
        <is>
          <t>EM EXECUÇÃO</t>
        </is>
      </c>
      <c r="AZ170" s="210" t="inlineStr">
        <is>
          <t>NI</t>
        </is>
      </c>
      <c r="BA170" s="210" t="inlineStr">
        <is>
          <t>NI</t>
        </is>
      </c>
      <c r="BB170" s="210" t="inlineStr">
        <is>
          <t>NI</t>
        </is>
      </c>
      <c r="BC170" s="212" t="n"/>
      <c r="BD170" s="210" t="n"/>
      <c r="BE170" s="210" t="n"/>
      <c r="BF170" s="178" t="n"/>
      <c r="BG170" s="210" t="n"/>
      <c r="BH170" s="210" t="n"/>
      <c r="BI170" s="210" t="n"/>
      <c r="BJ170" s="210" t="n"/>
      <c r="BK170" s="210" t="n"/>
      <c r="BL170" s="210" t="n"/>
      <c r="BM170" s="210" t="n"/>
      <c r="BN170" s="210" t="n"/>
      <c r="BO170" s="210" t="n"/>
      <c r="BP170" s="210" t="n"/>
      <c r="BQ170" s="210" t="n"/>
      <c r="BR170" s="210" t="n"/>
      <c r="BS170" s="210" t="n"/>
      <c r="BT170" s="212" t="n"/>
      <c r="BU170" s="177" t="n"/>
    </row>
    <row r="171" ht="60" customHeight="1">
      <c r="A171" s="178" t="inlineStr">
        <is>
          <t>SUDESTE</t>
        </is>
      </c>
      <c r="B171" s="207" t="inlineStr">
        <is>
          <t>SP</t>
        </is>
      </c>
      <c r="C171" s="29" t="inlineStr">
        <is>
          <t>SAO PAULO</t>
        </is>
      </c>
      <c r="D171" s="178" t="inlineStr">
        <is>
          <t>INSTITUTO DO CANCER ARNALDO VIEIRA DE CARVALHO</t>
        </is>
      </c>
      <c r="E171" s="208" t="inlineStr">
        <is>
          <t>60945854000172</t>
        </is>
      </c>
      <c r="F171" s="29" t="inlineStr">
        <is>
          <t>INSTITUTO DO CANCER ARNALDO VIEIRA DE CARVALHO</t>
        </is>
      </c>
      <c r="G171" s="209" t="inlineStr">
        <is>
          <t>2080125</t>
        </is>
      </c>
      <c r="H171" s="210" t="n"/>
      <c r="I171" s="210" t="n"/>
      <c r="J171" s="210" t="n"/>
      <c r="K171" s="210" t="inlineStr">
        <is>
          <t>Indireta</t>
        </is>
      </c>
      <c r="L171" s="211" t="inlineStr">
        <is>
          <t>Transferegov/SEI</t>
        </is>
      </c>
      <c r="M171" s="211" t="inlineStr">
        <is>
          <t>Convênio</t>
        </is>
      </c>
      <c r="N171" s="207" t="n">
        <v>2023</v>
      </c>
      <c r="O171" s="207" t="n">
        <v>946563</v>
      </c>
      <c r="P171" s="207" t="n">
        <v>96094523001</v>
      </c>
      <c r="Q171" s="210" t="n"/>
      <c r="R171" s="178" t="n"/>
      <c r="S171" s="210" t="n"/>
      <c r="T171" s="29" t="inlineStr">
        <is>
          <t>Esfigmomanômetro de Pedestal</t>
        </is>
      </c>
      <c r="U171" s="210" t="n"/>
      <c r="V171" s="210" t="n">
        <v>4</v>
      </c>
      <c r="W171" s="182" t="inlineStr">
        <is>
          <t xml:space="preserve"> UND</t>
        </is>
      </c>
      <c r="X171" s="210" t="inlineStr">
        <is>
          <t>EQUIPAMENTO</t>
        </is>
      </c>
      <c r="Y171" s="178" t="n"/>
      <c r="Z171" s="211" t="inlineStr">
        <is>
          <t xml:space="preserve"> NA</t>
        </is>
      </c>
      <c r="AA171" s="212" t="n"/>
      <c r="AB171" s="212" t="n"/>
      <c r="AC171" s="212" t="n"/>
      <c r="AD171" s="211" t="inlineStr">
        <is>
          <t>NI</t>
        </is>
      </c>
      <c r="AE171" s="211" t="inlineStr">
        <is>
          <t>NI</t>
        </is>
      </c>
      <c r="AF171" s="211" t="inlineStr">
        <is>
          <t>NI</t>
        </is>
      </c>
      <c r="AG171" s="177" t="n">
        <v>186600</v>
      </c>
      <c r="AH171" s="177" t="n"/>
      <c r="AI171" s="212" t="n"/>
      <c r="AJ171" s="182" t="n">
        <v>8535</v>
      </c>
      <c r="AK171" s="183" t="inlineStr">
        <is>
          <t> </t>
        </is>
      </c>
      <c r="AL171" s="183" t="inlineStr">
        <is>
          <t> </t>
        </is>
      </c>
      <c r="AM171" s="183" t="inlineStr">
        <is>
          <t> </t>
        </is>
      </c>
      <c r="AN171" s="183" t="inlineStr">
        <is>
          <t> </t>
        </is>
      </c>
      <c r="AO171" s="183" t="inlineStr">
        <is>
          <t> </t>
        </is>
      </c>
      <c r="AP171" s="183" t="inlineStr">
        <is>
          <t> </t>
        </is>
      </c>
      <c r="AQ171" s="183" t="inlineStr">
        <is>
          <t> </t>
        </is>
      </c>
      <c r="AR171" s="183" t="inlineStr">
        <is>
          <t> </t>
        </is>
      </c>
      <c r="AS171" s="183" t="inlineStr">
        <is>
          <t> </t>
        </is>
      </c>
      <c r="AT171" s="183" t="inlineStr">
        <is>
          <t> </t>
        </is>
      </c>
      <c r="AU171" s="183" t="inlineStr">
        <is>
          <t> </t>
        </is>
      </c>
      <c r="AV171" s="183" t="inlineStr">
        <is>
          <t> </t>
        </is>
      </c>
      <c r="AW171" s="183" t="inlineStr">
        <is>
          <t> </t>
        </is>
      </c>
      <c r="AX171" s="183" t="inlineStr">
        <is>
          <t> </t>
        </is>
      </c>
      <c r="AY171" s="210" t="inlineStr">
        <is>
          <t>EM EXECUÇÃO</t>
        </is>
      </c>
      <c r="AZ171" s="210" t="inlineStr">
        <is>
          <t>NI</t>
        </is>
      </c>
      <c r="BA171" s="210" t="inlineStr">
        <is>
          <t>NI</t>
        </is>
      </c>
      <c r="BB171" s="210" t="inlineStr">
        <is>
          <t>NI</t>
        </is>
      </c>
      <c r="BC171" s="212" t="n"/>
      <c r="BD171" s="210" t="n"/>
      <c r="BE171" s="210" t="n"/>
      <c r="BF171" s="178" t="n"/>
      <c r="BG171" s="210" t="n"/>
      <c r="BH171" s="210" t="n"/>
      <c r="BI171" s="210" t="n"/>
      <c r="BJ171" s="210" t="n"/>
      <c r="BK171" s="210" t="n"/>
      <c r="BL171" s="210" t="n"/>
      <c r="BM171" s="210" t="n"/>
      <c r="BN171" s="210" t="n"/>
      <c r="BO171" s="210" t="n"/>
      <c r="BP171" s="210" t="n"/>
      <c r="BQ171" s="210" t="n"/>
      <c r="BR171" s="210" t="n"/>
      <c r="BS171" s="210" t="n"/>
      <c r="BT171" s="212" t="n"/>
      <c r="BU171" s="177" t="n"/>
    </row>
    <row r="172" ht="60" customHeight="1">
      <c r="A172" s="178" t="inlineStr">
        <is>
          <t>SUDESTE</t>
        </is>
      </c>
      <c r="B172" s="207" t="inlineStr">
        <is>
          <t>SP</t>
        </is>
      </c>
      <c r="C172" s="29" t="inlineStr">
        <is>
          <t>SAO PAULO</t>
        </is>
      </c>
      <c r="D172" s="178" t="inlineStr">
        <is>
          <t>INSTITUTO DO CANCER ARNALDO VIEIRA DE CARVALHO</t>
        </is>
      </c>
      <c r="E172" s="208" t="inlineStr">
        <is>
          <t>60945854000172</t>
        </is>
      </c>
      <c r="F172" s="29" t="inlineStr">
        <is>
          <t>INSTITUTO DO CANCER ARNALDO VIEIRA DE CARVALHO</t>
        </is>
      </c>
      <c r="G172" s="209" t="inlineStr">
        <is>
          <t>2080125</t>
        </is>
      </c>
      <c r="H172" s="210" t="n"/>
      <c r="I172" s="210" t="n"/>
      <c r="J172" s="210" t="n"/>
      <c r="K172" s="210" t="inlineStr">
        <is>
          <t>Indireta</t>
        </is>
      </c>
      <c r="L172" s="211" t="inlineStr">
        <is>
          <t>Transferegov/SEI</t>
        </is>
      </c>
      <c r="M172" s="211" t="inlineStr">
        <is>
          <t>Convênio</t>
        </is>
      </c>
      <c r="N172" s="207" t="n">
        <v>2023</v>
      </c>
      <c r="O172" s="207" t="n">
        <v>946563</v>
      </c>
      <c r="P172" s="207" t="n">
        <v>96094523001</v>
      </c>
      <c r="Q172" s="210" t="n"/>
      <c r="R172" s="178" t="n"/>
      <c r="S172" s="210" t="n"/>
      <c r="T172" s="29" t="inlineStr">
        <is>
          <t>Carro de Curativos</t>
        </is>
      </c>
      <c r="U172" s="210" t="n"/>
      <c r="V172" s="210" t="n">
        <v>5</v>
      </c>
      <c r="W172" s="182" t="inlineStr">
        <is>
          <t xml:space="preserve"> UND</t>
        </is>
      </c>
      <c r="X172" s="210" t="inlineStr">
        <is>
          <t>EQUIPAMENTO</t>
        </is>
      </c>
      <c r="Y172" s="178" t="n"/>
      <c r="Z172" s="211" t="inlineStr">
        <is>
          <t xml:space="preserve"> NA</t>
        </is>
      </c>
      <c r="AA172" s="212" t="n"/>
      <c r="AB172" s="212" t="n"/>
      <c r="AC172" s="212" t="n"/>
      <c r="AD172" s="211" t="inlineStr">
        <is>
          <t>NI</t>
        </is>
      </c>
      <c r="AE172" s="211" t="inlineStr">
        <is>
          <t>NI</t>
        </is>
      </c>
      <c r="AF172" s="211" t="inlineStr">
        <is>
          <t>NI</t>
        </is>
      </c>
      <c r="AG172" s="177" t="n">
        <v>186600</v>
      </c>
      <c r="AH172" s="177" t="n"/>
      <c r="AI172" s="212" t="n"/>
      <c r="AJ172" s="182" t="n">
        <v>8535</v>
      </c>
      <c r="AK172" s="183" t="inlineStr">
        <is>
          <t> </t>
        </is>
      </c>
      <c r="AL172" s="183" t="inlineStr">
        <is>
          <t> </t>
        </is>
      </c>
      <c r="AM172" s="183" t="inlineStr">
        <is>
          <t> </t>
        </is>
      </c>
      <c r="AN172" s="183" t="inlineStr">
        <is>
          <t> </t>
        </is>
      </c>
      <c r="AO172" s="183" t="inlineStr">
        <is>
          <t> </t>
        </is>
      </c>
      <c r="AP172" s="183" t="inlineStr">
        <is>
          <t> </t>
        </is>
      </c>
      <c r="AQ172" s="183" t="inlineStr">
        <is>
          <t> </t>
        </is>
      </c>
      <c r="AR172" s="183" t="inlineStr">
        <is>
          <t> </t>
        </is>
      </c>
      <c r="AS172" s="183" t="inlineStr">
        <is>
          <t> </t>
        </is>
      </c>
      <c r="AT172" s="183" t="inlineStr">
        <is>
          <t> </t>
        </is>
      </c>
      <c r="AU172" s="183" t="inlineStr">
        <is>
          <t> </t>
        </is>
      </c>
      <c r="AV172" s="183" t="inlineStr">
        <is>
          <t> </t>
        </is>
      </c>
      <c r="AW172" s="183" t="inlineStr">
        <is>
          <t> </t>
        </is>
      </c>
      <c r="AX172" s="183" t="inlineStr">
        <is>
          <t> </t>
        </is>
      </c>
      <c r="AY172" s="210" t="inlineStr">
        <is>
          <t>EM EXECUÇÃO</t>
        </is>
      </c>
      <c r="AZ172" s="210" t="inlineStr">
        <is>
          <t>NI</t>
        </is>
      </c>
      <c r="BA172" s="210" t="inlineStr">
        <is>
          <t>NI</t>
        </is>
      </c>
      <c r="BB172" s="210" t="inlineStr">
        <is>
          <t>NI</t>
        </is>
      </c>
      <c r="BC172" s="212" t="n"/>
      <c r="BD172" s="210" t="n"/>
      <c r="BE172" s="210" t="n"/>
      <c r="BF172" s="178" t="n"/>
      <c r="BG172" s="210" t="n"/>
      <c r="BH172" s="210" t="n"/>
      <c r="BI172" s="210" t="n"/>
      <c r="BJ172" s="210" t="n"/>
      <c r="BK172" s="210" t="n"/>
      <c r="BL172" s="210" t="n"/>
      <c r="BM172" s="210" t="n"/>
      <c r="BN172" s="210" t="n"/>
      <c r="BO172" s="210" t="n"/>
      <c r="BP172" s="210" t="n"/>
      <c r="BQ172" s="210" t="n"/>
      <c r="BR172" s="210" t="n"/>
      <c r="BS172" s="210" t="n"/>
      <c r="BT172" s="212" t="n"/>
      <c r="BU172" s="177" t="n"/>
    </row>
    <row r="173" ht="60" customHeight="1">
      <c r="A173" s="178" t="inlineStr">
        <is>
          <t>SUDESTE</t>
        </is>
      </c>
      <c r="B173" s="207" t="inlineStr">
        <is>
          <t>SP</t>
        </is>
      </c>
      <c r="C173" s="29" t="inlineStr">
        <is>
          <t>SAO PAULO</t>
        </is>
      </c>
      <c r="D173" s="178" t="inlineStr">
        <is>
          <t>INSTITUTO DO CANCER ARNALDO VIEIRA DE CARVALHO</t>
        </is>
      </c>
      <c r="E173" s="208" t="inlineStr">
        <is>
          <t>60945854000172</t>
        </is>
      </c>
      <c r="F173" s="29" t="inlineStr">
        <is>
          <t>INSTITUTO DO CANCER ARNALDO VIEIRA DE CARVALHO</t>
        </is>
      </c>
      <c r="G173" s="209" t="inlineStr">
        <is>
          <t>2080125</t>
        </is>
      </c>
      <c r="H173" s="210" t="n"/>
      <c r="I173" s="210" t="n"/>
      <c r="J173" s="210" t="n"/>
      <c r="K173" s="210" t="inlineStr">
        <is>
          <t>Indireta</t>
        </is>
      </c>
      <c r="L173" s="211" t="inlineStr">
        <is>
          <t>Transferegov/SEI</t>
        </is>
      </c>
      <c r="M173" s="211" t="inlineStr">
        <is>
          <t>Convênio</t>
        </is>
      </c>
      <c r="N173" s="207" t="n">
        <v>2023</v>
      </c>
      <c r="O173" s="207" t="n">
        <v>946563</v>
      </c>
      <c r="P173" s="207" t="n">
        <v>96094523001</v>
      </c>
      <c r="Q173" s="210" t="n"/>
      <c r="R173" s="178" t="n"/>
      <c r="S173" s="210" t="n"/>
      <c r="T173" s="29" t="inlineStr">
        <is>
          <t>Mesa Auxiliar</t>
        </is>
      </c>
      <c r="U173" s="210" t="n"/>
      <c r="V173" s="210" t="n">
        <v>2</v>
      </c>
      <c r="W173" s="182" t="inlineStr">
        <is>
          <t xml:space="preserve"> UND</t>
        </is>
      </c>
      <c r="X173" s="210" t="inlineStr">
        <is>
          <t>EQUIPAMENTO</t>
        </is>
      </c>
      <c r="Y173" s="178" t="n"/>
      <c r="Z173" s="211" t="inlineStr">
        <is>
          <t xml:space="preserve"> NA</t>
        </is>
      </c>
      <c r="AA173" s="212" t="n"/>
      <c r="AB173" s="212" t="n"/>
      <c r="AC173" s="212" t="n"/>
      <c r="AD173" s="211" t="inlineStr">
        <is>
          <t>NI</t>
        </is>
      </c>
      <c r="AE173" s="211" t="inlineStr">
        <is>
          <t>NI</t>
        </is>
      </c>
      <c r="AF173" s="211" t="inlineStr">
        <is>
          <t>NI</t>
        </is>
      </c>
      <c r="AG173" s="177" t="n">
        <v>186600</v>
      </c>
      <c r="AH173" s="177" t="n"/>
      <c r="AI173" s="212" t="n"/>
      <c r="AJ173" s="182" t="n">
        <v>8535</v>
      </c>
      <c r="AK173" s="183" t="inlineStr">
        <is>
          <t> </t>
        </is>
      </c>
      <c r="AL173" s="183" t="inlineStr">
        <is>
          <t> </t>
        </is>
      </c>
      <c r="AM173" s="183" t="inlineStr">
        <is>
          <t> </t>
        </is>
      </c>
      <c r="AN173" s="183" t="inlineStr">
        <is>
          <t> </t>
        </is>
      </c>
      <c r="AO173" s="183" t="inlineStr">
        <is>
          <t> </t>
        </is>
      </c>
      <c r="AP173" s="183" t="inlineStr">
        <is>
          <t> </t>
        </is>
      </c>
      <c r="AQ173" s="183" t="inlineStr">
        <is>
          <t> </t>
        </is>
      </c>
      <c r="AR173" s="183" t="inlineStr">
        <is>
          <t> </t>
        </is>
      </c>
      <c r="AS173" s="183" t="inlineStr">
        <is>
          <t> </t>
        </is>
      </c>
      <c r="AT173" s="183" t="inlineStr">
        <is>
          <t> </t>
        </is>
      </c>
      <c r="AU173" s="183" t="inlineStr">
        <is>
          <t> </t>
        </is>
      </c>
      <c r="AV173" s="183" t="inlineStr">
        <is>
          <t> </t>
        </is>
      </c>
      <c r="AW173" s="183" t="inlineStr">
        <is>
          <t> </t>
        </is>
      </c>
      <c r="AX173" s="183" t="inlineStr">
        <is>
          <t> </t>
        </is>
      </c>
      <c r="AY173" s="210" t="inlineStr">
        <is>
          <t>EM EXECUÇÃO</t>
        </is>
      </c>
      <c r="AZ173" s="210" t="inlineStr">
        <is>
          <t>NI</t>
        </is>
      </c>
      <c r="BA173" s="210" t="inlineStr">
        <is>
          <t>NI</t>
        </is>
      </c>
      <c r="BB173" s="210" t="inlineStr">
        <is>
          <t>NI</t>
        </is>
      </c>
      <c r="BC173" s="212" t="n"/>
      <c r="BD173" s="210" t="n"/>
      <c r="BE173" s="210" t="n"/>
      <c r="BF173" s="178" t="n"/>
      <c r="BG173" s="210" t="n"/>
      <c r="BH173" s="210" t="n"/>
      <c r="BI173" s="210" t="n"/>
      <c r="BJ173" s="210" t="n"/>
      <c r="BK173" s="210" t="n"/>
      <c r="BL173" s="210" t="n"/>
      <c r="BM173" s="210" t="n"/>
      <c r="BN173" s="210" t="n"/>
      <c r="BO173" s="210" t="n"/>
      <c r="BP173" s="210" t="n"/>
      <c r="BQ173" s="210" t="n"/>
      <c r="BR173" s="210" t="n"/>
      <c r="BS173" s="210" t="n"/>
      <c r="BT173" s="212" t="n"/>
      <c r="BU173" s="177" t="n"/>
    </row>
    <row r="174" ht="60" customHeight="1">
      <c r="A174" s="178" t="inlineStr">
        <is>
          <t>SUDESTE</t>
        </is>
      </c>
      <c r="B174" s="207" t="inlineStr">
        <is>
          <t>SP</t>
        </is>
      </c>
      <c r="C174" s="29" t="inlineStr">
        <is>
          <t>SAO PAULO</t>
        </is>
      </c>
      <c r="D174" s="178" t="inlineStr">
        <is>
          <t>INSTITUTO DO CANCER ARNALDO VIEIRA DE CARVALHO</t>
        </is>
      </c>
      <c r="E174" s="208" t="inlineStr">
        <is>
          <t>60945854000172</t>
        </is>
      </c>
      <c r="F174" s="29" t="inlineStr">
        <is>
          <t>INSTITUTO DO CANCER ARNALDO VIEIRA DE CARVALHO</t>
        </is>
      </c>
      <c r="G174" s="209" t="inlineStr">
        <is>
          <t>2080125</t>
        </is>
      </c>
      <c r="H174" s="210" t="n"/>
      <c r="I174" s="210" t="n"/>
      <c r="J174" s="210" t="n"/>
      <c r="K174" s="210" t="inlineStr">
        <is>
          <t>Indireta</t>
        </is>
      </c>
      <c r="L174" s="211" t="inlineStr">
        <is>
          <t>Transferegov/SEI</t>
        </is>
      </c>
      <c r="M174" s="211" t="inlineStr">
        <is>
          <t>Convênio</t>
        </is>
      </c>
      <c r="N174" s="207" t="n">
        <v>2023</v>
      </c>
      <c r="O174" s="207" t="n">
        <v>946563</v>
      </c>
      <c r="P174" s="207" t="n">
        <v>96094523001</v>
      </c>
      <c r="Q174" s="210" t="n"/>
      <c r="R174" s="178" t="n"/>
      <c r="S174" s="210" t="n"/>
      <c r="T174" s="29" t="inlineStr">
        <is>
          <t>Suporte de Hamper</t>
        </is>
      </c>
      <c r="U174" s="210" t="n"/>
      <c r="V174" s="210" t="n">
        <v>4</v>
      </c>
      <c r="W174" s="182" t="inlineStr">
        <is>
          <t xml:space="preserve"> UND</t>
        </is>
      </c>
      <c r="X174" s="210" t="inlineStr">
        <is>
          <t>EQUIPAMENTO</t>
        </is>
      </c>
      <c r="Y174" s="178" t="n"/>
      <c r="Z174" s="211" t="inlineStr">
        <is>
          <t xml:space="preserve"> NA</t>
        </is>
      </c>
      <c r="AA174" s="212" t="n"/>
      <c r="AB174" s="212" t="n"/>
      <c r="AC174" s="212" t="n"/>
      <c r="AD174" s="211" t="inlineStr">
        <is>
          <t>NI</t>
        </is>
      </c>
      <c r="AE174" s="211" t="inlineStr">
        <is>
          <t>NI</t>
        </is>
      </c>
      <c r="AF174" s="211" t="inlineStr">
        <is>
          <t>NI</t>
        </is>
      </c>
      <c r="AG174" s="177" t="n">
        <v>186600</v>
      </c>
      <c r="AH174" s="177" t="n"/>
      <c r="AI174" s="212" t="n"/>
      <c r="AJ174" s="182" t="n">
        <v>8535</v>
      </c>
      <c r="AK174" s="183" t="inlineStr">
        <is>
          <t> </t>
        </is>
      </c>
      <c r="AL174" s="183" t="inlineStr">
        <is>
          <t> </t>
        </is>
      </c>
      <c r="AM174" s="183" t="inlineStr">
        <is>
          <t> </t>
        </is>
      </c>
      <c r="AN174" s="183" t="inlineStr">
        <is>
          <t> </t>
        </is>
      </c>
      <c r="AO174" s="183" t="inlineStr">
        <is>
          <t> </t>
        </is>
      </c>
      <c r="AP174" s="183" t="inlineStr">
        <is>
          <t> </t>
        </is>
      </c>
      <c r="AQ174" s="183" t="inlineStr">
        <is>
          <t> </t>
        </is>
      </c>
      <c r="AR174" s="183" t="inlineStr">
        <is>
          <t> </t>
        </is>
      </c>
      <c r="AS174" s="183" t="inlineStr">
        <is>
          <t> </t>
        </is>
      </c>
      <c r="AT174" s="183" t="inlineStr">
        <is>
          <t> </t>
        </is>
      </c>
      <c r="AU174" s="183" t="inlineStr">
        <is>
          <t> </t>
        </is>
      </c>
      <c r="AV174" s="183" t="inlineStr">
        <is>
          <t> </t>
        </is>
      </c>
      <c r="AW174" s="183" t="inlineStr">
        <is>
          <t> </t>
        </is>
      </c>
      <c r="AX174" s="183" t="inlineStr">
        <is>
          <t> </t>
        </is>
      </c>
      <c r="AY174" s="210" t="inlineStr">
        <is>
          <t>EM EXECUÇÃO</t>
        </is>
      </c>
      <c r="AZ174" s="210" t="inlineStr">
        <is>
          <t>NI</t>
        </is>
      </c>
      <c r="BA174" s="210" t="inlineStr">
        <is>
          <t>NI</t>
        </is>
      </c>
      <c r="BB174" s="210" t="inlineStr">
        <is>
          <t>NI</t>
        </is>
      </c>
      <c r="BC174" s="212" t="n"/>
      <c r="BD174" s="210" t="n"/>
      <c r="BE174" s="210" t="n"/>
      <c r="BF174" s="178" t="n"/>
      <c r="BG174" s="210" t="n"/>
      <c r="BH174" s="210" t="n"/>
      <c r="BI174" s="210" t="n"/>
      <c r="BJ174" s="210" t="n"/>
      <c r="BK174" s="210" t="n"/>
      <c r="BL174" s="210" t="n"/>
      <c r="BM174" s="210" t="n"/>
      <c r="BN174" s="210" t="n"/>
      <c r="BO174" s="210" t="n"/>
      <c r="BP174" s="210" t="n"/>
      <c r="BQ174" s="210" t="n"/>
      <c r="BR174" s="210" t="n"/>
      <c r="BS174" s="210" t="n"/>
      <c r="BT174" s="212" t="n"/>
      <c r="BU174" s="177" t="n"/>
    </row>
    <row r="175" ht="60" customHeight="1">
      <c r="A175" s="178" t="inlineStr">
        <is>
          <t>SUDESTE</t>
        </is>
      </c>
      <c r="B175" s="207" t="inlineStr">
        <is>
          <t>SP</t>
        </is>
      </c>
      <c r="C175" s="29" t="inlineStr">
        <is>
          <t>SAO PAULO</t>
        </is>
      </c>
      <c r="D175" s="178" t="inlineStr">
        <is>
          <t>INSTITUTO DO CANCER ARNALDO VIEIRA DE CARVALHO</t>
        </is>
      </c>
      <c r="E175" s="208" t="inlineStr">
        <is>
          <t>60945854000172</t>
        </is>
      </c>
      <c r="F175" s="29" t="inlineStr">
        <is>
          <t>INSTITUTO DO CANCER ARNALDO VIEIRA DE CARVALHO</t>
        </is>
      </c>
      <c r="G175" s="209" t="inlineStr">
        <is>
          <t>2080125</t>
        </is>
      </c>
      <c r="H175" s="210" t="n"/>
      <c r="I175" s="210" t="n"/>
      <c r="J175" s="210" t="n"/>
      <c r="K175" s="210" t="inlineStr">
        <is>
          <t>Indireta</t>
        </is>
      </c>
      <c r="L175" s="211" t="inlineStr">
        <is>
          <t>Transferegov/SEI</t>
        </is>
      </c>
      <c r="M175" s="211" t="inlineStr">
        <is>
          <t>Convênio</t>
        </is>
      </c>
      <c r="N175" s="207" t="n">
        <v>2023</v>
      </c>
      <c r="O175" s="207" t="n">
        <v>946563</v>
      </c>
      <c r="P175" s="207" t="n">
        <v>96094523001</v>
      </c>
      <c r="Q175" s="210" t="n"/>
      <c r="R175" s="178" t="n"/>
      <c r="S175" s="210" t="n"/>
      <c r="T175" s="29" t="inlineStr">
        <is>
          <t>Balança Antropométrica Adulto</t>
        </is>
      </c>
      <c r="U175" s="210" t="n"/>
      <c r="V175" s="210" t="n">
        <v>1</v>
      </c>
      <c r="W175" s="182" t="inlineStr">
        <is>
          <t xml:space="preserve"> UND</t>
        </is>
      </c>
      <c r="X175" s="210" t="inlineStr">
        <is>
          <t>EQUIPAMENTO</t>
        </is>
      </c>
      <c r="Y175" s="178" t="n"/>
      <c r="Z175" s="211" t="inlineStr">
        <is>
          <t xml:space="preserve"> NA</t>
        </is>
      </c>
      <c r="AA175" s="212" t="n"/>
      <c r="AB175" s="212" t="n"/>
      <c r="AC175" s="212" t="n"/>
      <c r="AD175" s="211" t="inlineStr">
        <is>
          <t>NI</t>
        </is>
      </c>
      <c r="AE175" s="211" t="inlineStr">
        <is>
          <t>NI</t>
        </is>
      </c>
      <c r="AF175" s="211" t="inlineStr">
        <is>
          <t>NI</t>
        </is>
      </c>
      <c r="AG175" s="177" t="n">
        <v>186600</v>
      </c>
      <c r="AH175" s="177" t="n"/>
      <c r="AI175" s="212" t="n"/>
      <c r="AJ175" s="182" t="n">
        <v>8535</v>
      </c>
      <c r="AK175" s="183" t="inlineStr">
        <is>
          <t> </t>
        </is>
      </c>
      <c r="AL175" s="183" t="inlineStr">
        <is>
          <t> </t>
        </is>
      </c>
      <c r="AM175" s="183" t="inlineStr">
        <is>
          <t> </t>
        </is>
      </c>
      <c r="AN175" s="183" t="inlineStr">
        <is>
          <t> </t>
        </is>
      </c>
      <c r="AO175" s="183" t="inlineStr">
        <is>
          <t> </t>
        </is>
      </c>
      <c r="AP175" s="183" t="inlineStr">
        <is>
          <t> </t>
        </is>
      </c>
      <c r="AQ175" s="183" t="inlineStr">
        <is>
          <t> </t>
        </is>
      </c>
      <c r="AR175" s="183" t="inlineStr">
        <is>
          <t> </t>
        </is>
      </c>
      <c r="AS175" s="183" t="inlineStr">
        <is>
          <t> </t>
        </is>
      </c>
      <c r="AT175" s="183" t="inlineStr">
        <is>
          <t> </t>
        </is>
      </c>
      <c r="AU175" s="183" t="inlineStr">
        <is>
          <t> </t>
        </is>
      </c>
      <c r="AV175" s="183" t="inlineStr">
        <is>
          <t> </t>
        </is>
      </c>
      <c r="AW175" s="183" t="inlineStr">
        <is>
          <t> </t>
        </is>
      </c>
      <c r="AX175" s="183" t="inlineStr">
        <is>
          <t> </t>
        </is>
      </c>
      <c r="AY175" s="210" t="inlineStr">
        <is>
          <t>EM EXECUÇÃO</t>
        </is>
      </c>
      <c r="AZ175" s="210" t="inlineStr">
        <is>
          <t>NI</t>
        </is>
      </c>
      <c r="BA175" s="210" t="inlineStr">
        <is>
          <t>NI</t>
        </is>
      </c>
      <c r="BB175" s="210" t="inlineStr">
        <is>
          <t>NI</t>
        </is>
      </c>
      <c r="BC175" s="212" t="n"/>
      <c r="BD175" s="210" t="n"/>
      <c r="BE175" s="210" t="n"/>
      <c r="BF175" s="178" t="n"/>
      <c r="BG175" s="210" t="n"/>
      <c r="BH175" s="210" t="n"/>
      <c r="BI175" s="210" t="n"/>
      <c r="BJ175" s="210" t="n"/>
      <c r="BK175" s="210" t="n"/>
      <c r="BL175" s="210" t="n"/>
      <c r="BM175" s="210" t="n"/>
      <c r="BN175" s="210" t="n"/>
      <c r="BO175" s="210" t="n"/>
      <c r="BP175" s="210" t="n"/>
      <c r="BQ175" s="210" t="n"/>
      <c r="BR175" s="210" t="n"/>
      <c r="BS175" s="210" t="n"/>
      <c r="BT175" s="212" t="n"/>
      <c r="BU175" s="177" t="n"/>
    </row>
    <row r="176" ht="60" customHeight="1">
      <c r="A176" s="178" t="inlineStr">
        <is>
          <t>SUDESTE</t>
        </is>
      </c>
      <c r="B176" s="207" t="inlineStr">
        <is>
          <t>SP</t>
        </is>
      </c>
      <c r="C176" s="29" t="inlineStr">
        <is>
          <t>SAO PAULO</t>
        </is>
      </c>
      <c r="D176" s="178" t="inlineStr">
        <is>
          <t>INSTITUTO DO CANCER ARNALDO VIEIRA DE CARVALHO</t>
        </is>
      </c>
      <c r="E176" s="208" t="inlineStr">
        <is>
          <t>60945854000172</t>
        </is>
      </c>
      <c r="F176" s="29" t="inlineStr">
        <is>
          <t>INSTITUTO DO CANCER ARNALDO VIEIRA DE CARVALHO</t>
        </is>
      </c>
      <c r="G176" s="209" t="inlineStr">
        <is>
          <t>2080125</t>
        </is>
      </c>
      <c r="H176" s="210" t="n"/>
      <c r="I176" s="210" t="n"/>
      <c r="J176" s="210" t="n"/>
      <c r="K176" s="210" t="inlineStr">
        <is>
          <t>Indireta</t>
        </is>
      </c>
      <c r="L176" s="211" t="inlineStr">
        <is>
          <t>Transferegov/SEI</t>
        </is>
      </c>
      <c r="M176" s="211" t="inlineStr">
        <is>
          <t>Convênio</t>
        </is>
      </c>
      <c r="N176" s="207" t="n">
        <v>2023</v>
      </c>
      <c r="O176" s="207" t="n">
        <v>946563</v>
      </c>
      <c r="P176" s="207" t="n">
        <v>96094523001</v>
      </c>
      <c r="Q176" s="210" t="n"/>
      <c r="R176" s="178" t="n"/>
      <c r="S176" s="210" t="n"/>
      <c r="T176" s="29" t="inlineStr">
        <is>
          <t>Balde a Pedal</t>
        </is>
      </c>
      <c r="U176" s="210" t="n"/>
      <c r="V176" s="210" t="n">
        <v>15</v>
      </c>
      <c r="W176" s="182" t="inlineStr">
        <is>
          <t xml:space="preserve"> UND</t>
        </is>
      </c>
      <c r="X176" s="210" t="inlineStr">
        <is>
          <t>EQUIPAMENTO</t>
        </is>
      </c>
      <c r="Y176" s="178" t="n"/>
      <c r="Z176" s="211" t="inlineStr">
        <is>
          <t xml:space="preserve"> NA</t>
        </is>
      </c>
      <c r="AA176" s="212" t="n"/>
      <c r="AB176" s="212" t="n"/>
      <c r="AC176" s="212" t="n"/>
      <c r="AD176" s="211" t="inlineStr">
        <is>
          <t>NI</t>
        </is>
      </c>
      <c r="AE176" s="211" t="inlineStr">
        <is>
          <t>NI</t>
        </is>
      </c>
      <c r="AF176" s="211" t="inlineStr">
        <is>
          <t>NI</t>
        </is>
      </c>
      <c r="AG176" s="177" t="n">
        <v>186600</v>
      </c>
      <c r="AH176" s="177" t="n"/>
      <c r="AI176" s="212" t="n"/>
      <c r="AJ176" s="182" t="n">
        <v>8535</v>
      </c>
      <c r="AK176" s="183" t="inlineStr">
        <is>
          <t> </t>
        </is>
      </c>
      <c r="AL176" s="183" t="inlineStr">
        <is>
          <t> </t>
        </is>
      </c>
      <c r="AM176" s="183" t="inlineStr">
        <is>
          <t> </t>
        </is>
      </c>
      <c r="AN176" s="183" t="inlineStr">
        <is>
          <t> </t>
        </is>
      </c>
      <c r="AO176" s="183" t="inlineStr">
        <is>
          <t> </t>
        </is>
      </c>
      <c r="AP176" s="183" t="inlineStr">
        <is>
          <t> </t>
        </is>
      </c>
      <c r="AQ176" s="183" t="inlineStr">
        <is>
          <t> </t>
        </is>
      </c>
      <c r="AR176" s="183" t="inlineStr">
        <is>
          <t> </t>
        </is>
      </c>
      <c r="AS176" s="183" t="inlineStr">
        <is>
          <t> </t>
        </is>
      </c>
      <c r="AT176" s="183" t="inlineStr">
        <is>
          <t> </t>
        </is>
      </c>
      <c r="AU176" s="183" t="inlineStr">
        <is>
          <t> </t>
        </is>
      </c>
      <c r="AV176" s="183" t="inlineStr">
        <is>
          <t> </t>
        </is>
      </c>
      <c r="AW176" s="183" t="inlineStr">
        <is>
          <t> </t>
        </is>
      </c>
      <c r="AX176" s="183" t="inlineStr">
        <is>
          <t> </t>
        </is>
      </c>
      <c r="AY176" s="210" t="inlineStr">
        <is>
          <t>EM EXECUÇÃO</t>
        </is>
      </c>
      <c r="AZ176" s="210" t="inlineStr">
        <is>
          <t>NI</t>
        </is>
      </c>
      <c r="BA176" s="210" t="inlineStr">
        <is>
          <t>NI</t>
        </is>
      </c>
      <c r="BB176" s="210" t="inlineStr">
        <is>
          <t>NI</t>
        </is>
      </c>
      <c r="BC176" s="212" t="n"/>
      <c r="BD176" s="210" t="n"/>
      <c r="BE176" s="210" t="n"/>
      <c r="BF176" s="178" t="n"/>
      <c r="BG176" s="210" t="n"/>
      <c r="BH176" s="210" t="n"/>
      <c r="BI176" s="210" t="n"/>
      <c r="BJ176" s="210" t="n"/>
      <c r="BK176" s="210" t="n"/>
      <c r="BL176" s="210" t="n"/>
      <c r="BM176" s="210" t="n"/>
      <c r="BN176" s="210" t="n"/>
      <c r="BO176" s="210" t="n"/>
      <c r="BP176" s="210" t="n"/>
      <c r="BQ176" s="210" t="n"/>
      <c r="BR176" s="210" t="n"/>
      <c r="BS176" s="210" t="n"/>
      <c r="BT176" s="212" t="n"/>
      <c r="BU176" s="177" t="n"/>
    </row>
    <row r="177" ht="60" customHeight="1">
      <c r="A177" s="178" t="inlineStr">
        <is>
          <t>SUDESTE</t>
        </is>
      </c>
      <c r="B177" s="207" t="inlineStr">
        <is>
          <t>SP</t>
        </is>
      </c>
      <c r="C177" s="29" t="inlineStr">
        <is>
          <t>SAO PAULO</t>
        </is>
      </c>
      <c r="D177" s="178" t="inlineStr">
        <is>
          <t>INSTITUTO DO CANCER ARNALDO VIEIRA DE CARVALHO</t>
        </is>
      </c>
      <c r="E177" s="208" t="inlineStr">
        <is>
          <t>60945854000172</t>
        </is>
      </c>
      <c r="F177" s="29" t="inlineStr">
        <is>
          <t>INSTITUTO DO CANCER ARNALDO VIEIRA DE CARVALHO</t>
        </is>
      </c>
      <c r="G177" s="209" t="inlineStr">
        <is>
          <t>2080125</t>
        </is>
      </c>
      <c r="H177" s="210" t="n"/>
      <c r="I177" s="210" t="n"/>
      <c r="J177" s="210" t="n"/>
      <c r="K177" s="210" t="inlineStr">
        <is>
          <t>Indireta</t>
        </is>
      </c>
      <c r="L177" s="211" t="inlineStr">
        <is>
          <t>Transferegov/SEI</t>
        </is>
      </c>
      <c r="M177" s="211" t="inlineStr">
        <is>
          <t>Convênio</t>
        </is>
      </c>
      <c r="N177" s="207" t="n">
        <v>2023</v>
      </c>
      <c r="O177" s="207" t="n">
        <v>954419</v>
      </c>
      <c r="P177" s="207" t="n">
        <v>96094523012</v>
      </c>
      <c r="Q177" s="210" t="n"/>
      <c r="R177" s="178" t="n"/>
      <c r="S177" s="210" t="n"/>
      <c r="T177" s="29" t="inlineStr">
        <is>
          <t>Cama Hospitalar Tipo Fawler Elétrica</t>
        </is>
      </c>
      <c r="U177" s="210" t="n"/>
      <c r="V177" s="210" t="n">
        <v>1</v>
      </c>
      <c r="W177" s="182" t="inlineStr">
        <is>
          <t xml:space="preserve"> UND</t>
        </is>
      </c>
      <c r="X177" s="210" t="inlineStr">
        <is>
          <t>EQUIPAMENTO</t>
        </is>
      </c>
      <c r="Y177" s="178" t="n"/>
      <c r="Z177" s="211" t="inlineStr">
        <is>
          <t xml:space="preserve"> NA</t>
        </is>
      </c>
      <c r="AA177" s="212" t="n"/>
      <c r="AB177" s="212" t="n"/>
      <c r="AC177" s="212" t="n"/>
      <c r="AD177" s="211" t="inlineStr">
        <is>
          <t>NI</t>
        </is>
      </c>
      <c r="AE177" s="211" t="inlineStr">
        <is>
          <t>NI</t>
        </is>
      </c>
      <c r="AF177" s="211" t="inlineStr">
        <is>
          <t>NI</t>
        </is>
      </c>
      <c r="AG177" s="177" t="n">
        <v>200000</v>
      </c>
      <c r="AH177" s="177" t="n"/>
      <c r="AI177" s="212" t="n"/>
      <c r="AJ177" s="182" t="n">
        <v>8535</v>
      </c>
      <c r="AK177" s="183" t="inlineStr">
        <is>
          <t> </t>
        </is>
      </c>
      <c r="AL177" s="183" t="inlineStr">
        <is>
          <t> </t>
        </is>
      </c>
      <c r="AM177" s="183" t="inlineStr">
        <is>
          <t> </t>
        </is>
      </c>
      <c r="AN177" s="183" t="inlineStr">
        <is>
          <t> </t>
        </is>
      </c>
      <c r="AO177" s="183" t="inlineStr">
        <is>
          <t> </t>
        </is>
      </c>
      <c r="AP177" s="183" t="inlineStr">
        <is>
          <t> </t>
        </is>
      </c>
      <c r="AQ177" s="183" t="inlineStr">
        <is>
          <t> </t>
        </is>
      </c>
      <c r="AR177" s="183" t="inlineStr">
        <is>
          <t> </t>
        </is>
      </c>
      <c r="AS177" s="183" t="inlineStr">
        <is>
          <t> </t>
        </is>
      </c>
      <c r="AT177" s="183" t="inlineStr">
        <is>
          <t> </t>
        </is>
      </c>
      <c r="AU177" s="183" t="inlineStr">
        <is>
          <t> </t>
        </is>
      </c>
      <c r="AV177" s="183" t="inlineStr">
        <is>
          <t> </t>
        </is>
      </c>
      <c r="AW177" s="183" t="inlineStr">
        <is>
          <t> </t>
        </is>
      </c>
      <c r="AX177" s="183" t="inlineStr">
        <is>
          <t> </t>
        </is>
      </c>
      <c r="AY177" s="210" t="inlineStr">
        <is>
          <t>PRESTAÇÃO DE CONTAS ENVIADA PARA ANÁLISE</t>
        </is>
      </c>
      <c r="AZ177" s="210" t="inlineStr">
        <is>
          <t>NI</t>
        </is>
      </c>
      <c r="BA177" s="210" t="inlineStr">
        <is>
          <t>NI</t>
        </is>
      </c>
      <c r="BB177" s="210" t="inlineStr">
        <is>
          <t>NI</t>
        </is>
      </c>
      <c r="BC177" s="212" t="n"/>
      <c r="BD177" s="210" t="n"/>
      <c r="BE177" s="210" t="n"/>
      <c r="BF177" s="178" t="n"/>
      <c r="BG177" s="210" t="n"/>
      <c r="BH177" s="210" t="n"/>
      <c r="BI177" s="210" t="n"/>
      <c r="BJ177" s="210" t="n"/>
      <c r="BK177" s="210" t="n"/>
      <c r="BL177" s="210" t="n"/>
      <c r="BM177" s="210" t="n"/>
      <c r="BN177" s="210" t="n"/>
      <c r="BO177" s="210" t="n"/>
      <c r="BP177" s="210" t="n"/>
      <c r="BQ177" s="210" t="n"/>
      <c r="BR177" s="210" t="n"/>
      <c r="BS177" s="210" t="n"/>
      <c r="BT177" s="212" t="n"/>
      <c r="BU177" s="177" t="n"/>
    </row>
    <row r="178" ht="60" customHeight="1">
      <c r="A178" s="178" t="inlineStr">
        <is>
          <t>SUDESTE</t>
        </is>
      </c>
      <c r="B178" s="207" t="inlineStr">
        <is>
          <t>SP</t>
        </is>
      </c>
      <c r="C178" s="29" t="inlineStr">
        <is>
          <t>SAO PAULO</t>
        </is>
      </c>
      <c r="D178" s="178" t="inlineStr">
        <is>
          <t>INSTITUTO DO CANCER ARNALDO VIEIRA DE CARVALHO</t>
        </is>
      </c>
      <c r="E178" s="208" t="inlineStr">
        <is>
          <t>60945854000172</t>
        </is>
      </c>
      <c r="F178" s="29" t="inlineStr">
        <is>
          <t>INSTITUTO DO CANCER ARNALDO VIEIRA DE CARVALHO</t>
        </is>
      </c>
      <c r="G178" s="209" t="inlineStr">
        <is>
          <t>2080125</t>
        </is>
      </c>
      <c r="H178" s="210" t="n"/>
      <c r="I178" s="210" t="n"/>
      <c r="J178" s="210" t="n"/>
      <c r="K178" s="210" t="inlineStr">
        <is>
          <t>Indireta</t>
        </is>
      </c>
      <c r="L178" s="211" t="inlineStr">
        <is>
          <t>Transferegov/SEI</t>
        </is>
      </c>
      <c r="M178" s="211" t="inlineStr">
        <is>
          <t>Convênio</t>
        </is>
      </c>
      <c r="N178" s="207" t="n">
        <v>2023</v>
      </c>
      <c r="O178" s="207" t="n">
        <v>954419</v>
      </c>
      <c r="P178" s="207" t="n">
        <v>96094523012</v>
      </c>
      <c r="Q178" s="210" t="n"/>
      <c r="R178" s="178" t="n"/>
      <c r="S178" s="210" t="n"/>
      <c r="T178" s="29" t="inlineStr">
        <is>
          <t>Carro Maca Avançado</t>
        </is>
      </c>
      <c r="U178" s="210" t="n"/>
      <c r="V178" s="210" t="n">
        <v>9</v>
      </c>
      <c r="W178" s="182" t="inlineStr">
        <is>
          <t xml:space="preserve"> UND</t>
        </is>
      </c>
      <c r="X178" s="210" t="inlineStr">
        <is>
          <t>EQUIPAMENTO</t>
        </is>
      </c>
      <c r="Y178" s="178" t="n"/>
      <c r="Z178" s="211" t="inlineStr">
        <is>
          <t xml:space="preserve"> NA</t>
        </is>
      </c>
      <c r="AA178" s="212" t="n"/>
      <c r="AB178" s="212" t="n"/>
      <c r="AC178" s="212" t="n"/>
      <c r="AD178" s="211" t="inlineStr">
        <is>
          <t>NI</t>
        </is>
      </c>
      <c r="AE178" s="211" t="inlineStr">
        <is>
          <t>NI</t>
        </is>
      </c>
      <c r="AF178" s="211" t="inlineStr">
        <is>
          <t>NI</t>
        </is>
      </c>
      <c r="AG178" s="177" t="n">
        <v>200000</v>
      </c>
      <c r="AH178" s="177" t="n"/>
      <c r="AI178" s="212" t="n"/>
      <c r="AJ178" s="182" t="n">
        <v>8535</v>
      </c>
      <c r="AK178" s="183" t="inlineStr">
        <is>
          <t> </t>
        </is>
      </c>
      <c r="AL178" s="183" t="inlineStr">
        <is>
          <t> </t>
        </is>
      </c>
      <c r="AM178" s="183" t="inlineStr">
        <is>
          <t> </t>
        </is>
      </c>
      <c r="AN178" s="183" t="inlineStr">
        <is>
          <t> </t>
        </is>
      </c>
      <c r="AO178" s="183" t="inlineStr">
        <is>
          <t> </t>
        </is>
      </c>
      <c r="AP178" s="183" t="inlineStr">
        <is>
          <t> </t>
        </is>
      </c>
      <c r="AQ178" s="183" t="inlineStr">
        <is>
          <t> </t>
        </is>
      </c>
      <c r="AR178" s="183" t="inlineStr">
        <is>
          <t> </t>
        </is>
      </c>
      <c r="AS178" s="183" t="inlineStr">
        <is>
          <t> </t>
        </is>
      </c>
      <c r="AT178" s="183" t="inlineStr">
        <is>
          <t> </t>
        </is>
      </c>
      <c r="AU178" s="183" t="inlineStr">
        <is>
          <t> </t>
        </is>
      </c>
      <c r="AV178" s="183" t="inlineStr">
        <is>
          <t> </t>
        </is>
      </c>
      <c r="AW178" s="183" t="inlineStr">
        <is>
          <t> </t>
        </is>
      </c>
      <c r="AX178" s="183" t="inlineStr">
        <is>
          <t> </t>
        </is>
      </c>
      <c r="AY178" s="210" t="inlineStr">
        <is>
          <t>PRESTAÇÃO DE CONTAS ENVIADA PARA ANÁLISE</t>
        </is>
      </c>
      <c r="AZ178" s="210" t="inlineStr">
        <is>
          <t>NI</t>
        </is>
      </c>
      <c r="BA178" s="210" t="inlineStr">
        <is>
          <t>NI</t>
        </is>
      </c>
      <c r="BB178" s="210" t="inlineStr">
        <is>
          <t>NI</t>
        </is>
      </c>
      <c r="BC178" s="212" t="n"/>
      <c r="BD178" s="210" t="n"/>
      <c r="BE178" s="210" t="n"/>
      <c r="BF178" s="178" t="n"/>
      <c r="BG178" s="210" t="n"/>
      <c r="BH178" s="210" t="n"/>
      <c r="BI178" s="210" t="n"/>
      <c r="BJ178" s="210" t="n"/>
      <c r="BK178" s="210" t="n"/>
      <c r="BL178" s="210" t="n"/>
      <c r="BM178" s="210" t="n"/>
      <c r="BN178" s="210" t="n"/>
      <c r="BO178" s="210" t="n"/>
      <c r="BP178" s="210" t="n"/>
      <c r="BQ178" s="210" t="n"/>
      <c r="BR178" s="210" t="n"/>
      <c r="BS178" s="210" t="n"/>
      <c r="BT178" s="212" t="n"/>
      <c r="BU178" s="177" t="n"/>
    </row>
    <row r="179" ht="60" customHeight="1">
      <c r="A179" s="178" t="inlineStr">
        <is>
          <t>SUDESTE</t>
        </is>
      </c>
      <c r="B179" s="207" t="inlineStr">
        <is>
          <t>SP</t>
        </is>
      </c>
      <c r="C179" s="29" t="inlineStr">
        <is>
          <t>SAO PAULO</t>
        </is>
      </c>
      <c r="D179" s="178" t="inlineStr">
        <is>
          <t>GRUPO DE APOIO AO ADOLESCENTE E A CRIANCA COM CANCER GRAAC</t>
        </is>
      </c>
      <c r="E179" s="208" t="inlineStr">
        <is>
          <t>67185694000150</t>
        </is>
      </c>
      <c r="F179" s="29" t="inlineStr">
        <is>
          <t>GRUPO DE APOIO AO ADOLESCENTE E A CRIANCA COM CANCER GRAAC</t>
        </is>
      </c>
      <c r="G179" s="209" t="inlineStr">
        <is>
          <t>2089696</t>
        </is>
      </c>
      <c r="H179" s="210" t="n"/>
      <c r="I179" s="210" t="n"/>
      <c r="J179" s="210" t="n"/>
      <c r="K179" s="210" t="inlineStr">
        <is>
          <t>Indireta</t>
        </is>
      </c>
      <c r="L179" s="211" t="inlineStr">
        <is>
          <t>Transferegov/SEI</t>
        </is>
      </c>
      <c r="M179" s="211" t="inlineStr">
        <is>
          <t>Convênio</t>
        </is>
      </c>
      <c r="N179" s="207" t="n">
        <v>2023</v>
      </c>
      <c r="O179" s="207" t="n">
        <v>944147</v>
      </c>
      <c r="P179" s="207" t="n">
        <v>96718523001</v>
      </c>
      <c r="Q179" s="210" t="n"/>
      <c r="R179" s="178" t="n"/>
      <c r="S179" s="210" t="n"/>
      <c r="T179" s="29" t="inlineStr">
        <is>
          <t>Balança Antropométrica Infantil</t>
        </is>
      </c>
      <c r="U179" s="210" t="n"/>
      <c r="V179" s="210" t="n">
        <v>1</v>
      </c>
      <c r="W179" s="182" t="inlineStr">
        <is>
          <t xml:space="preserve"> UND</t>
        </is>
      </c>
      <c r="X179" s="210" t="inlineStr">
        <is>
          <t>EQUIPAMENTO</t>
        </is>
      </c>
      <c r="Y179" s="178" t="n"/>
      <c r="Z179" s="211" t="inlineStr">
        <is>
          <t xml:space="preserve"> NA</t>
        </is>
      </c>
      <c r="AA179" s="212" t="n"/>
      <c r="AB179" s="212" t="n"/>
      <c r="AC179" s="212" t="n"/>
      <c r="AD179" s="211" t="inlineStr">
        <is>
          <t>NI</t>
        </is>
      </c>
      <c r="AE179" s="211" t="inlineStr">
        <is>
          <t>NI</t>
        </is>
      </c>
      <c r="AF179" s="211" t="inlineStr">
        <is>
          <t>NI</t>
        </is>
      </c>
      <c r="AG179" s="177" t="n">
        <v>10</v>
      </c>
      <c r="AH179" s="177" t="n"/>
      <c r="AI179" s="212" t="n"/>
      <c r="AJ179" s="182" t="n">
        <v>8535</v>
      </c>
      <c r="AK179" s="183" t="inlineStr">
        <is>
          <t> </t>
        </is>
      </c>
      <c r="AL179" s="183" t="inlineStr">
        <is>
          <t> </t>
        </is>
      </c>
      <c r="AM179" s="183" t="inlineStr">
        <is>
          <t> </t>
        </is>
      </c>
      <c r="AN179" s="183" t="inlineStr">
        <is>
          <t> </t>
        </is>
      </c>
      <c r="AO179" s="183" t="inlineStr">
        <is>
          <t> </t>
        </is>
      </c>
      <c r="AP179" s="183" t="inlineStr">
        <is>
          <t> </t>
        </is>
      </c>
      <c r="AQ179" s="183" t="inlineStr">
        <is>
          <t> </t>
        </is>
      </c>
      <c r="AR179" s="183" t="inlineStr">
        <is>
          <t> </t>
        </is>
      </c>
      <c r="AS179" s="183" t="inlineStr">
        <is>
          <t> </t>
        </is>
      </c>
      <c r="AT179" s="183" t="inlineStr">
        <is>
          <t> </t>
        </is>
      </c>
      <c r="AU179" s="183" t="inlineStr">
        <is>
          <t> </t>
        </is>
      </c>
      <c r="AV179" s="183" t="inlineStr">
        <is>
          <t> </t>
        </is>
      </c>
      <c r="AW179" s="183" t="inlineStr">
        <is>
          <t> </t>
        </is>
      </c>
      <c r="AX179" s="183" t="inlineStr">
        <is>
          <t> </t>
        </is>
      </c>
      <c r="AY179" s="210" t="inlineStr">
        <is>
          <t>EM EXECUÇÃO</t>
        </is>
      </c>
      <c r="AZ179" s="210" t="inlineStr">
        <is>
          <t>NI</t>
        </is>
      </c>
      <c r="BA179" s="210" t="inlineStr">
        <is>
          <t>NI</t>
        </is>
      </c>
      <c r="BB179" s="210" t="inlineStr">
        <is>
          <t>NI</t>
        </is>
      </c>
      <c r="BC179" s="212" t="n"/>
      <c r="BD179" s="210" t="n"/>
      <c r="BE179" s="210" t="n"/>
      <c r="BF179" s="178" t="n"/>
      <c r="BG179" s="210" t="n"/>
      <c r="BH179" s="210" t="n"/>
      <c r="BI179" s="210" t="n"/>
      <c r="BJ179" s="210" t="n"/>
      <c r="BK179" s="210" t="n"/>
      <c r="BL179" s="210" t="n"/>
      <c r="BM179" s="210" t="n"/>
      <c r="BN179" s="210" t="n"/>
      <c r="BO179" s="210" t="n"/>
      <c r="BP179" s="210" t="n"/>
      <c r="BQ179" s="210" t="n"/>
      <c r="BR179" s="210" t="n"/>
      <c r="BS179" s="210" t="n"/>
      <c r="BT179" s="212" t="n"/>
      <c r="BU179" s="177" t="n"/>
    </row>
    <row r="180" ht="60" customHeight="1">
      <c r="A180" s="178" t="inlineStr">
        <is>
          <t>SUDESTE</t>
        </is>
      </c>
      <c r="B180" s="207" t="inlineStr">
        <is>
          <t>SP</t>
        </is>
      </c>
      <c r="C180" s="29" t="inlineStr">
        <is>
          <t>SAO PAULO</t>
        </is>
      </c>
      <c r="D180" s="178" t="inlineStr">
        <is>
          <t>GRUPO DE APOIO AO ADOLESCENTE E A CRIANCA COM CANCER GRAAC</t>
        </is>
      </c>
      <c r="E180" s="208" t="inlineStr">
        <is>
          <t>67185694000150</t>
        </is>
      </c>
      <c r="F180" s="29" t="inlineStr">
        <is>
          <t>GRUPO DE APOIO AO ADOLESCENTE E A CRIANCA COM CANCER GRAAC</t>
        </is>
      </c>
      <c r="G180" s="209" t="inlineStr">
        <is>
          <t>2089696</t>
        </is>
      </c>
      <c r="H180" s="210" t="n"/>
      <c r="I180" s="210" t="n"/>
      <c r="J180" s="210" t="n"/>
      <c r="K180" s="210" t="inlineStr">
        <is>
          <t>Indireta</t>
        </is>
      </c>
      <c r="L180" s="211" t="inlineStr">
        <is>
          <t>Transferegov/SEI</t>
        </is>
      </c>
      <c r="M180" s="211" t="inlineStr">
        <is>
          <t>Convênio</t>
        </is>
      </c>
      <c r="N180" s="207" t="n">
        <v>2023</v>
      </c>
      <c r="O180" s="207" t="n">
        <v>944147</v>
      </c>
      <c r="P180" s="207" t="n">
        <v>96718523001</v>
      </c>
      <c r="Q180" s="210" t="n"/>
      <c r="R180" s="178" t="n"/>
      <c r="S180" s="210" t="n"/>
      <c r="T180" s="29" t="inlineStr">
        <is>
          <t>Balança Antropométrica Infantil</t>
        </is>
      </c>
      <c r="U180" s="210" t="n"/>
      <c r="V180" s="210" t="n">
        <v>1</v>
      </c>
      <c r="W180" s="182" t="inlineStr">
        <is>
          <t xml:space="preserve"> UND</t>
        </is>
      </c>
      <c r="X180" s="210" t="inlineStr">
        <is>
          <t>EQUIPAMENTO</t>
        </is>
      </c>
      <c r="Y180" s="178" t="n"/>
      <c r="Z180" s="211" t="inlineStr">
        <is>
          <t xml:space="preserve"> NA</t>
        </is>
      </c>
      <c r="AA180" s="212" t="n"/>
      <c r="AB180" s="212" t="n"/>
      <c r="AC180" s="212" t="n"/>
      <c r="AD180" s="211" t="inlineStr">
        <is>
          <t>NI</t>
        </is>
      </c>
      <c r="AE180" s="211" t="inlineStr">
        <is>
          <t>NI</t>
        </is>
      </c>
      <c r="AF180" s="211" t="inlineStr">
        <is>
          <t>NI</t>
        </is>
      </c>
      <c r="AG180" s="177" t="n">
        <v>10</v>
      </c>
      <c r="AH180" s="177" t="n"/>
      <c r="AI180" s="212" t="n"/>
      <c r="AJ180" s="182" t="n">
        <v>8535</v>
      </c>
      <c r="AK180" s="183" t="inlineStr">
        <is>
          <t> </t>
        </is>
      </c>
      <c r="AL180" s="183" t="inlineStr">
        <is>
          <t> </t>
        </is>
      </c>
      <c r="AM180" s="183" t="inlineStr">
        <is>
          <t> </t>
        </is>
      </c>
      <c r="AN180" s="183" t="inlineStr">
        <is>
          <t> </t>
        </is>
      </c>
      <c r="AO180" s="183" t="inlineStr">
        <is>
          <t> </t>
        </is>
      </c>
      <c r="AP180" s="183" t="inlineStr">
        <is>
          <t> </t>
        </is>
      </c>
      <c r="AQ180" s="183" t="inlineStr">
        <is>
          <t> </t>
        </is>
      </c>
      <c r="AR180" s="183" t="inlineStr">
        <is>
          <t> </t>
        </is>
      </c>
      <c r="AS180" s="183" t="inlineStr">
        <is>
          <t> </t>
        </is>
      </c>
      <c r="AT180" s="183" t="inlineStr">
        <is>
          <t> </t>
        </is>
      </c>
      <c r="AU180" s="183" t="inlineStr">
        <is>
          <t> </t>
        </is>
      </c>
      <c r="AV180" s="183" t="inlineStr">
        <is>
          <t> </t>
        </is>
      </c>
      <c r="AW180" s="183" t="inlineStr">
        <is>
          <t> </t>
        </is>
      </c>
      <c r="AX180" s="183" t="inlineStr">
        <is>
          <t> </t>
        </is>
      </c>
      <c r="AY180" s="210" t="inlineStr">
        <is>
          <t>EM EXECUÇÃO</t>
        </is>
      </c>
      <c r="AZ180" s="210" t="inlineStr">
        <is>
          <t>NI</t>
        </is>
      </c>
      <c r="BA180" s="210" t="inlineStr">
        <is>
          <t>NI</t>
        </is>
      </c>
      <c r="BB180" s="210" t="inlineStr">
        <is>
          <t>NI</t>
        </is>
      </c>
      <c r="BC180" s="212" t="n"/>
      <c r="BD180" s="210" t="n"/>
      <c r="BE180" s="210" t="n"/>
      <c r="BF180" s="178" t="n"/>
      <c r="BG180" s="210" t="n"/>
      <c r="BH180" s="210" t="n"/>
      <c r="BI180" s="210" t="n"/>
      <c r="BJ180" s="210" t="n"/>
      <c r="BK180" s="210" t="n"/>
      <c r="BL180" s="210" t="n"/>
      <c r="BM180" s="210" t="n"/>
      <c r="BN180" s="210" t="n"/>
      <c r="BO180" s="210" t="n"/>
      <c r="BP180" s="210" t="n"/>
      <c r="BQ180" s="210" t="n"/>
      <c r="BR180" s="210" t="n"/>
      <c r="BS180" s="210" t="n"/>
      <c r="BT180" s="212" t="n"/>
      <c r="BU180" s="177" t="n"/>
    </row>
    <row r="181" ht="60" customHeight="1">
      <c r="A181" s="178" t="inlineStr">
        <is>
          <t>SUDESTE</t>
        </is>
      </c>
      <c r="B181" s="207" t="inlineStr">
        <is>
          <t>SP</t>
        </is>
      </c>
      <c r="C181" s="29" t="inlineStr">
        <is>
          <t>SAO PAULO</t>
        </is>
      </c>
      <c r="D181" s="178" t="inlineStr">
        <is>
          <t>GRUPO DE APOIO AO ADOLESCENTE E A CRIANCA COM CANCER GRAAC</t>
        </is>
      </c>
      <c r="E181" s="208" t="inlineStr">
        <is>
          <t>67185694000150</t>
        </is>
      </c>
      <c r="F181" s="29" t="inlineStr">
        <is>
          <t>GRUPO DE APOIO AO ADOLESCENTE E A CRIANCA COM CANCER GRAAC</t>
        </is>
      </c>
      <c r="G181" s="209" t="inlineStr">
        <is>
          <t>2089696</t>
        </is>
      </c>
      <c r="H181" s="210" t="n"/>
      <c r="I181" s="210" t="n"/>
      <c r="J181" s="210" t="n"/>
      <c r="K181" s="210" t="inlineStr">
        <is>
          <t>Indireta</t>
        </is>
      </c>
      <c r="L181" s="211" t="inlineStr">
        <is>
          <t>Transferegov/SEI</t>
        </is>
      </c>
      <c r="M181" s="211" t="inlineStr">
        <is>
          <t>Convênio</t>
        </is>
      </c>
      <c r="N181" s="207" t="n">
        <v>2023</v>
      </c>
      <c r="O181" s="207" t="n">
        <v>944147</v>
      </c>
      <c r="P181" s="207" t="n">
        <v>96718523001</v>
      </c>
      <c r="Q181" s="210" t="n"/>
      <c r="R181" s="178" t="n"/>
      <c r="S181" s="210" t="n"/>
      <c r="T181" s="29" t="inlineStr">
        <is>
          <t>Cardioversor</t>
        </is>
      </c>
      <c r="U181" s="210" t="n"/>
      <c r="V181" s="210" t="n">
        <v>1</v>
      </c>
      <c r="W181" s="182" t="inlineStr">
        <is>
          <t xml:space="preserve"> UND</t>
        </is>
      </c>
      <c r="X181" s="210" t="inlineStr">
        <is>
          <t>EQUIPAMENTO</t>
        </is>
      </c>
      <c r="Y181" s="178" t="n"/>
      <c r="Z181" s="211" t="inlineStr">
        <is>
          <t xml:space="preserve"> NA</t>
        </is>
      </c>
      <c r="AA181" s="212" t="n"/>
      <c r="AB181" s="212" t="n"/>
      <c r="AC181" s="212" t="n"/>
      <c r="AD181" s="211" t="inlineStr">
        <is>
          <t>NI</t>
        </is>
      </c>
      <c r="AE181" s="211" t="inlineStr">
        <is>
          <t>NI</t>
        </is>
      </c>
      <c r="AF181" s="211" t="inlineStr">
        <is>
          <t>NI</t>
        </is>
      </c>
      <c r="AG181" s="177" t="n">
        <v>10</v>
      </c>
      <c r="AH181" s="177" t="n"/>
      <c r="AI181" s="212" t="n"/>
      <c r="AJ181" s="182" t="n">
        <v>8535</v>
      </c>
      <c r="AK181" s="183" t="inlineStr">
        <is>
          <t> </t>
        </is>
      </c>
      <c r="AL181" s="183" t="inlineStr">
        <is>
          <t> </t>
        </is>
      </c>
      <c r="AM181" s="183" t="inlineStr">
        <is>
          <t> </t>
        </is>
      </c>
      <c r="AN181" s="183" t="inlineStr">
        <is>
          <t> </t>
        </is>
      </c>
      <c r="AO181" s="183" t="inlineStr">
        <is>
          <t> </t>
        </is>
      </c>
      <c r="AP181" s="183" t="inlineStr">
        <is>
          <t> </t>
        </is>
      </c>
      <c r="AQ181" s="183" t="inlineStr">
        <is>
          <t> </t>
        </is>
      </c>
      <c r="AR181" s="183" t="inlineStr">
        <is>
          <t> </t>
        </is>
      </c>
      <c r="AS181" s="183" t="inlineStr">
        <is>
          <t> </t>
        </is>
      </c>
      <c r="AT181" s="183" t="inlineStr">
        <is>
          <t> </t>
        </is>
      </c>
      <c r="AU181" s="183" t="inlineStr">
        <is>
          <t> </t>
        </is>
      </c>
      <c r="AV181" s="183" t="inlineStr">
        <is>
          <t> </t>
        </is>
      </c>
      <c r="AW181" s="183" t="inlineStr">
        <is>
          <t> </t>
        </is>
      </c>
      <c r="AX181" s="183" t="inlineStr">
        <is>
          <t> </t>
        </is>
      </c>
      <c r="AY181" s="210" t="inlineStr">
        <is>
          <t>EM EXECUÇÃO</t>
        </is>
      </c>
      <c r="AZ181" s="210" t="inlineStr">
        <is>
          <t>NI</t>
        </is>
      </c>
      <c r="BA181" s="210" t="inlineStr">
        <is>
          <t>NI</t>
        </is>
      </c>
      <c r="BB181" s="210" t="inlineStr">
        <is>
          <t>NI</t>
        </is>
      </c>
      <c r="BC181" s="212" t="n"/>
      <c r="BD181" s="210" t="n"/>
      <c r="BE181" s="210" t="n"/>
      <c r="BF181" s="178" t="n"/>
      <c r="BG181" s="210" t="n"/>
      <c r="BH181" s="210" t="n"/>
      <c r="BI181" s="210" t="n"/>
      <c r="BJ181" s="210" t="n"/>
      <c r="BK181" s="210" t="n"/>
      <c r="BL181" s="210" t="n"/>
      <c r="BM181" s="210" t="n"/>
      <c r="BN181" s="210" t="n"/>
      <c r="BO181" s="210" t="n"/>
      <c r="BP181" s="210" t="n"/>
      <c r="BQ181" s="210" t="n"/>
      <c r="BR181" s="210" t="n"/>
      <c r="BS181" s="210" t="n"/>
      <c r="BT181" s="212" t="n"/>
      <c r="BU181" s="177" t="n"/>
    </row>
    <row r="182" ht="60" customHeight="1">
      <c r="A182" s="178" t="inlineStr">
        <is>
          <t>SUDESTE</t>
        </is>
      </c>
      <c r="B182" s="207" t="inlineStr">
        <is>
          <t>SP</t>
        </is>
      </c>
      <c r="C182" s="29" t="inlineStr">
        <is>
          <t>SAO PAULO</t>
        </is>
      </c>
      <c r="D182" s="178" t="inlineStr">
        <is>
          <t>GRUPO DE APOIO AO ADOLESCENTE E A CRIANCA COM CANCER GRAAC</t>
        </is>
      </c>
      <c r="E182" s="208" t="inlineStr">
        <is>
          <t>67185694000150</t>
        </is>
      </c>
      <c r="F182" s="29" t="inlineStr">
        <is>
          <t>GRUPO DE APOIO AO ADOLESCENTE E A CRIANCA COM CANCER GRAAC</t>
        </is>
      </c>
      <c r="G182" s="209" t="inlineStr">
        <is>
          <t>2089696</t>
        </is>
      </c>
      <c r="H182" s="210" t="n"/>
      <c r="I182" s="210" t="n"/>
      <c r="J182" s="210" t="n"/>
      <c r="K182" s="210" t="inlineStr">
        <is>
          <t>Indireta</t>
        </is>
      </c>
      <c r="L182" s="211" t="inlineStr">
        <is>
          <t>Transferegov/SEI</t>
        </is>
      </c>
      <c r="M182" s="211" t="inlineStr">
        <is>
          <t>Convênio</t>
        </is>
      </c>
      <c r="N182" s="207" t="n">
        <v>2023</v>
      </c>
      <c r="O182" s="207" t="n">
        <v>944147</v>
      </c>
      <c r="P182" s="207" t="n">
        <v>96718523001</v>
      </c>
      <c r="Q182" s="210" t="n"/>
      <c r="R182" s="178" t="n"/>
      <c r="S182" s="210" t="n"/>
      <c r="T182" s="29" t="inlineStr">
        <is>
          <t>Monitor Multiparâmetros</t>
        </is>
      </c>
      <c r="U182" s="210" t="n"/>
      <c r="V182" s="210" t="n">
        <v>2</v>
      </c>
      <c r="W182" s="182" t="inlineStr">
        <is>
          <t xml:space="preserve"> UND</t>
        </is>
      </c>
      <c r="X182" s="210" t="inlineStr">
        <is>
          <t>EQUIPAMENTO</t>
        </is>
      </c>
      <c r="Y182" s="178" t="n"/>
      <c r="Z182" s="211" t="inlineStr">
        <is>
          <t xml:space="preserve"> NA</t>
        </is>
      </c>
      <c r="AA182" s="212" t="n"/>
      <c r="AB182" s="212" t="n"/>
      <c r="AC182" s="212" t="n"/>
      <c r="AD182" s="211" t="inlineStr">
        <is>
          <t>NI</t>
        </is>
      </c>
      <c r="AE182" s="211" t="inlineStr">
        <is>
          <t>NI</t>
        </is>
      </c>
      <c r="AF182" s="211" t="inlineStr">
        <is>
          <t>NI</t>
        </is>
      </c>
      <c r="AG182" s="177" t="n">
        <v>10</v>
      </c>
      <c r="AH182" s="177" t="n"/>
      <c r="AI182" s="212" t="n"/>
      <c r="AJ182" s="182" t="n">
        <v>8535</v>
      </c>
      <c r="AK182" s="183" t="inlineStr">
        <is>
          <t> </t>
        </is>
      </c>
      <c r="AL182" s="183" t="inlineStr">
        <is>
          <t> </t>
        </is>
      </c>
      <c r="AM182" s="183" t="inlineStr">
        <is>
          <t> </t>
        </is>
      </c>
      <c r="AN182" s="183" t="inlineStr">
        <is>
          <t> </t>
        </is>
      </c>
      <c r="AO182" s="183" t="inlineStr">
        <is>
          <t> </t>
        </is>
      </c>
      <c r="AP182" s="183" t="inlineStr">
        <is>
          <t> </t>
        </is>
      </c>
      <c r="AQ182" s="183" t="inlineStr">
        <is>
          <t> </t>
        </is>
      </c>
      <c r="AR182" s="183" t="inlineStr">
        <is>
          <t> </t>
        </is>
      </c>
      <c r="AS182" s="183" t="inlineStr">
        <is>
          <t> </t>
        </is>
      </c>
      <c r="AT182" s="183" t="inlineStr">
        <is>
          <t> </t>
        </is>
      </c>
      <c r="AU182" s="183" t="inlineStr">
        <is>
          <t> </t>
        </is>
      </c>
      <c r="AV182" s="183" t="inlineStr">
        <is>
          <t> </t>
        </is>
      </c>
      <c r="AW182" s="183" t="inlineStr">
        <is>
          <t> </t>
        </is>
      </c>
      <c r="AX182" s="183" t="inlineStr">
        <is>
          <t> </t>
        </is>
      </c>
      <c r="AY182" s="210" t="inlineStr">
        <is>
          <t>EM EXECUÇÃO</t>
        </is>
      </c>
      <c r="AZ182" s="210" t="inlineStr">
        <is>
          <t>NI</t>
        </is>
      </c>
      <c r="BA182" s="210" t="inlineStr">
        <is>
          <t>NI</t>
        </is>
      </c>
      <c r="BB182" s="210" t="inlineStr">
        <is>
          <t>NI</t>
        </is>
      </c>
      <c r="BC182" s="212" t="n"/>
      <c r="BD182" s="210" t="n"/>
      <c r="BE182" s="210" t="n"/>
      <c r="BF182" s="178" t="n"/>
      <c r="BG182" s="210" t="n"/>
      <c r="BH182" s="210" t="n"/>
      <c r="BI182" s="210" t="n"/>
      <c r="BJ182" s="210" t="n"/>
      <c r="BK182" s="210" t="n"/>
      <c r="BL182" s="210" t="n"/>
      <c r="BM182" s="210" t="n"/>
      <c r="BN182" s="210" t="n"/>
      <c r="BO182" s="210" t="n"/>
      <c r="BP182" s="210" t="n"/>
      <c r="BQ182" s="210" t="n"/>
      <c r="BR182" s="210" t="n"/>
      <c r="BS182" s="210" t="n"/>
      <c r="BT182" s="212" t="n"/>
      <c r="BU182" s="177" t="n"/>
    </row>
    <row r="183" ht="60" customHeight="1">
      <c r="A183" s="267" t="inlineStr">
        <is>
          <t>SUDESTE</t>
        </is>
      </c>
      <c r="B183" s="268" t="inlineStr">
        <is>
          <t>SP</t>
        </is>
      </c>
      <c r="C183" s="269" t="inlineStr">
        <is>
          <t>SAO PAULO</t>
        </is>
      </c>
      <c r="D183" s="267" t="inlineStr">
        <is>
          <t>GRUPO DE APOIO AO ADOLESCENTE E A CRIANCA COM CANCER GRAAC</t>
        </is>
      </c>
      <c r="E183" s="270" t="inlineStr">
        <is>
          <t>67185694000150</t>
        </is>
      </c>
      <c r="F183" s="269" t="inlineStr">
        <is>
          <t>GRUPO DE APOIO AO ADOLESCENTE E A CRIANCA COM CANCER GRAAC</t>
        </is>
      </c>
      <c r="G183" s="271" t="inlineStr">
        <is>
          <t>2089696</t>
        </is>
      </c>
      <c r="H183" s="272" t="n"/>
      <c r="I183" s="272" t="n"/>
      <c r="J183" s="272" t="n"/>
      <c r="K183" s="272" t="inlineStr">
        <is>
          <t>Indireta</t>
        </is>
      </c>
      <c r="L183" s="182" t="inlineStr">
        <is>
          <t>Transferegov/SEI</t>
        </is>
      </c>
      <c r="M183" s="182" t="inlineStr">
        <is>
          <t>Convênio</t>
        </is>
      </c>
      <c r="N183" s="268" t="n">
        <v>2023</v>
      </c>
      <c r="O183" s="268" t="n">
        <v>944147</v>
      </c>
      <c r="P183" s="268" t="n">
        <v>96718523001</v>
      </c>
      <c r="Q183" s="272" t="n"/>
      <c r="R183" s="267" t="n"/>
      <c r="S183" s="272" t="n"/>
      <c r="T183" s="269" t="inlineStr">
        <is>
          <t>Monitor Multiparâmetros</t>
        </is>
      </c>
      <c r="U183" s="272" t="n"/>
      <c r="V183" s="272" t="n">
        <v>2</v>
      </c>
      <c r="W183" s="182" t="inlineStr">
        <is>
          <t xml:space="preserve"> UND</t>
        </is>
      </c>
      <c r="X183" s="272" t="inlineStr">
        <is>
          <t>EQUIPAMENTO</t>
        </is>
      </c>
      <c r="Y183" s="267" t="n"/>
      <c r="Z183" s="182" t="inlineStr">
        <is>
          <t xml:space="preserve"> NA</t>
        </is>
      </c>
      <c r="AA183" s="273" t="n"/>
      <c r="AB183" s="273" t="n"/>
      <c r="AC183" s="273" t="n"/>
      <c r="AD183" s="182" t="inlineStr">
        <is>
          <t>NI</t>
        </is>
      </c>
      <c r="AE183" s="182" t="inlineStr">
        <is>
          <t>NI</t>
        </is>
      </c>
      <c r="AF183" s="182" t="inlineStr">
        <is>
          <t>NI</t>
        </is>
      </c>
      <c r="AG183" s="274" t="n">
        <v>10</v>
      </c>
      <c r="AH183" s="274" t="n"/>
      <c r="AI183" s="273" t="n"/>
      <c r="AJ183" s="182" t="n">
        <v>8535</v>
      </c>
      <c r="AK183" s="183" t="inlineStr">
        <is>
          <t> </t>
        </is>
      </c>
      <c r="AL183" s="183" t="inlineStr">
        <is>
          <t> </t>
        </is>
      </c>
      <c r="AM183" s="183" t="inlineStr">
        <is>
          <t> </t>
        </is>
      </c>
      <c r="AN183" s="183" t="inlineStr">
        <is>
          <t> </t>
        </is>
      </c>
      <c r="AO183" s="183" t="inlineStr">
        <is>
          <t> </t>
        </is>
      </c>
      <c r="AP183" s="183" t="inlineStr">
        <is>
          <t> </t>
        </is>
      </c>
      <c r="AQ183" s="183" t="inlineStr">
        <is>
          <t> </t>
        </is>
      </c>
      <c r="AR183" s="183" t="inlineStr">
        <is>
          <t> </t>
        </is>
      </c>
      <c r="AS183" s="183" t="inlineStr">
        <is>
          <t> </t>
        </is>
      </c>
      <c r="AT183" s="183" t="inlineStr">
        <is>
          <t> </t>
        </is>
      </c>
      <c r="AU183" s="183" t="inlineStr">
        <is>
          <t> </t>
        </is>
      </c>
      <c r="AV183" s="183" t="inlineStr">
        <is>
          <t> </t>
        </is>
      </c>
      <c r="AW183" s="183" t="inlineStr">
        <is>
          <t> </t>
        </is>
      </c>
      <c r="AX183" s="183" t="inlineStr">
        <is>
          <t> </t>
        </is>
      </c>
      <c r="AY183" s="272" t="inlineStr">
        <is>
          <t>EM EXECUÇÃO</t>
        </is>
      </c>
      <c r="AZ183" s="272" t="inlineStr">
        <is>
          <t>NI</t>
        </is>
      </c>
      <c r="BA183" s="272" t="inlineStr">
        <is>
          <t>NI</t>
        </is>
      </c>
      <c r="BB183" s="272" t="inlineStr">
        <is>
          <t>NI</t>
        </is>
      </c>
      <c r="BC183" s="273" t="n"/>
      <c r="BD183" s="272" t="n"/>
      <c r="BE183" s="272" t="n"/>
      <c r="BF183" s="267" t="n"/>
      <c r="BG183" s="272" t="n"/>
      <c r="BH183" s="272" t="n"/>
      <c r="BI183" s="272" t="n"/>
      <c r="BJ183" s="272" t="n"/>
      <c r="BK183" s="272" t="n"/>
      <c r="BL183" s="272" t="n"/>
      <c r="BM183" s="272" t="n"/>
      <c r="BN183" s="272" t="n"/>
      <c r="BO183" s="272" t="n"/>
      <c r="BP183" s="272" t="n"/>
      <c r="BQ183" s="272" t="n"/>
      <c r="BR183" s="272" t="n"/>
      <c r="BS183" s="272" t="n"/>
      <c r="BT183" s="273" t="n"/>
      <c r="BU183" s="274" t="n"/>
    </row>
    <row r="184" ht="60" customHeight="1">
      <c r="A184" s="178" t="inlineStr">
        <is>
          <t>SUDESTE</t>
        </is>
      </c>
      <c r="B184" s="207" t="inlineStr">
        <is>
          <t>SP</t>
        </is>
      </c>
      <c r="C184" s="29" t="inlineStr">
        <is>
          <t>SOROCABA</t>
        </is>
      </c>
      <c r="D184" s="178" t="inlineStr">
        <is>
          <t>IRMANDADE DA SANTA CASA DE MISERICORDIA DE SOROCABA</t>
        </is>
      </c>
      <c r="E184" s="208" t="inlineStr">
        <is>
          <t>71485056000121</t>
        </is>
      </c>
      <c r="F184" s="29" t="inlineStr">
        <is>
          <t>IRMANDADE DA SANTA CASA DE MISERICORDIA DE SOROCABA</t>
        </is>
      </c>
      <c r="G184" s="209" t="inlineStr">
        <is>
          <t>2708779</t>
        </is>
      </c>
      <c r="H184" s="210" t="n"/>
      <c r="I184" s="210" t="n"/>
      <c r="J184" s="210" t="n"/>
      <c r="K184" s="210" t="inlineStr">
        <is>
          <t>Indireta</t>
        </is>
      </c>
      <c r="L184" s="211" t="inlineStr">
        <is>
          <t>Transferegov/SEI</t>
        </is>
      </c>
      <c r="M184" s="211" t="inlineStr">
        <is>
          <t>Convênio</t>
        </is>
      </c>
      <c r="N184" s="207" t="n">
        <v>2023</v>
      </c>
      <c r="O184" s="207" t="n">
        <v>946446</v>
      </c>
      <c r="P184" s="207" t="n">
        <v>97148523003</v>
      </c>
      <c r="Q184" s="210" t="n"/>
      <c r="R184" s="178" t="n"/>
      <c r="S184" s="210" t="n"/>
      <c r="T184" s="29" t="inlineStr">
        <is>
          <t>Equipamentos de Apoio</t>
        </is>
      </c>
      <c r="U184" s="210" t="n">
        <v>35</v>
      </c>
      <c r="V184" s="210" t="inlineStr">
        <is>
          <t>NA</t>
        </is>
      </c>
      <c r="W184" s="211" t="inlineStr">
        <is>
          <t xml:space="preserve"> UND</t>
        </is>
      </c>
      <c r="X184" s="210" t="inlineStr">
        <is>
          <t>EQUIPAMENTO</t>
        </is>
      </c>
      <c r="Y184" s="178" t="n"/>
      <c r="Z184" s="211" t="inlineStr">
        <is>
          <t xml:space="preserve"> NA</t>
        </is>
      </c>
      <c r="AA184" s="212" t="n"/>
      <c r="AB184" s="212" t="n"/>
      <c r="AC184" s="212" t="n"/>
      <c r="AD184" s="211" t="inlineStr">
        <is>
          <t>NI</t>
        </is>
      </c>
      <c r="AE184" s="211" t="inlineStr">
        <is>
          <t>NI</t>
        </is>
      </c>
      <c r="AF184" s="211" t="inlineStr">
        <is>
          <t>NI</t>
        </is>
      </c>
      <c r="AG184" s="177" t="n">
        <v>299994</v>
      </c>
      <c r="AH184" s="177" t="n"/>
      <c r="AI184" s="212" t="n"/>
      <c r="AJ184" s="211" t="n">
        <v>8535</v>
      </c>
      <c r="AK184" s="223" t="n"/>
      <c r="AL184" s="223" t="inlineStr">
        <is>
          <t> </t>
        </is>
      </c>
      <c r="AM184" s="223" t="inlineStr">
        <is>
          <t> </t>
        </is>
      </c>
      <c r="AN184" s="223" t="inlineStr">
        <is>
          <t> </t>
        </is>
      </c>
      <c r="AO184" s="223" t="inlineStr">
        <is>
          <t> </t>
        </is>
      </c>
      <c r="AP184" s="223" t="inlineStr">
        <is>
          <t> </t>
        </is>
      </c>
      <c r="AQ184" s="223" t="inlineStr">
        <is>
          <t> </t>
        </is>
      </c>
      <c r="AR184" s="223" t="inlineStr">
        <is>
          <t> </t>
        </is>
      </c>
      <c r="AS184" s="223" t="inlineStr">
        <is>
          <t> </t>
        </is>
      </c>
      <c r="AT184" s="223" t="inlineStr">
        <is>
          <t> </t>
        </is>
      </c>
      <c r="AU184" s="223" t="inlineStr">
        <is>
          <t> </t>
        </is>
      </c>
      <c r="AV184" s="223" t="inlineStr">
        <is>
          <t> </t>
        </is>
      </c>
      <c r="AW184" s="223" t="inlineStr">
        <is>
          <t> </t>
        </is>
      </c>
      <c r="AX184" s="223" t="inlineStr">
        <is>
          <t> </t>
        </is>
      </c>
      <c r="AY184" s="210" t="inlineStr">
        <is>
          <t>PRESTAÇÃO DE CONTAS ENVIADA PARA ANÁLISE</t>
        </is>
      </c>
      <c r="AZ184" s="210" t="inlineStr">
        <is>
          <t>NI</t>
        </is>
      </c>
      <c r="BA184" s="210" t="inlineStr">
        <is>
          <t>NI</t>
        </is>
      </c>
      <c r="BB184" s="210" t="inlineStr">
        <is>
          <t>NI</t>
        </is>
      </c>
      <c r="BC184" s="212" t="n"/>
      <c r="BD184" s="210" t="n"/>
      <c r="BE184" s="210" t="n"/>
      <c r="BF184" s="178" t="n"/>
      <c r="BG184" s="210" t="n"/>
      <c r="BH184" s="210" t="n"/>
      <c r="BI184" s="210" t="n"/>
      <c r="BJ184" s="210" t="n"/>
      <c r="BK184" s="210" t="n"/>
      <c r="BL184" s="210" t="n"/>
      <c r="BM184" s="210" t="n"/>
      <c r="BN184" s="210" t="n"/>
      <c r="BO184" s="210" t="n"/>
      <c r="BP184" s="210" t="n"/>
      <c r="BQ184" s="210" t="n"/>
      <c r="BR184" s="210" t="n"/>
      <c r="BS184" s="210" t="n"/>
      <c r="BT184" s="212" t="n"/>
      <c r="BU184" s="177" t="n"/>
    </row>
    <row r="185" ht="60" customHeight="1">
      <c r="A185" s="33" t="inlineStr">
        <is>
          <t>NORTE</t>
        </is>
      </c>
      <c r="B185" s="275" t="inlineStr">
        <is>
          <t>RR</t>
        </is>
      </c>
      <c r="C185" s="34" t="inlineStr">
        <is>
          <t>BOA VISTA</t>
        </is>
      </c>
      <c r="D185" s="74" t="n"/>
      <c r="E185" s="74" t="n"/>
      <c r="F185" s="33" t="n"/>
      <c r="G185" s="74" t="n"/>
      <c r="H185" s="74" t="n"/>
      <c r="I185" s="74" t="n"/>
      <c r="J185" s="74" t="n"/>
      <c r="K185" s="74" t="n"/>
      <c r="L185" s="74" t="inlineStr">
        <is>
          <t>SEI</t>
        </is>
      </c>
      <c r="M185" s="74" t="inlineStr">
        <is>
          <t>FAF</t>
        </is>
      </c>
      <c r="N185" s="74" t="n">
        <v>2023</v>
      </c>
      <c r="O185" s="74" t="n"/>
      <c r="P185" s="276" t="inlineStr">
        <is>
          <t>13464636000123101</t>
        </is>
      </c>
      <c r="Q185" s="74" t="inlineStr">
        <is>
          <t>25000.216985/2025-81</t>
        </is>
      </c>
      <c r="R185" s="178" t="n"/>
      <c r="S185" s="210" t="n"/>
      <c r="T185" s="210" t="n"/>
      <c r="U185" s="210" t="n"/>
      <c r="V185" s="210" t="n"/>
      <c r="W185" s="210" t="n"/>
      <c r="X185" s="210" t="n"/>
      <c r="Y185" s="178" t="n"/>
      <c r="Z185" s="210" t="n"/>
      <c r="AA185" s="212" t="n"/>
      <c r="AB185" s="212" t="n"/>
      <c r="AC185" s="212" t="n"/>
      <c r="AD185" s="210" t="n"/>
      <c r="AE185" s="210" t="n"/>
      <c r="AF185" s="210" t="n"/>
      <c r="AG185" s="210" t="n"/>
      <c r="AH185" s="210" t="n"/>
      <c r="AI185" s="210" t="n"/>
      <c r="AJ185" s="210" t="n"/>
      <c r="AK185" s="210" t="n"/>
      <c r="AL185" s="210" t="n"/>
      <c r="AM185" s="210" t="n"/>
      <c r="AN185" s="210" t="n"/>
      <c r="AO185" s="210" t="n"/>
      <c r="AP185" s="210" t="n"/>
      <c r="AQ185" s="210" t="n"/>
      <c r="AR185" s="210" t="n"/>
      <c r="AS185" s="210" t="n"/>
      <c r="AT185" s="210" t="n"/>
      <c r="AU185" s="210" t="n"/>
      <c r="AV185" s="210" t="n"/>
      <c r="AW185" s="210" t="n"/>
      <c r="AX185" s="210" t="n"/>
      <c r="AY185" s="210" t="n"/>
      <c r="AZ185" s="210" t="n"/>
      <c r="BA185" s="210" t="n"/>
      <c r="BB185" s="210" t="n"/>
      <c r="BC185" s="210" t="n"/>
      <c r="BD185" s="210" t="n"/>
      <c r="BE185" s="210" t="n"/>
      <c r="BF185" s="178" t="n"/>
      <c r="BG185" s="210" t="n"/>
      <c r="BH185" s="210" t="n"/>
      <c r="BI185" s="210" t="n"/>
      <c r="BJ185" s="210" t="n"/>
      <c r="BK185" s="210" t="n"/>
      <c r="BL185" s="210" t="n"/>
      <c r="BM185" s="210" t="n"/>
      <c r="BN185" s="210" t="n"/>
      <c r="BO185" s="210" t="n"/>
      <c r="BP185" s="210" t="n"/>
      <c r="BQ185" s="210" t="n"/>
      <c r="BR185" s="210" t="n"/>
      <c r="BS185" s="210" t="n"/>
      <c r="BT185" s="210" t="n"/>
      <c r="BU185" s="210" t="n"/>
    </row>
    <row r="186">
      <c r="B186" s="180" t="n"/>
      <c r="C186" s="179" t="n"/>
      <c r="P186" s="180" t="n"/>
    </row>
    <row r="187" ht="50.25" customHeight="1">
      <c r="A187" s="289" t="inlineStr">
        <is>
          <t>NORDESTE</t>
        </is>
      </c>
      <c r="B187" s="372" t="inlineStr">
        <is>
          <t>CE</t>
        </is>
      </c>
      <c r="C187" s="373" t="inlineStr">
        <is>
          <t>SOBRAL</t>
        </is>
      </c>
      <c r="D187" s="289" t="inlineStr">
        <is>
          <t>SANTA CASA DE MISERICORDIA DE SOBRAL</t>
        </is>
      </c>
      <c r="E187" s="374" t="inlineStr">
        <is>
          <t>07818313000109</t>
        </is>
      </c>
      <c r="F187" s="289" t="inlineStr">
        <is>
          <t>SANTA CASA DE MISERICORDIA DE SOBRAL</t>
        </is>
      </c>
      <c r="G187" s="213" t="n">
        <v>3021114</v>
      </c>
      <c r="H187" s="213" t="n"/>
      <c r="I187" s="213" t="n"/>
      <c r="J187" s="289" t="inlineStr">
        <is>
          <t>Rastreamento e apoio</t>
        </is>
      </c>
      <c r="K187" s="213" t="inlineStr">
        <is>
          <t>Indireta</t>
        </is>
      </c>
      <c r="L187" s="289" t="inlineStr">
        <is>
          <t>Transferegov/SEI</t>
        </is>
      </c>
      <c r="M187" s="213" t="inlineStr">
        <is>
          <t>Convênio</t>
        </is>
      </c>
      <c r="N187" s="213" t="n">
        <v>2025</v>
      </c>
      <c r="O187" s="213" t="n">
        <v>985640</v>
      </c>
      <c r="P187" s="372" t="n">
        <v>90781825001</v>
      </c>
      <c r="Q187" s="213" t="inlineStr">
        <is>
          <t>25000198468/2025-12</t>
        </is>
      </c>
      <c r="R187" s="289" t="inlineStr">
        <is>
          <t>HOSPITAL HABILITADO NA ALTA COMPLEXIDADE EM ONCOLOGIA</t>
        </is>
      </c>
      <c r="S187" s="213" t="n"/>
      <c r="T187" s="213" t="inlineStr">
        <is>
          <t>Vários</t>
        </is>
      </c>
      <c r="U187" s="213" t="n">
        <v>12</v>
      </c>
      <c r="V187" s="213" t="inlineStr">
        <is>
          <t>NA</t>
        </is>
      </c>
      <c r="W187" s="213" t="inlineStr">
        <is>
          <t>UND</t>
        </is>
      </c>
      <c r="X187" s="213" t="inlineStr">
        <is>
          <t>EQUIPAMENTO</t>
        </is>
      </c>
      <c r="Y187" s="289" t="inlineStr">
        <is>
          <t>NA</t>
        </is>
      </c>
      <c r="Z187" s="213" t="inlineStr">
        <is>
          <t>NA</t>
        </is>
      </c>
      <c r="AA187" s="375" t="n"/>
      <c r="AB187" s="375" t="n"/>
      <c r="AC187" s="375" t="n"/>
      <c r="AD187" s="213" t="inlineStr">
        <is>
          <t>NI</t>
        </is>
      </c>
      <c r="AE187" s="213" t="inlineStr">
        <is>
          <t>NI</t>
        </is>
      </c>
      <c r="AF187" s="213" t="inlineStr">
        <is>
          <t>NI</t>
        </is>
      </c>
      <c r="AG187" s="377" t="n">
        <v>1468023</v>
      </c>
      <c r="AH187" s="377" t="n"/>
      <c r="AI187" s="213" t="n"/>
      <c r="AJ187" s="213" t="n">
        <v>8535</v>
      </c>
      <c r="AK187" s="213" t="n"/>
      <c r="AL187" s="213" t="n"/>
      <c r="AM187" s="213" t="n"/>
      <c r="AN187" s="213" t="n"/>
      <c r="AO187" s="213" t="n"/>
      <c r="AP187" s="213" t="n"/>
      <c r="AQ187" s="213" t="n"/>
      <c r="AR187" s="213" t="n"/>
      <c r="AS187" s="213" t="n"/>
      <c r="AT187" s="213" t="n"/>
      <c r="AU187" s="213" t="n"/>
      <c r="AV187" s="213" t="n"/>
      <c r="AW187" s="213" t="n"/>
      <c r="AX187" s="213" t="n"/>
      <c r="AY187" s="213" t="inlineStr">
        <is>
          <t>EM EXECUÇÃO</t>
        </is>
      </c>
      <c r="AZ187" s="213" t="inlineStr">
        <is>
          <t>NI</t>
        </is>
      </c>
      <c r="BA187" s="213" t="inlineStr">
        <is>
          <t>NI</t>
        </is>
      </c>
      <c r="BB187" s="213" t="inlineStr">
        <is>
          <t>NI</t>
        </is>
      </c>
      <c r="BC187" s="213" t="inlineStr">
        <is>
          <t>NI</t>
        </is>
      </c>
      <c r="BD187" s="213" t="inlineStr">
        <is>
          <t>NI</t>
        </is>
      </c>
      <c r="BE187" s="213" t="inlineStr">
        <is>
          <t>NI</t>
        </is>
      </c>
      <c r="BF187" s="213" t="inlineStr">
        <is>
          <t>NI</t>
        </is>
      </c>
      <c r="BG187" s="213" t="inlineStr">
        <is>
          <t>NI</t>
        </is>
      </c>
      <c r="BH187" s="213" t="inlineStr">
        <is>
          <t>NI</t>
        </is>
      </c>
      <c r="BI187" s="213" t="inlineStr">
        <is>
          <t>NI</t>
        </is>
      </c>
      <c r="BJ187" s="213" t="inlineStr">
        <is>
          <t>NI</t>
        </is>
      </c>
      <c r="BK187" s="213" t="inlineStr">
        <is>
          <t>NI</t>
        </is>
      </c>
      <c r="BL187" s="213" t="inlineStr">
        <is>
          <t>NI</t>
        </is>
      </c>
      <c r="BM187" s="213" t="n"/>
      <c r="BN187" s="213" t="n"/>
      <c r="BO187" s="213" t="n"/>
      <c r="BP187" s="213" t="n"/>
      <c r="BQ187" s="213" t="n"/>
      <c r="BR187" s="213" t="n"/>
      <c r="BS187" s="213" t="n"/>
      <c r="BT187" s="213" t="n"/>
      <c r="BU187" s="213" t="n"/>
    </row>
    <row r="188" ht="50.25" customHeight="1">
      <c r="A188" s="186" t="inlineStr">
        <is>
          <t>NORDESTE</t>
        </is>
      </c>
      <c r="B188" s="187" t="inlineStr">
        <is>
          <t>CE</t>
        </is>
      </c>
      <c r="C188" s="188" t="inlineStr">
        <is>
          <t>SOBRAL</t>
        </is>
      </c>
      <c r="D188" s="186" t="inlineStr">
        <is>
          <t>SANTA CASA DE MISERICORDIA DE SOBRAL</t>
        </is>
      </c>
      <c r="E188" s="371" t="inlineStr">
        <is>
          <t>07818313000109</t>
        </is>
      </c>
      <c r="F188" s="186" t="inlineStr">
        <is>
          <t>SANTA CASA DE MISERICORDIA DE SOBRAL</t>
        </is>
      </c>
      <c r="G188" s="190" t="n">
        <v>3021114</v>
      </c>
      <c r="H188" s="190" t="n"/>
      <c r="I188" s="190" t="n"/>
      <c r="J188" s="190" t="inlineStr">
        <is>
          <t>Rastreamento</t>
        </is>
      </c>
      <c r="K188" s="190" t="inlineStr">
        <is>
          <t>Indireta</t>
        </is>
      </c>
      <c r="L188" s="186" t="inlineStr">
        <is>
          <t>Transferegov/SEI</t>
        </is>
      </c>
      <c r="M188" s="190" t="inlineStr">
        <is>
          <t>Convênio</t>
        </is>
      </c>
      <c r="N188" s="190" t="n">
        <v>2025</v>
      </c>
      <c r="O188" s="190" t="n">
        <v>985640</v>
      </c>
      <c r="P188" s="187" t="n">
        <v>90781825001</v>
      </c>
      <c r="Q188" s="190" t="inlineStr">
        <is>
          <t>25000198468/2025-12</t>
        </is>
      </c>
      <c r="R188" s="186" t="inlineStr">
        <is>
          <t>HOSPITAL HABILITADO NA ALTA COMPLEXIDADE EM ONCOLOGIA</t>
        </is>
      </c>
      <c r="S188" s="190" t="n"/>
      <c r="T188" s="190" t="inlineStr">
        <is>
          <t>Mamógrafo</t>
        </is>
      </c>
      <c r="U188" s="190" t="inlineStr">
        <is>
          <t>NA</t>
        </is>
      </c>
      <c r="V188" s="190" t="n">
        <v>1</v>
      </c>
      <c r="W188" s="190" t="inlineStr">
        <is>
          <t>UND</t>
        </is>
      </c>
      <c r="X188" s="190" t="inlineStr">
        <is>
          <t>EQUIPAMENTO</t>
        </is>
      </c>
      <c r="Y188" s="186" t="inlineStr">
        <is>
          <t>010925-Mamógrafo</t>
        </is>
      </c>
      <c r="Z188" s="190" t="inlineStr">
        <is>
          <t>NA</t>
        </is>
      </c>
      <c r="AA188" s="191" t="n"/>
      <c r="AB188" s="191" t="n"/>
      <c r="AC188" s="191" t="n"/>
      <c r="AD188" s="190" t="inlineStr">
        <is>
          <t>NI</t>
        </is>
      </c>
      <c r="AE188" s="190" t="inlineStr">
        <is>
          <t>NI</t>
        </is>
      </c>
      <c r="AF188" s="190" t="inlineStr">
        <is>
          <t>NI</t>
        </is>
      </c>
      <c r="AG188" s="199" t="n">
        <v>1468023</v>
      </c>
      <c r="AH188" s="199" t="n"/>
      <c r="AI188" s="190" t="n"/>
      <c r="AJ188" s="190" t="n">
        <v>8535</v>
      </c>
      <c r="AK188" s="190" t="n"/>
      <c r="AL188" s="190" t="n"/>
      <c r="AM188" s="190" t="n"/>
      <c r="AN188" s="190" t="n"/>
      <c r="AO188" s="190" t="n"/>
      <c r="AP188" s="190" t="n"/>
      <c r="AQ188" s="190" t="n"/>
      <c r="AR188" s="190" t="n"/>
      <c r="AS188" s="190" t="n"/>
      <c r="AT188" s="190" t="n"/>
      <c r="AU188" s="190" t="n"/>
      <c r="AV188" s="190" t="n"/>
      <c r="AW188" s="190" t="n"/>
      <c r="AX188" s="190" t="n"/>
      <c r="AY188" s="190" t="inlineStr">
        <is>
          <t>EM EXECUÇÃO</t>
        </is>
      </c>
      <c r="AZ188" s="190" t="inlineStr">
        <is>
          <t>NI</t>
        </is>
      </c>
      <c r="BA188" s="190" t="inlineStr">
        <is>
          <t>NI</t>
        </is>
      </c>
      <c r="BB188" s="190" t="inlineStr">
        <is>
          <t>NI</t>
        </is>
      </c>
      <c r="BC188" s="190" t="inlineStr">
        <is>
          <t>NI</t>
        </is>
      </c>
      <c r="BD188" s="190" t="inlineStr">
        <is>
          <t>NI</t>
        </is>
      </c>
      <c r="BE188" s="190" t="inlineStr">
        <is>
          <t>NI</t>
        </is>
      </c>
      <c r="BF188" s="190" t="inlineStr">
        <is>
          <t>NI</t>
        </is>
      </c>
      <c r="BG188" s="190" t="inlineStr">
        <is>
          <t>NI</t>
        </is>
      </c>
      <c r="BH188" s="190" t="inlineStr">
        <is>
          <t>NI</t>
        </is>
      </c>
      <c r="BI188" s="190" t="inlineStr">
        <is>
          <t>NI</t>
        </is>
      </c>
      <c r="BJ188" s="190" t="inlineStr">
        <is>
          <t>NI</t>
        </is>
      </c>
      <c r="BK188" s="190" t="inlineStr">
        <is>
          <t>NI</t>
        </is>
      </c>
      <c r="BL188" s="190" t="inlineStr">
        <is>
          <t>NI</t>
        </is>
      </c>
      <c r="BM188" s="190" t="n"/>
      <c r="BN188" s="190" t="n"/>
      <c r="BO188" s="190" t="n"/>
      <c r="BP188" s="190" t="n"/>
      <c r="BQ188" s="190" t="n"/>
      <c r="BR188" s="190" t="n"/>
      <c r="BS188" s="190" t="n"/>
      <c r="BT188" s="190" t="n"/>
      <c r="BU188" s="190" t="n"/>
    </row>
    <row r="189" ht="50.25" customHeight="1">
      <c r="A189" s="289" t="inlineStr">
        <is>
          <t>NORDESTE</t>
        </is>
      </c>
      <c r="B189" s="372" t="inlineStr">
        <is>
          <t>PB</t>
        </is>
      </c>
      <c r="C189" s="373" t="inlineStr">
        <is>
          <t>JOAO PESSOA</t>
        </is>
      </c>
      <c r="D189" s="289" t="inlineStr">
        <is>
          <t>INSTITUTO WALFREDO GUEDES PEREIRA</t>
        </is>
      </c>
      <c r="E189" s="374" t="inlineStr">
        <is>
          <t>09124165000140</t>
        </is>
      </c>
      <c r="F189" s="289" t="inlineStr">
        <is>
          <t>INSTITUTO WALFREDO GUEDES PEREIRA</t>
        </is>
      </c>
      <c r="G189" s="213" t="n">
        <v>2399776</v>
      </c>
      <c r="H189" s="213" t="n"/>
      <c r="I189" s="213" t="n"/>
      <c r="J189" s="289" t="inlineStr">
        <is>
          <t>Rastreamento e apoio</t>
        </is>
      </c>
      <c r="K189" s="213" t="inlineStr">
        <is>
          <t>Indireta</t>
        </is>
      </c>
      <c r="L189" s="289" t="inlineStr">
        <is>
          <t>Transferegov/SEI</t>
        </is>
      </c>
      <c r="M189" s="213" t="inlineStr">
        <is>
          <t>Convênio</t>
        </is>
      </c>
      <c r="N189" s="213" t="n">
        <v>2025</v>
      </c>
      <c r="O189" s="213" t="n">
        <v>988835</v>
      </c>
      <c r="P189" s="372" t="n">
        <v>90912425014</v>
      </c>
      <c r="Q189" s="213" t="inlineStr">
        <is>
          <t>25000214555/2025-24</t>
        </is>
      </c>
      <c r="R189" s="289" t="inlineStr">
        <is>
          <t>HOSPITAL HABILITADO NA ALTA COMPLEXIDADE EM ONCOLOGIA</t>
        </is>
      </c>
      <c r="S189" s="213" t="n"/>
      <c r="T189" s="213" t="inlineStr">
        <is>
          <t>Vários</t>
        </is>
      </c>
      <c r="U189" s="213" t="n">
        <v>2</v>
      </c>
      <c r="V189" s="213" t="inlineStr">
        <is>
          <t>NA</t>
        </is>
      </c>
      <c r="W189" s="213" t="inlineStr">
        <is>
          <t>UND</t>
        </is>
      </c>
      <c r="X189" s="213" t="inlineStr">
        <is>
          <t>EQUIPAMENTO</t>
        </is>
      </c>
      <c r="Y189" s="289" t="inlineStr">
        <is>
          <t>NA</t>
        </is>
      </c>
      <c r="Z189" s="213" t="inlineStr">
        <is>
          <t>NA</t>
        </is>
      </c>
      <c r="AA189" s="375" t="n"/>
      <c r="AB189" s="375" t="n"/>
      <c r="AC189" s="375" t="n"/>
      <c r="AD189" s="213" t="inlineStr">
        <is>
          <t>NI</t>
        </is>
      </c>
      <c r="AE189" s="213" t="inlineStr">
        <is>
          <t>NI</t>
        </is>
      </c>
      <c r="AF189" s="213" t="inlineStr">
        <is>
          <t>NI</t>
        </is>
      </c>
      <c r="AG189" s="377" t="n">
        <v>1250000</v>
      </c>
      <c r="AH189" s="377" t="n"/>
      <c r="AI189" s="213" t="n"/>
      <c r="AJ189" s="213" t="n">
        <v>8535</v>
      </c>
      <c r="AK189" s="213" t="n"/>
      <c r="AL189" s="213" t="n"/>
      <c r="AM189" s="213" t="n"/>
      <c r="AN189" s="213" t="n"/>
      <c r="AO189" s="213" t="n"/>
      <c r="AP189" s="213" t="n"/>
      <c r="AQ189" s="213" t="n"/>
      <c r="AR189" s="213" t="n"/>
      <c r="AS189" s="213" t="n"/>
      <c r="AT189" s="213" t="n"/>
      <c r="AU189" s="213" t="n"/>
      <c r="AV189" s="213" t="n"/>
      <c r="AW189" s="213" t="n"/>
      <c r="AX189" s="213" t="n"/>
      <c r="AY189" s="213" t="inlineStr">
        <is>
          <t>EM EXECUÇÃO</t>
        </is>
      </c>
      <c r="AZ189" s="213" t="inlineStr">
        <is>
          <t>NI</t>
        </is>
      </c>
      <c r="BA189" s="213" t="inlineStr">
        <is>
          <t>NI</t>
        </is>
      </c>
      <c r="BB189" s="213" t="inlineStr">
        <is>
          <t>NI</t>
        </is>
      </c>
      <c r="BC189" s="213" t="inlineStr">
        <is>
          <t>NI</t>
        </is>
      </c>
      <c r="BD189" s="213" t="inlineStr">
        <is>
          <t>NI</t>
        </is>
      </c>
      <c r="BE189" s="213" t="inlineStr">
        <is>
          <t>NI</t>
        </is>
      </c>
      <c r="BF189" s="213" t="inlineStr">
        <is>
          <t>NI</t>
        </is>
      </c>
      <c r="BG189" s="213" t="inlineStr">
        <is>
          <t>NI</t>
        </is>
      </c>
      <c r="BH189" s="213" t="inlineStr">
        <is>
          <t>NI</t>
        </is>
      </c>
      <c r="BI189" s="213" t="inlineStr">
        <is>
          <t>NI</t>
        </is>
      </c>
      <c r="BJ189" s="213" t="inlineStr">
        <is>
          <t>NI</t>
        </is>
      </c>
      <c r="BK189" s="213" t="inlineStr">
        <is>
          <t>NI</t>
        </is>
      </c>
      <c r="BL189" s="213" t="inlineStr">
        <is>
          <t>NI</t>
        </is>
      </c>
      <c r="BM189" s="213" t="n"/>
      <c r="BN189" s="213" t="n"/>
      <c r="BO189" s="213" t="n"/>
      <c r="BP189" s="213" t="n"/>
      <c r="BQ189" s="213" t="n"/>
      <c r="BR189" s="213" t="n"/>
      <c r="BS189" s="213" t="n"/>
      <c r="BT189" s="213" t="n"/>
      <c r="BU189" s="213" t="n"/>
    </row>
    <row r="190" ht="50.25" customHeight="1">
      <c r="A190" s="186" t="inlineStr">
        <is>
          <t>NORDESTE</t>
        </is>
      </c>
      <c r="B190" s="187" t="inlineStr">
        <is>
          <t>PB</t>
        </is>
      </c>
      <c r="C190" s="188" t="inlineStr">
        <is>
          <t>JOAO PESSOA</t>
        </is>
      </c>
      <c r="D190" s="186" t="inlineStr">
        <is>
          <t>INSTITUTO WALFREDO GUEDES PEREIRA</t>
        </is>
      </c>
      <c r="E190" s="371" t="inlineStr">
        <is>
          <t>09124165000140</t>
        </is>
      </c>
      <c r="F190" s="186" t="inlineStr">
        <is>
          <t>INSTITUTO WALFREDO GUEDES PEREIRA</t>
        </is>
      </c>
      <c r="G190" s="190" t="n">
        <v>2399776</v>
      </c>
      <c r="H190" s="190" t="n"/>
      <c r="I190" s="190" t="n"/>
      <c r="J190" s="190" t="inlineStr">
        <is>
          <t>Rastreamento</t>
        </is>
      </c>
      <c r="K190" s="190" t="inlineStr">
        <is>
          <t>Indireta</t>
        </is>
      </c>
      <c r="L190" s="186" t="inlineStr">
        <is>
          <t>Transferegov/SEI</t>
        </is>
      </c>
      <c r="M190" s="190" t="inlineStr">
        <is>
          <t>Convênio</t>
        </is>
      </c>
      <c r="N190" s="190" t="n">
        <v>2025</v>
      </c>
      <c r="O190" s="190" t="n">
        <v>988835</v>
      </c>
      <c r="P190" s="187" t="n">
        <v>90912425014</v>
      </c>
      <c r="Q190" s="190" t="inlineStr">
        <is>
          <t>25000214555/2025-24</t>
        </is>
      </c>
      <c r="R190" s="186" t="inlineStr">
        <is>
          <t>HOSPITAL HABILITADO NA ALTA COMPLEXIDADE EM ONCOLOGIA</t>
        </is>
      </c>
      <c r="S190" s="190" t="n"/>
      <c r="T190" s="190" t="inlineStr">
        <is>
          <t>Mamógrafo</t>
        </is>
      </c>
      <c r="U190" s="190" t="inlineStr">
        <is>
          <t>NA</t>
        </is>
      </c>
      <c r="V190" s="190" t="n">
        <v>1</v>
      </c>
      <c r="W190" s="190" t="inlineStr">
        <is>
          <t>UND</t>
        </is>
      </c>
      <c r="X190" s="190" t="inlineStr">
        <is>
          <t>EQUIPAMENTO</t>
        </is>
      </c>
      <c r="Y190" s="186" t="inlineStr">
        <is>
          <t>010925-Mamógrafo</t>
        </is>
      </c>
      <c r="Z190" s="190" t="inlineStr">
        <is>
          <t>NA</t>
        </is>
      </c>
      <c r="AA190" s="191" t="n"/>
      <c r="AB190" s="191" t="n"/>
      <c r="AC190" s="191" t="n"/>
      <c r="AD190" s="190" t="inlineStr">
        <is>
          <t>NI</t>
        </is>
      </c>
      <c r="AE190" s="190" t="inlineStr">
        <is>
          <t>NI</t>
        </is>
      </c>
      <c r="AF190" s="190" t="inlineStr">
        <is>
          <t>NI</t>
        </is>
      </c>
      <c r="AG190" s="199" t="n">
        <v>1250000</v>
      </c>
      <c r="AH190" s="199" t="n"/>
      <c r="AI190" s="190" t="n"/>
      <c r="AJ190" s="190" t="n">
        <v>8535</v>
      </c>
      <c r="AK190" s="190" t="n"/>
      <c r="AL190" s="190" t="n"/>
      <c r="AM190" s="190" t="n"/>
      <c r="AN190" s="190" t="n"/>
      <c r="AO190" s="190" t="n"/>
      <c r="AP190" s="190" t="n"/>
      <c r="AQ190" s="190" t="n"/>
      <c r="AR190" s="190" t="n"/>
      <c r="AS190" s="190" t="n"/>
      <c r="AT190" s="190" t="n"/>
      <c r="AU190" s="190" t="n"/>
      <c r="AV190" s="190" t="n"/>
      <c r="AW190" s="190" t="n"/>
      <c r="AX190" s="190" t="n"/>
      <c r="AY190" s="190" t="inlineStr">
        <is>
          <t>EM EXECUÇÃO</t>
        </is>
      </c>
      <c r="AZ190" s="190" t="inlineStr">
        <is>
          <t>NI</t>
        </is>
      </c>
      <c r="BA190" s="190" t="inlineStr">
        <is>
          <t>NI</t>
        </is>
      </c>
      <c r="BB190" s="190" t="inlineStr">
        <is>
          <t>NI</t>
        </is>
      </c>
      <c r="BC190" s="190" t="inlineStr">
        <is>
          <t>NI</t>
        </is>
      </c>
      <c r="BD190" s="190" t="inlineStr">
        <is>
          <t>NI</t>
        </is>
      </c>
      <c r="BE190" s="190" t="inlineStr">
        <is>
          <t>NI</t>
        </is>
      </c>
      <c r="BF190" s="190" t="inlineStr">
        <is>
          <t>NI</t>
        </is>
      </c>
      <c r="BG190" s="190" t="inlineStr">
        <is>
          <t>NI</t>
        </is>
      </c>
      <c r="BH190" s="190" t="inlineStr">
        <is>
          <t>NI</t>
        </is>
      </c>
      <c r="BI190" s="190" t="inlineStr">
        <is>
          <t>NI</t>
        </is>
      </c>
      <c r="BJ190" s="190" t="inlineStr">
        <is>
          <t>NI</t>
        </is>
      </c>
      <c r="BK190" s="190" t="inlineStr">
        <is>
          <t>NI</t>
        </is>
      </c>
      <c r="BL190" s="190" t="inlineStr">
        <is>
          <t>NI</t>
        </is>
      </c>
      <c r="BM190" s="190" t="n"/>
      <c r="BN190" s="190" t="n"/>
      <c r="BO190" s="190" t="n"/>
      <c r="BP190" s="190" t="n"/>
      <c r="BQ190" s="190" t="n"/>
      <c r="BR190" s="190" t="n"/>
      <c r="BS190" s="190" t="n"/>
      <c r="BT190" s="190" t="n"/>
      <c r="BU190" s="190" t="n"/>
    </row>
    <row r="191" ht="50.25" customHeight="1">
      <c r="A191" s="289" t="inlineStr">
        <is>
          <t>NORDESTE</t>
        </is>
      </c>
      <c r="B191" s="372" t="inlineStr">
        <is>
          <t>PB</t>
        </is>
      </c>
      <c r="C191" s="373" t="inlineStr">
        <is>
          <t>SAPE</t>
        </is>
      </c>
      <c r="D191" s="289" t="inlineStr">
        <is>
          <t>FUNDO MUNICIPAL DE SAUDE DE SAPE</t>
        </is>
      </c>
      <c r="E191" s="374" t="inlineStr">
        <is>
          <t>08036438000131</t>
        </is>
      </c>
      <c r="F191" s="289" t="inlineStr">
        <is>
          <t>POLICLINICA MUNICIPAL MONSENHOR ODILON ALVES PEDROSA</t>
        </is>
      </c>
      <c r="G191" s="213" t="n">
        <v>3565041</v>
      </c>
      <c r="H191" s="213" t="n"/>
      <c r="I191" s="213" t="n"/>
      <c r="J191" s="289" t="inlineStr">
        <is>
          <t>Rastreamento e apoio</t>
        </is>
      </c>
      <c r="K191" s="213" t="inlineStr">
        <is>
          <t>Indireta</t>
        </is>
      </c>
      <c r="L191" s="289" t="inlineStr">
        <is>
          <t>SISPRO/SEI</t>
        </is>
      </c>
      <c r="M191" s="213" t="inlineStr">
        <is>
          <t>FAF</t>
        </is>
      </c>
      <c r="N191" s="213" t="n">
        <v>2025</v>
      </c>
      <c r="O191" s="213" t="inlineStr">
        <is>
          <t>NI</t>
        </is>
      </c>
      <c r="P191" s="376" t="inlineStr">
        <is>
          <t>08036438000125003</t>
        </is>
      </c>
      <c r="Q191" s="213" t="inlineStr">
        <is>
          <t>NI</t>
        </is>
      </c>
      <c r="R191" s="289" t="inlineStr">
        <is>
          <t>AMBULATORIO PARA DIAGNOSTICO EM ONCOLOGIA</t>
        </is>
      </c>
      <c r="S191" s="213" t="inlineStr">
        <is>
          <t>Ampliação</t>
        </is>
      </c>
      <c r="T191" s="213" t="inlineStr">
        <is>
          <t>Vários</t>
        </is>
      </c>
      <c r="U191" s="213" t="n">
        <v>44</v>
      </c>
      <c r="V191" s="213" t="inlineStr">
        <is>
          <t>NA</t>
        </is>
      </c>
      <c r="W191" s="213" t="inlineStr">
        <is>
          <t>UND</t>
        </is>
      </c>
      <c r="X191" s="213" t="inlineStr">
        <is>
          <t>EQUIPAMENTO</t>
        </is>
      </c>
      <c r="Y191" s="289" t="inlineStr">
        <is>
          <t>NA</t>
        </is>
      </c>
      <c r="Z191" s="213" t="inlineStr">
        <is>
          <t>NA</t>
        </is>
      </c>
      <c r="AA191" s="375" t="n">
        <v>46020</v>
      </c>
      <c r="AB191" s="375" t="n">
        <v>46750</v>
      </c>
      <c r="AC191" s="375" t="n">
        <v>46750</v>
      </c>
      <c r="AD191" s="213" t="inlineStr">
        <is>
          <t>NI</t>
        </is>
      </c>
      <c r="AE191" s="213" t="inlineStr">
        <is>
          <t>NI</t>
        </is>
      </c>
      <c r="AF191" s="213" t="inlineStr">
        <is>
          <t>NI</t>
        </is>
      </c>
      <c r="AG191" s="377" t="n">
        <v>1494391</v>
      </c>
      <c r="AH191" s="377" t="n">
        <v>0</v>
      </c>
      <c r="AI191" s="378" t="n">
        <v>46003</v>
      </c>
      <c r="AJ191" s="213" t="n">
        <v>8535</v>
      </c>
      <c r="AK191" s="213" t="n"/>
      <c r="AL191" s="213" t="n"/>
      <c r="AM191" s="213" t="n"/>
      <c r="AN191" s="213" t="n"/>
      <c r="AO191" s="213" t="n"/>
      <c r="AP191" s="213" t="n"/>
      <c r="AQ191" s="213" t="n"/>
      <c r="AR191" s="213" t="n"/>
      <c r="AS191" s="213" t="n"/>
      <c r="AT191" s="213" t="n"/>
      <c r="AU191" s="213" t="n"/>
      <c r="AV191" s="213" t="n"/>
      <c r="AW191" s="213" t="n"/>
      <c r="AX191" s="213" t="n"/>
      <c r="AY191" s="213" t="inlineStr">
        <is>
          <t>NI</t>
        </is>
      </c>
      <c r="AZ191" s="213" t="inlineStr">
        <is>
          <t>NI</t>
        </is>
      </c>
      <c r="BA191" s="213" t="inlineStr">
        <is>
          <t>NI</t>
        </is>
      </c>
      <c r="BB191" s="213" t="inlineStr">
        <is>
          <t>NI</t>
        </is>
      </c>
      <c r="BC191" s="213" t="inlineStr">
        <is>
          <t>NI</t>
        </is>
      </c>
      <c r="BD191" s="213" t="inlineStr">
        <is>
          <t>NI</t>
        </is>
      </c>
      <c r="BE191" s="213" t="inlineStr">
        <is>
          <t>NI</t>
        </is>
      </c>
      <c r="BF191" s="213" t="inlineStr">
        <is>
          <t>NI</t>
        </is>
      </c>
      <c r="BG191" s="213" t="inlineStr">
        <is>
          <t>NI</t>
        </is>
      </c>
      <c r="BH191" s="213" t="inlineStr">
        <is>
          <t>NI</t>
        </is>
      </c>
      <c r="BI191" s="213" t="inlineStr">
        <is>
          <t>NI</t>
        </is>
      </c>
      <c r="BJ191" s="213" t="inlineStr">
        <is>
          <t>NI</t>
        </is>
      </c>
      <c r="BK191" s="213" t="inlineStr">
        <is>
          <t>NI</t>
        </is>
      </c>
      <c r="BL191" s="213" t="inlineStr">
        <is>
          <t>NI</t>
        </is>
      </c>
      <c r="BM191" s="213" t="n"/>
      <c r="BN191" s="213" t="n"/>
      <c r="BO191" s="213" t="n"/>
      <c r="BP191" s="213" t="n"/>
      <c r="BQ191" s="213" t="n"/>
      <c r="BR191" s="213" t="n"/>
      <c r="BS191" s="213" t="n"/>
      <c r="BT191" s="213" t="inlineStr">
        <is>
          <t>NA</t>
        </is>
      </c>
      <c r="BU191" s="213" t="n">
        <v>0</v>
      </c>
    </row>
    <row r="192" ht="50.25" customHeight="1">
      <c r="A192" s="186" t="inlineStr">
        <is>
          <t>NORDESTE</t>
        </is>
      </c>
      <c r="B192" s="187" t="inlineStr">
        <is>
          <t>PB</t>
        </is>
      </c>
      <c r="C192" s="188" t="inlineStr">
        <is>
          <t>SAPE</t>
        </is>
      </c>
      <c r="D192" s="186" t="inlineStr">
        <is>
          <t>FUNDO MUNICIPAL DE SAUDE DE SAPE</t>
        </is>
      </c>
      <c r="E192" s="371" t="inlineStr">
        <is>
          <t>08036438000131</t>
        </is>
      </c>
      <c r="F192" s="186" t="inlineStr">
        <is>
          <t>POLICLINICA MUNICIPAL MONSENHOR ODILON ALVES PEDROSA</t>
        </is>
      </c>
      <c r="G192" s="190" t="n">
        <v>3565041</v>
      </c>
      <c r="H192" s="190" t="n"/>
      <c r="I192" s="190" t="n"/>
      <c r="J192" s="190" t="inlineStr">
        <is>
          <t>Rastreamento</t>
        </is>
      </c>
      <c r="K192" s="190" t="inlineStr">
        <is>
          <t>Indireta</t>
        </is>
      </c>
      <c r="L192" s="186" t="inlineStr">
        <is>
          <t>SISPRO/SEI</t>
        </is>
      </c>
      <c r="M192" s="190" t="inlineStr">
        <is>
          <t>FAF</t>
        </is>
      </c>
      <c r="N192" s="190" t="n">
        <v>2025</v>
      </c>
      <c r="O192" s="190" t="inlineStr">
        <is>
          <t>NI</t>
        </is>
      </c>
      <c r="P192" s="257" t="inlineStr">
        <is>
          <t>08036438000125003</t>
        </is>
      </c>
      <c r="Q192" s="190" t="inlineStr">
        <is>
          <t>NI</t>
        </is>
      </c>
      <c r="R192" s="186" t="inlineStr">
        <is>
          <t>AMBULATORIO PARA DIAGNOSTICO EM ONCOLOGIA</t>
        </is>
      </c>
      <c r="S192" s="190" t="inlineStr">
        <is>
          <t>Ampliação</t>
        </is>
      </c>
      <c r="T192" s="190" t="inlineStr">
        <is>
          <t>Mamógrafo</t>
        </is>
      </c>
      <c r="U192" s="190" t="inlineStr">
        <is>
          <t>NA</t>
        </is>
      </c>
      <c r="V192" s="190" t="n">
        <v>1</v>
      </c>
      <c r="W192" s="190" t="inlineStr">
        <is>
          <t>UND</t>
        </is>
      </c>
      <c r="X192" s="190" t="inlineStr">
        <is>
          <t>EQUIPAMENTO</t>
        </is>
      </c>
      <c r="Y192" s="186" t="inlineStr">
        <is>
          <t>010925-Mamógrafo</t>
        </is>
      </c>
      <c r="Z192" s="190" t="inlineStr">
        <is>
          <t>NA</t>
        </is>
      </c>
      <c r="AA192" s="191" t="n">
        <v>46020</v>
      </c>
      <c r="AB192" s="191" t="n">
        <v>46750</v>
      </c>
      <c r="AC192" s="191" t="n">
        <v>46750</v>
      </c>
      <c r="AD192" s="190" t="inlineStr">
        <is>
          <t>NI</t>
        </is>
      </c>
      <c r="AE192" s="190" t="inlineStr">
        <is>
          <t>NI</t>
        </is>
      </c>
      <c r="AF192" s="190" t="inlineStr">
        <is>
          <t>NI</t>
        </is>
      </c>
      <c r="AG192" s="199" t="inlineStr">
        <is>
          <t>NA</t>
        </is>
      </c>
      <c r="AH192" s="199" t="inlineStr">
        <is>
          <t>NA</t>
        </is>
      </c>
      <c r="AI192" s="190" t="inlineStr">
        <is>
          <t>NA</t>
        </is>
      </c>
      <c r="AJ192" s="190" t="n">
        <v>8535</v>
      </c>
      <c r="AK192" s="190" t="n"/>
      <c r="AL192" s="190" t="n"/>
      <c r="AM192" s="190" t="n"/>
      <c r="AN192" s="190" t="n"/>
      <c r="AO192" s="190" t="n"/>
      <c r="AP192" s="190" t="n"/>
      <c r="AQ192" s="190" t="n"/>
      <c r="AR192" s="190" t="n"/>
      <c r="AS192" s="190" t="n"/>
      <c r="AT192" s="190" t="n"/>
      <c r="AU192" s="190" t="n"/>
      <c r="AV192" s="190" t="n"/>
      <c r="AW192" s="190" t="n"/>
      <c r="AX192" s="190" t="n"/>
      <c r="AY192" s="190" t="inlineStr">
        <is>
          <t>NI</t>
        </is>
      </c>
      <c r="AZ192" s="190" t="inlineStr">
        <is>
          <t>NI</t>
        </is>
      </c>
      <c r="BA192" s="190" t="inlineStr">
        <is>
          <t>NI</t>
        </is>
      </c>
      <c r="BB192" s="190" t="inlineStr">
        <is>
          <t>NI</t>
        </is>
      </c>
      <c r="BC192" s="190" t="inlineStr">
        <is>
          <t>NI</t>
        </is>
      </c>
      <c r="BD192" s="190" t="inlineStr">
        <is>
          <t>NI</t>
        </is>
      </c>
      <c r="BE192" s="190" t="inlineStr">
        <is>
          <t>NI</t>
        </is>
      </c>
      <c r="BF192" s="190" t="inlineStr">
        <is>
          <t>NI</t>
        </is>
      </c>
      <c r="BG192" s="190" t="inlineStr">
        <is>
          <t>NI</t>
        </is>
      </c>
      <c r="BH192" s="190" t="inlineStr">
        <is>
          <t>NI</t>
        </is>
      </c>
      <c r="BI192" s="190" t="inlineStr">
        <is>
          <t>NI</t>
        </is>
      </c>
      <c r="BJ192" s="190" t="inlineStr">
        <is>
          <t>NI</t>
        </is>
      </c>
      <c r="BK192" s="190" t="inlineStr">
        <is>
          <t>NI</t>
        </is>
      </c>
      <c r="BL192" s="190" t="inlineStr">
        <is>
          <t>NI</t>
        </is>
      </c>
      <c r="BM192" s="190" t="n"/>
      <c r="BN192" s="190" t="n"/>
      <c r="BO192" s="190" t="n"/>
      <c r="BP192" s="190" t="n"/>
      <c r="BQ192" s="190" t="n"/>
      <c r="BR192" s="190" t="n"/>
      <c r="BS192" s="190" t="n"/>
      <c r="BT192" s="190" t="inlineStr">
        <is>
          <t>NA</t>
        </is>
      </c>
      <c r="BU192" s="190" t="n">
        <v>0</v>
      </c>
    </row>
    <row r="193" ht="50.25" customHeight="1">
      <c r="A193" s="289" t="inlineStr">
        <is>
          <t>NORDESTE</t>
        </is>
      </c>
      <c r="B193" s="372" t="inlineStr">
        <is>
          <t>PE</t>
        </is>
      </c>
      <c r="C193" s="373" t="inlineStr">
        <is>
          <t>RECIFE</t>
        </is>
      </c>
      <c r="D193" s="289" t="inlineStr">
        <is>
          <t>IRMANDADE DA SANTA CASA DE MISERICORDIA DO RECIFE</t>
        </is>
      </c>
      <c r="E193" s="374" t="inlineStr">
        <is>
          <t>10869782000153</t>
        </is>
      </c>
      <c r="F193" s="289" t="inlineStr">
        <is>
          <t>IRMANDADE DA SANTA CASA DE MISERICORDIA DO RECIFE</t>
        </is>
      </c>
      <c r="G193" s="213" t="n">
        <v>2777460</v>
      </c>
      <c r="H193" s="213" t="n"/>
      <c r="I193" s="213" t="n"/>
      <c r="J193" s="289" t="inlineStr">
        <is>
          <t>Rastreamento e apoio</t>
        </is>
      </c>
      <c r="K193" s="213" t="inlineStr">
        <is>
          <t>Indireta</t>
        </is>
      </c>
      <c r="L193" s="289" t="inlineStr">
        <is>
          <t>Transferegov/SEI</t>
        </is>
      </c>
      <c r="M193" s="213" t="inlineStr">
        <is>
          <t>Convênio</t>
        </is>
      </c>
      <c r="N193" s="213" t="n">
        <v>2025</v>
      </c>
      <c r="O193" s="213" t="n">
        <v>991766</v>
      </c>
      <c r="P193" s="372" t="n">
        <v>91086925002</v>
      </c>
      <c r="Q193" s="213" t="inlineStr">
        <is>
          <t>25000226746/2025-39</t>
        </is>
      </c>
      <c r="R193" s="289" t="inlineStr">
        <is>
          <t>HOSPITAL HABILITADO NA ALTA COMPLEXIDADE EM ONCOLOGIA</t>
        </is>
      </c>
      <c r="S193" s="213" t="n"/>
      <c r="T193" s="213" t="inlineStr">
        <is>
          <t>Vários</t>
        </is>
      </c>
      <c r="U193" s="213" t="n">
        <v>4</v>
      </c>
      <c r="V193" s="213" t="inlineStr">
        <is>
          <t>NA</t>
        </is>
      </c>
      <c r="W193" s="213" t="inlineStr">
        <is>
          <t>UND</t>
        </is>
      </c>
      <c r="X193" s="213" t="inlineStr">
        <is>
          <t>EQUIPAMENTO</t>
        </is>
      </c>
      <c r="Y193" s="289" t="inlineStr">
        <is>
          <t>NA</t>
        </is>
      </c>
      <c r="Z193" s="213" t="inlineStr">
        <is>
          <t>NA</t>
        </is>
      </c>
      <c r="AA193" s="375" t="n"/>
      <c r="AB193" s="375" t="n"/>
      <c r="AC193" s="375" t="n"/>
      <c r="AD193" s="213" t="inlineStr">
        <is>
          <t>NI</t>
        </is>
      </c>
      <c r="AE193" s="213" t="inlineStr">
        <is>
          <t>NI</t>
        </is>
      </c>
      <c r="AF193" s="213" t="inlineStr">
        <is>
          <t>NI</t>
        </is>
      </c>
      <c r="AG193" s="377" t="n">
        <v>1736185</v>
      </c>
      <c r="AH193" s="377" t="n"/>
      <c r="AI193" s="213" t="n"/>
      <c r="AJ193" s="213" t="n">
        <v>8535</v>
      </c>
      <c r="AK193" s="213" t="n"/>
      <c r="AL193" s="213" t="n"/>
      <c r="AM193" s="213" t="n"/>
      <c r="AN193" s="213" t="n"/>
      <c r="AO193" s="213" t="n"/>
      <c r="AP193" s="213" t="n"/>
      <c r="AQ193" s="213" t="n"/>
      <c r="AR193" s="213" t="n"/>
      <c r="AS193" s="213" t="n"/>
      <c r="AT193" s="213" t="n"/>
      <c r="AU193" s="213" t="n"/>
      <c r="AV193" s="213" t="n"/>
      <c r="AW193" s="213" t="n"/>
      <c r="AX193" s="213" t="n"/>
      <c r="AY193" s="213" t="inlineStr">
        <is>
          <t>EM EXECUÇÃO</t>
        </is>
      </c>
      <c r="AZ193" s="213" t="inlineStr">
        <is>
          <t>NI</t>
        </is>
      </c>
      <c r="BA193" s="213" t="inlineStr">
        <is>
          <t>NI</t>
        </is>
      </c>
      <c r="BB193" s="213" t="inlineStr">
        <is>
          <t>NI</t>
        </is>
      </c>
      <c r="BC193" s="213" t="inlineStr">
        <is>
          <t>NI</t>
        </is>
      </c>
      <c r="BD193" s="213" t="inlineStr">
        <is>
          <t>NI</t>
        </is>
      </c>
      <c r="BE193" s="213" t="inlineStr">
        <is>
          <t>NI</t>
        </is>
      </c>
      <c r="BF193" s="213" t="inlineStr">
        <is>
          <t>NI</t>
        </is>
      </c>
      <c r="BG193" s="213" t="inlineStr">
        <is>
          <t>NI</t>
        </is>
      </c>
      <c r="BH193" s="213" t="inlineStr">
        <is>
          <t>NI</t>
        </is>
      </c>
      <c r="BI193" s="213" t="inlineStr">
        <is>
          <t>NI</t>
        </is>
      </c>
      <c r="BJ193" s="213" t="inlineStr">
        <is>
          <t>NI</t>
        </is>
      </c>
      <c r="BK193" s="213" t="inlineStr">
        <is>
          <t>NI</t>
        </is>
      </c>
      <c r="BL193" s="213" t="inlineStr">
        <is>
          <t>NI</t>
        </is>
      </c>
      <c r="BM193" s="213" t="n"/>
      <c r="BN193" s="213" t="n"/>
      <c r="BO193" s="213" t="n"/>
      <c r="BP193" s="213" t="n"/>
      <c r="BQ193" s="213" t="n"/>
      <c r="BR193" s="213" t="n"/>
      <c r="BS193" s="213" t="n"/>
      <c r="BT193" s="213" t="n"/>
      <c r="BU193" s="213" t="n"/>
    </row>
    <row r="194" ht="50.25" customHeight="1">
      <c r="A194" s="186" t="inlineStr">
        <is>
          <t>NORDESTE</t>
        </is>
      </c>
      <c r="B194" s="187" t="inlineStr">
        <is>
          <t>PE</t>
        </is>
      </c>
      <c r="C194" s="188" t="inlineStr">
        <is>
          <t>RECIFE</t>
        </is>
      </c>
      <c r="D194" s="186" t="inlineStr">
        <is>
          <t>IRMANDADE DA SANTA CASA DE MISERICORDIA DO RECIFE</t>
        </is>
      </c>
      <c r="E194" s="371" t="inlineStr">
        <is>
          <t>10869782000153</t>
        </is>
      </c>
      <c r="F194" s="186" t="inlineStr">
        <is>
          <t>IRMANDADE DA SANTA CASA DE MISERICORDIA DO RECIFE</t>
        </is>
      </c>
      <c r="G194" s="190" t="n">
        <v>2777460</v>
      </c>
      <c r="H194" s="190" t="n"/>
      <c r="I194" s="190" t="n"/>
      <c r="J194" s="190" t="inlineStr">
        <is>
          <t>Rastreamento</t>
        </is>
      </c>
      <c r="K194" s="190" t="inlineStr">
        <is>
          <t>Indireta</t>
        </is>
      </c>
      <c r="L194" s="186" t="inlineStr">
        <is>
          <t>Transferegov/SEI</t>
        </is>
      </c>
      <c r="M194" s="190" t="inlineStr">
        <is>
          <t>Convênio</t>
        </is>
      </c>
      <c r="N194" s="190" t="n">
        <v>2025</v>
      </c>
      <c r="O194" s="190" t="n">
        <v>991766</v>
      </c>
      <c r="P194" s="187" t="n">
        <v>91086925002</v>
      </c>
      <c r="Q194" s="190" t="inlineStr">
        <is>
          <t>25000226746/2025-39</t>
        </is>
      </c>
      <c r="R194" s="186" t="inlineStr">
        <is>
          <t>HOSPITAL HABILITADO NA ALTA COMPLEXIDADE EM ONCOLOGIA</t>
        </is>
      </c>
      <c r="S194" s="190" t="n"/>
      <c r="T194" s="190" t="inlineStr">
        <is>
          <t>Mamógrafo</t>
        </is>
      </c>
      <c r="U194" s="190" t="inlineStr">
        <is>
          <t>NA</t>
        </is>
      </c>
      <c r="V194" s="190" t="n">
        <v>1</v>
      </c>
      <c r="W194" s="190" t="inlineStr">
        <is>
          <t>UND</t>
        </is>
      </c>
      <c r="X194" s="190" t="inlineStr">
        <is>
          <t>EQUIPAMENTO</t>
        </is>
      </c>
      <c r="Y194" s="186" t="inlineStr">
        <is>
          <t>010925-Mamógrafo</t>
        </is>
      </c>
      <c r="Z194" s="190" t="inlineStr">
        <is>
          <t>NA</t>
        </is>
      </c>
      <c r="AA194" s="191" t="n"/>
      <c r="AB194" s="191" t="n"/>
      <c r="AC194" s="191" t="n"/>
      <c r="AD194" s="190" t="inlineStr">
        <is>
          <t>NI</t>
        </is>
      </c>
      <c r="AE194" s="190" t="inlineStr">
        <is>
          <t>NI</t>
        </is>
      </c>
      <c r="AF194" s="190" t="inlineStr">
        <is>
          <t>NI</t>
        </is>
      </c>
      <c r="AG194" s="199" t="n">
        <v>1736185</v>
      </c>
      <c r="AH194" s="199" t="n"/>
      <c r="AI194" s="190" t="n"/>
      <c r="AJ194" s="190" t="n">
        <v>8535</v>
      </c>
      <c r="AK194" s="190" t="n"/>
      <c r="AL194" s="190" t="n"/>
      <c r="AM194" s="190" t="n"/>
      <c r="AN194" s="190" t="n"/>
      <c r="AO194" s="190" t="n"/>
      <c r="AP194" s="190" t="n"/>
      <c r="AQ194" s="190" t="n"/>
      <c r="AR194" s="190" t="n"/>
      <c r="AS194" s="190" t="n"/>
      <c r="AT194" s="190" t="n"/>
      <c r="AU194" s="190" t="n"/>
      <c r="AV194" s="190" t="n"/>
      <c r="AW194" s="190" t="n"/>
      <c r="AX194" s="190" t="n"/>
      <c r="AY194" s="190" t="inlineStr">
        <is>
          <t>EM EXECUÇÃO</t>
        </is>
      </c>
      <c r="AZ194" s="190" t="inlineStr">
        <is>
          <t>NI</t>
        </is>
      </c>
      <c r="BA194" s="190" t="inlineStr">
        <is>
          <t>NI</t>
        </is>
      </c>
      <c r="BB194" s="190" t="inlineStr">
        <is>
          <t>NI</t>
        </is>
      </c>
      <c r="BC194" s="190" t="inlineStr">
        <is>
          <t>NI</t>
        </is>
      </c>
      <c r="BD194" s="190" t="inlineStr">
        <is>
          <t>NI</t>
        </is>
      </c>
      <c r="BE194" s="190" t="inlineStr">
        <is>
          <t>NI</t>
        </is>
      </c>
      <c r="BF194" s="190" t="inlineStr">
        <is>
          <t>NI</t>
        </is>
      </c>
      <c r="BG194" s="190" t="inlineStr">
        <is>
          <t>NI</t>
        </is>
      </c>
      <c r="BH194" s="190" t="inlineStr">
        <is>
          <t>NI</t>
        </is>
      </c>
      <c r="BI194" s="190" t="inlineStr">
        <is>
          <t>NI</t>
        </is>
      </c>
      <c r="BJ194" s="190" t="inlineStr">
        <is>
          <t>NI</t>
        </is>
      </c>
      <c r="BK194" s="190" t="inlineStr">
        <is>
          <t>NI</t>
        </is>
      </c>
      <c r="BL194" s="190" t="inlineStr">
        <is>
          <t>NI</t>
        </is>
      </c>
      <c r="BM194" s="190" t="n"/>
      <c r="BN194" s="190" t="n"/>
      <c r="BO194" s="190" t="n"/>
      <c r="BP194" s="190" t="n"/>
      <c r="BQ194" s="190" t="n"/>
      <c r="BR194" s="190" t="n"/>
      <c r="BS194" s="190" t="n"/>
      <c r="BT194" s="190" t="n"/>
      <c r="BU194" s="190" t="n"/>
    </row>
    <row r="195" ht="50.25" customHeight="1">
      <c r="A195" s="186" t="inlineStr">
        <is>
          <t>NORDESTE</t>
        </is>
      </c>
      <c r="B195" s="187" t="inlineStr">
        <is>
          <t>PE</t>
        </is>
      </c>
      <c r="C195" s="188" t="inlineStr">
        <is>
          <t>RECIFE</t>
        </is>
      </c>
      <c r="D195" s="186" t="inlineStr">
        <is>
          <t>IRMANDADE DA SANTA CASA DE MISERICORDIA DO RECIFE</t>
        </is>
      </c>
      <c r="E195" s="371" t="inlineStr">
        <is>
          <t>10869782000153</t>
        </is>
      </c>
      <c r="F195" s="186" t="inlineStr">
        <is>
          <t>IRMANDADE DA SANTA CASA DE MISERICORDIA DO RECIFE</t>
        </is>
      </c>
      <c r="G195" s="190" t="n">
        <v>2777460</v>
      </c>
      <c r="H195" s="190" t="n"/>
      <c r="I195" s="190" t="n"/>
      <c r="J195" s="190" t="inlineStr">
        <is>
          <t>Rastreamento</t>
        </is>
      </c>
      <c r="K195" s="190" t="inlineStr">
        <is>
          <t>Indireta</t>
        </is>
      </c>
      <c r="L195" s="186" t="inlineStr">
        <is>
          <t>Transferegov/SEI</t>
        </is>
      </c>
      <c r="M195" s="190" t="inlineStr">
        <is>
          <t>Convênio</t>
        </is>
      </c>
      <c r="N195" s="190" t="n">
        <v>2025</v>
      </c>
      <c r="O195" s="190" t="n">
        <v>991766</v>
      </c>
      <c r="P195" s="187" t="n">
        <v>91086925002</v>
      </c>
      <c r="Q195" s="190" t="inlineStr">
        <is>
          <t>25000226746/2025-39</t>
        </is>
      </c>
      <c r="R195" s="186" t="inlineStr">
        <is>
          <t>HOSPITAL HABILITADO NA ALTA COMPLEXIDADE EM ONCOLOGIA</t>
        </is>
      </c>
      <c r="S195" s="190" t="n"/>
      <c r="T195" s="190" t="inlineStr">
        <is>
          <t>Sistema de Vídeo Endoscopia Flexível</t>
        </is>
      </c>
      <c r="U195" s="190" t="inlineStr">
        <is>
          <t>NA</t>
        </is>
      </c>
      <c r="V195" s="190" t="n">
        <v>1</v>
      </c>
      <c r="W195" s="190" t="inlineStr">
        <is>
          <t>UND</t>
        </is>
      </c>
      <c r="X195" s="190" t="inlineStr">
        <is>
          <t>EQUIPAMENTO</t>
        </is>
      </c>
      <c r="Y195" s="186" t="n"/>
      <c r="Z195" s="190" t="inlineStr">
        <is>
          <t>NA</t>
        </is>
      </c>
      <c r="AA195" s="191" t="n"/>
      <c r="AB195" s="191" t="n"/>
      <c r="AC195" s="191" t="n"/>
      <c r="AD195" s="190" t="inlineStr">
        <is>
          <t>NI</t>
        </is>
      </c>
      <c r="AE195" s="190" t="inlineStr">
        <is>
          <t>NI</t>
        </is>
      </c>
      <c r="AF195" s="190" t="inlineStr">
        <is>
          <t>NI</t>
        </is>
      </c>
      <c r="AG195" s="199" t="n">
        <v>1736185</v>
      </c>
      <c r="AH195" s="199" t="n"/>
      <c r="AI195" s="190" t="n"/>
      <c r="AJ195" s="190" t="n">
        <v>8535</v>
      </c>
      <c r="AK195" s="190" t="n"/>
      <c r="AL195" s="190" t="n"/>
      <c r="AM195" s="190" t="n"/>
      <c r="AN195" s="190" t="n"/>
      <c r="AO195" s="190" t="n"/>
      <c r="AP195" s="190" t="n"/>
      <c r="AQ195" s="190" t="n"/>
      <c r="AR195" s="190" t="n"/>
      <c r="AS195" s="190" t="n"/>
      <c r="AT195" s="190" t="n"/>
      <c r="AU195" s="190" t="n"/>
      <c r="AV195" s="190" t="n"/>
      <c r="AW195" s="190" t="n"/>
      <c r="AX195" s="190" t="n"/>
      <c r="AY195" s="190" t="inlineStr">
        <is>
          <t>EM EXECUÇÃO</t>
        </is>
      </c>
      <c r="AZ195" s="190" t="inlineStr">
        <is>
          <t>NI</t>
        </is>
      </c>
      <c r="BA195" s="190" t="inlineStr">
        <is>
          <t>NI</t>
        </is>
      </c>
      <c r="BB195" s="190" t="inlineStr">
        <is>
          <t>NI</t>
        </is>
      </c>
      <c r="BC195" s="190" t="inlineStr">
        <is>
          <t>NI</t>
        </is>
      </c>
      <c r="BD195" s="190" t="inlineStr">
        <is>
          <t>NI</t>
        </is>
      </c>
      <c r="BE195" s="190" t="inlineStr">
        <is>
          <t>NI</t>
        </is>
      </c>
      <c r="BF195" s="190" t="inlineStr">
        <is>
          <t>NI</t>
        </is>
      </c>
      <c r="BG195" s="190" t="inlineStr">
        <is>
          <t>NI</t>
        </is>
      </c>
      <c r="BH195" s="190" t="inlineStr">
        <is>
          <t>NI</t>
        </is>
      </c>
      <c r="BI195" s="190" t="inlineStr">
        <is>
          <t>NI</t>
        </is>
      </c>
      <c r="BJ195" s="190" t="inlineStr">
        <is>
          <t>NI</t>
        </is>
      </c>
      <c r="BK195" s="190" t="inlineStr">
        <is>
          <t>NI</t>
        </is>
      </c>
      <c r="BL195" s="190" t="inlineStr">
        <is>
          <t>NI</t>
        </is>
      </c>
      <c r="BM195" s="190" t="n"/>
      <c r="BN195" s="190" t="n"/>
      <c r="BO195" s="190" t="n"/>
      <c r="BP195" s="190" t="n"/>
      <c r="BQ195" s="190" t="n"/>
      <c r="BR195" s="190" t="n"/>
      <c r="BS195" s="190" t="n"/>
      <c r="BT195" s="190" t="n"/>
      <c r="BU195" s="190" t="n"/>
    </row>
    <row r="196" ht="50.25" customHeight="1">
      <c r="A196" s="289" t="inlineStr">
        <is>
          <t>SUL</t>
        </is>
      </c>
      <c r="B196" s="372" t="inlineStr">
        <is>
          <t>RS</t>
        </is>
      </c>
      <c r="C196" s="373" t="inlineStr">
        <is>
          <t>TENENTE PORTELA</t>
        </is>
      </c>
      <c r="D196" s="289" t="inlineStr">
        <is>
          <t>ASSOCIACAO HOSPITALAR BENEFICIENTE SANTO ANTONIO</t>
        </is>
      </c>
      <c r="E196" s="374" t="inlineStr">
        <is>
          <t>08579164000127</t>
        </is>
      </c>
      <c r="F196" s="289" t="inlineStr">
        <is>
          <t>ASSOCIACAO HOSPITALAR BENEFICIENTE SANTO ANTONIO</t>
        </is>
      </c>
      <c r="G196" s="213" t="n">
        <v>5384117</v>
      </c>
      <c r="H196" s="213" t="n"/>
      <c r="I196" s="213" t="n"/>
      <c r="J196" s="213" t="inlineStr">
        <is>
          <t>Rastreamento</t>
        </is>
      </c>
      <c r="K196" s="213" t="inlineStr">
        <is>
          <t>Indireta</t>
        </is>
      </c>
      <c r="L196" s="289" t="inlineStr">
        <is>
          <t>Transferegov/SEI</t>
        </is>
      </c>
      <c r="M196" s="213" t="inlineStr">
        <is>
          <t>Convênio</t>
        </is>
      </c>
      <c r="N196" s="213" t="n">
        <v>2025</v>
      </c>
      <c r="O196" s="213" t="n">
        <v>991766</v>
      </c>
      <c r="P196" s="372" t="n">
        <v>90857925001</v>
      </c>
      <c r="Q196" s="213" t="inlineStr">
        <is>
          <t>25000226652/2025-60</t>
        </is>
      </c>
      <c r="R196" s="289" t="inlineStr">
        <is>
          <t>HOSPITAL HABILITADO NA ALTA COMPLEXIDADE EM ONCOLOGIA</t>
        </is>
      </c>
      <c r="S196" s="213" t="n"/>
      <c r="T196" s="213" t="inlineStr">
        <is>
          <t>Mamógrafo</t>
        </is>
      </c>
      <c r="U196" s="213" t="n">
        <v>1</v>
      </c>
      <c r="V196" s="213" t="n">
        <v>1</v>
      </c>
      <c r="W196" s="213" t="inlineStr">
        <is>
          <t>UND</t>
        </is>
      </c>
      <c r="X196" s="213" t="inlineStr">
        <is>
          <t>EQUIPAMENTO</t>
        </is>
      </c>
      <c r="Y196" s="289" t="inlineStr">
        <is>
          <t>010925-Mamógrafo</t>
        </is>
      </c>
      <c r="Z196" s="213" t="inlineStr">
        <is>
          <t>NA</t>
        </is>
      </c>
      <c r="AA196" s="375" t="n"/>
      <c r="AB196" s="375" t="n"/>
      <c r="AC196" s="375" t="n"/>
      <c r="AD196" s="213" t="inlineStr">
        <is>
          <t>NI</t>
        </is>
      </c>
      <c r="AE196" s="213" t="inlineStr">
        <is>
          <t>NI</t>
        </is>
      </c>
      <c r="AF196" s="213" t="inlineStr">
        <is>
          <t>NI</t>
        </is>
      </c>
      <c r="AG196" s="377" t="n">
        <v>1736185</v>
      </c>
      <c r="AH196" s="377" t="n"/>
      <c r="AI196" s="213" t="n"/>
      <c r="AJ196" s="213" t="n">
        <v>8535</v>
      </c>
      <c r="AK196" s="213" t="n"/>
      <c r="AL196" s="213" t="n"/>
      <c r="AM196" s="213" t="n"/>
      <c r="AN196" s="213" t="n"/>
      <c r="AO196" s="213" t="n"/>
      <c r="AP196" s="213" t="n"/>
      <c r="AQ196" s="213" t="n"/>
      <c r="AR196" s="213" t="n"/>
      <c r="AS196" s="213" t="n"/>
      <c r="AT196" s="213" t="n"/>
      <c r="AU196" s="213" t="n"/>
      <c r="AV196" s="213" t="n"/>
      <c r="AW196" s="213" t="n"/>
      <c r="AX196" s="213" t="n"/>
      <c r="AY196" s="213" t="inlineStr">
        <is>
          <t>EM EXECUÇÃO</t>
        </is>
      </c>
      <c r="AZ196" s="213" t="inlineStr">
        <is>
          <t>NI</t>
        </is>
      </c>
      <c r="BA196" s="213" t="inlineStr">
        <is>
          <t>NI</t>
        </is>
      </c>
      <c r="BB196" s="213" t="inlineStr">
        <is>
          <t>NI</t>
        </is>
      </c>
      <c r="BC196" s="213" t="inlineStr">
        <is>
          <t>NI</t>
        </is>
      </c>
      <c r="BD196" s="213" t="inlineStr">
        <is>
          <t>NI</t>
        </is>
      </c>
      <c r="BE196" s="213" t="inlineStr">
        <is>
          <t>NI</t>
        </is>
      </c>
      <c r="BF196" s="213" t="inlineStr">
        <is>
          <t>NI</t>
        </is>
      </c>
      <c r="BG196" s="213" t="inlineStr">
        <is>
          <t>NI</t>
        </is>
      </c>
      <c r="BH196" s="213" t="inlineStr">
        <is>
          <t>NI</t>
        </is>
      </c>
      <c r="BI196" s="213" t="inlineStr">
        <is>
          <t>NI</t>
        </is>
      </c>
      <c r="BJ196" s="213" t="inlineStr">
        <is>
          <t>NI</t>
        </is>
      </c>
      <c r="BK196" s="213" t="inlineStr">
        <is>
          <t>NI</t>
        </is>
      </c>
      <c r="BL196" s="213" t="inlineStr">
        <is>
          <t>NI</t>
        </is>
      </c>
      <c r="BM196" s="213" t="n"/>
      <c r="BN196" s="213" t="n"/>
      <c r="BO196" s="213" t="n"/>
      <c r="BP196" s="213" t="n"/>
      <c r="BQ196" s="213" t="n"/>
      <c r="BR196" s="213" t="n"/>
      <c r="BS196" s="213" t="n"/>
      <c r="BT196" s="213" t="n"/>
      <c r="BU196" s="213" t="n"/>
    </row>
    <row r="197">
      <c r="B197" s="180" t="n"/>
      <c r="C197" s="179" t="n"/>
      <c r="P197" s="180" t="n"/>
    </row>
    <row r="198">
      <c r="B198" s="180" t="n"/>
      <c r="C198" s="179" t="n"/>
      <c r="P198" s="180" t="n"/>
    </row>
    <row r="199">
      <c r="B199" s="180" t="n"/>
      <c r="C199" s="179" t="n"/>
      <c r="P199" s="180" t="n"/>
    </row>
    <row r="200">
      <c r="B200" s="180" t="n"/>
      <c r="C200" s="179" t="n"/>
      <c r="P200" s="180" t="n"/>
    </row>
    <row r="201">
      <c r="B201" s="180" t="n"/>
      <c r="C201" s="179" t="n"/>
      <c r="P201" s="180" t="n"/>
    </row>
    <row r="202">
      <c r="B202" s="180" t="n"/>
      <c r="C202" s="179" t="n"/>
      <c r="P202" s="180" t="n"/>
    </row>
    <row r="203">
      <c r="B203" s="180" t="n"/>
      <c r="C203" s="179" t="n"/>
      <c r="P203" s="180" t="n"/>
    </row>
    <row r="204">
      <c r="B204" s="180" t="n"/>
      <c r="C204" s="179" t="n"/>
      <c r="P204" s="180" t="n"/>
    </row>
    <row r="205">
      <c r="B205" s="180" t="n"/>
      <c r="C205" s="179" t="n"/>
      <c r="P205" s="180" t="n"/>
    </row>
    <row r="206">
      <c r="B206" s="180" t="n"/>
      <c r="C206" s="179" t="n"/>
      <c r="P206" s="180" t="n"/>
    </row>
    <row r="207">
      <c r="B207" s="180" t="n"/>
      <c r="C207" s="179" t="n"/>
      <c r="P207" s="180" t="n"/>
    </row>
    <row r="208">
      <c r="B208" s="180" t="n"/>
      <c r="C208" s="179" t="n"/>
      <c r="P208" s="180" t="n"/>
    </row>
    <row r="209">
      <c r="B209" s="180" t="n"/>
      <c r="C209" s="179" t="n"/>
      <c r="P209" s="180" t="n"/>
    </row>
    <row r="210">
      <c r="B210" s="180" t="n"/>
      <c r="C210" s="179" t="n"/>
      <c r="P210" s="181" t="n"/>
    </row>
    <row r="211">
      <c r="B211" s="180" t="n"/>
      <c r="C211" s="179" t="n"/>
      <c r="P211" s="181" t="n"/>
    </row>
    <row r="212">
      <c r="B212" s="180" t="n"/>
      <c r="C212" s="179" t="n"/>
      <c r="P212" s="181" t="n"/>
    </row>
    <row r="213">
      <c r="B213" s="180" t="n"/>
      <c r="C213" s="179" t="n"/>
      <c r="P213" s="181" t="n"/>
    </row>
    <row r="214">
      <c r="B214" s="180" t="n"/>
      <c r="C214" s="179" t="n"/>
      <c r="P214" s="181" t="n"/>
    </row>
    <row r="215">
      <c r="B215" s="180" t="n"/>
      <c r="C215" s="179" t="n"/>
      <c r="P215" s="181" t="n"/>
    </row>
    <row r="216">
      <c r="B216" s="180" t="n"/>
      <c r="C216" s="179" t="n"/>
      <c r="P216" s="180" t="n"/>
    </row>
  </sheetData>
  <autoFilter ref="A1:BL18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S110"/>
  <sheetViews>
    <sheetView topLeftCell="AN1" workbookViewId="0">
      <pane ySplit="1" topLeftCell="A10" activePane="bottomLeft" state="frozen"/>
      <selection pane="bottomLeft" activeCell="P12" sqref="P12"/>
    </sheetView>
  </sheetViews>
  <sheetFormatPr baseColWidth="8" defaultColWidth="9.140625" defaultRowHeight="61.5" customHeight="1" outlineLevelRow="1"/>
  <cols>
    <col width="10.140625" customWidth="1" style="81" min="1" max="1"/>
    <col width="5.85546875" bestFit="1" customWidth="1" style="81" min="2" max="2"/>
    <col width="16.7109375" bestFit="1" customWidth="1" style="83" min="3" max="3"/>
    <col width="17.28515625" customWidth="1" style="83" min="4" max="4"/>
    <col width="19.140625" customWidth="1" style="296" min="5" max="5"/>
    <col width="22" customWidth="1" style="83" min="6" max="6"/>
    <col width="9.140625" customWidth="1" style="296" min="7" max="7"/>
    <col width="13.42578125" customWidth="1" style="83" min="8" max="8"/>
    <col width="9.140625" customWidth="1" style="81" min="9" max="10"/>
    <col width="43.85546875" customWidth="1" style="296" min="11" max="11"/>
    <col width="34.7109375" customWidth="1" style="296" min="12" max="12"/>
    <col width="22.140625" customWidth="1" style="81" min="13" max="13"/>
    <col width="13.28515625" customWidth="1" style="81" min="14" max="14"/>
    <col collapsed="1" width="18.140625" customWidth="1" style="83" min="15" max="15"/>
    <col width="9.140625" customWidth="1" style="81" min="16" max="18"/>
    <col width="9.140625" customWidth="1" style="83" min="19" max="19"/>
    <col collapsed="1" width="9.85546875" customWidth="1" style="297" min="20" max="20"/>
    <col width="9.140625" customWidth="1" style="297" min="21" max="21"/>
    <col collapsed="1" width="16.28515625" customWidth="1" style="298" min="22" max="22"/>
    <col width="9.140625" customWidth="1" style="83" min="23" max="25"/>
    <col width="9.140625" customWidth="1" style="299" min="26" max="26"/>
    <col width="9.140625" customWidth="1" style="297" min="27" max="27"/>
    <col width="9.140625" customWidth="1" style="81" min="28" max="30"/>
    <col width="11.7109375" customWidth="1" style="81" min="31" max="31"/>
    <col width="9.140625" customWidth="1" style="300" min="32" max="32"/>
    <col width="9.140625" customWidth="1" style="297" min="33" max="33"/>
    <col width="17.5703125" customWidth="1" style="300" min="34" max="35"/>
    <col width="9.140625" customWidth="1" style="297" min="36" max="36"/>
    <col width="9.140625" customWidth="1" style="81" min="37" max="37"/>
    <col width="13" customWidth="1" style="301" min="38" max="38"/>
    <col width="9.140625" customWidth="1" style="301" min="39" max="39"/>
    <col width="16.140625" bestFit="1" customWidth="1" style="301" min="40" max="40"/>
    <col width="9.140625" customWidth="1" style="301" min="41" max="41"/>
    <col width="9.140625" customWidth="1" style="83" min="42" max="42"/>
    <col width="9.140625" customWidth="1" style="302" min="43" max="44"/>
    <col width="9.140625" customWidth="1" style="301" min="45" max="45"/>
    <col width="9.140625" customWidth="1" style="81" min="46" max="16384"/>
  </cols>
  <sheetData>
    <row r="1" ht="60" customFormat="1" customHeight="1" s="290">
      <c r="A1" s="89" t="inlineStr">
        <is>
          <t>REGIÃO</t>
        </is>
      </c>
      <c r="B1" s="89" t="inlineStr">
        <is>
          <t>UF</t>
        </is>
      </c>
      <c r="C1" s="89" t="inlineStr">
        <is>
          <t>MUNICIPIO</t>
        </is>
      </c>
      <c r="D1" s="89" t="inlineStr">
        <is>
          <t>PROPONENTE / ENTIDADE</t>
        </is>
      </c>
      <c r="E1" s="303" t="inlineStr">
        <is>
          <t>CNPJ</t>
        </is>
      </c>
      <c r="F1" s="89" t="inlineStr">
        <is>
          <t>UNIDADE ASSISTIDA</t>
        </is>
      </c>
      <c r="G1" s="303" t="inlineStr">
        <is>
          <t>CNES</t>
        </is>
      </c>
      <c r="H1" s="89" t="inlineStr">
        <is>
          <t>MODALIDADE - SITE</t>
        </is>
      </c>
      <c r="I1" s="89" t="inlineStr">
        <is>
          <t>TIPO EXECUTOR</t>
        </is>
      </c>
      <c r="J1" s="89" t="inlineStr">
        <is>
          <t>ANO DO INSTRUMENTO</t>
        </is>
      </c>
      <c r="K1" s="303" t="inlineStr">
        <is>
          <t>N° PROPOSTA SISPRO</t>
        </is>
      </c>
      <c r="L1" s="303" t="inlineStr">
        <is>
          <t>NUP SEI</t>
        </is>
      </c>
      <c r="M1" s="89" t="inlineStr">
        <is>
          <t xml:space="preserve">COMPONENTE </t>
        </is>
      </c>
      <c r="N1" s="89" t="inlineStr">
        <is>
          <t>FINALIDADE</t>
        </is>
      </c>
      <c r="O1" s="89" t="inlineStr">
        <is>
          <t>TIPO DE EQUIPAMENTO</t>
        </is>
      </c>
      <c r="P1" s="89" t="inlineStr">
        <is>
          <t>META FÍSICA INSTRUMENTO</t>
        </is>
      </c>
      <c r="Q1" s="89" t="inlineStr">
        <is>
          <t>META FÍSICA EQUIPAMENTO</t>
        </is>
      </c>
      <c r="R1" s="89" t="inlineStr">
        <is>
          <t>UNIDADE DE MEDIDA</t>
        </is>
      </c>
      <c r="S1" s="89" t="inlineStr">
        <is>
          <t>ID MODELO NO TRANSFEREGOV</t>
        </is>
      </c>
      <c r="T1" s="305" t="inlineStr">
        <is>
          <t>DATA DE ASSINATURA DO INSTRUMENTO (SISPRO /TRANSFEREGOV)</t>
        </is>
      </c>
      <c r="U1" s="305" t="inlineStr">
        <is>
          <t>TÉRMINO DA VIGÊNCIA DO INSTRUMENTO (SISPRO /TRANSFEREGOV)</t>
        </is>
      </c>
      <c r="V1" s="304" t="inlineStr">
        <is>
          <t>VALOR TOTAL DE INVESTIMENTO (VALOR GLOBAL)</t>
        </is>
      </c>
      <c r="W1" s="304" t="inlineStr">
        <is>
          <t>SITUAÇÃO</t>
        </is>
      </c>
      <c r="X1" s="304" t="inlineStr">
        <is>
          <t>FASE</t>
        </is>
      </c>
      <c r="Y1" s="307" t="inlineStr">
        <is>
          <t>SITUAÇÃO - SITE</t>
        </is>
      </c>
      <c r="Z1" s="308" t="inlineStr">
        <is>
          <t>EXECUÇÃO FÍSICA (%)</t>
        </is>
      </c>
      <c r="AA1" s="306" t="inlineStr">
        <is>
          <t>PREVISÃO CONCLUSÃO DO EMPREENDIMENTO</t>
        </is>
      </c>
      <c r="AB1" s="304" t="inlineStr">
        <is>
          <t>TÉCNICO RESPONSÁVEL - TITULAR</t>
        </is>
      </c>
      <c r="AC1" s="304" t="inlineStr">
        <is>
          <t>TÉCNICO RESPONSÁVEL - SUPLENTE</t>
        </is>
      </c>
      <c r="AD1" s="304" t="inlineStr">
        <is>
          <t>STATUS DO MONITORAMENTO</t>
        </is>
      </c>
      <c r="AE1" s="309" t="n"/>
      <c r="AF1" s="89" t="inlineStr">
        <is>
          <t>OBSERVAÇÃO</t>
        </is>
      </c>
      <c r="AG1" s="306" t="inlineStr">
        <is>
          <t>DATA REPASSE FNS/INSTITUIÇÃO</t>
        </is>
      </c>
      <c r="AH1" s="310" t="inlineStr">
        <is>
          <t>TIPO DE RECURSO</t>
        </is>
      </c>
      <c r="AI1" s="310" t="inlineStr">
        <is>
          <t>PAC OU NÃO PAC</t>
        </is>
      </c>
      <c r="AJ1" s="311" t="inlineStr">
        <is>
          <t>DATA LICENÇA DE OPERAÇÃO</t>
        </is>
      </c>
      <c r="AK1" s="312" t="inlineStr">
        <is>
          <t>INVOICE</t>
        </is>
      </c>
      <c r="AL1" s="313" t="inlineStr">
        <is>
          <t>ÚLTIMA AÇÃO MONITORAMENTO</t>
        </is>
      </c>
      <c r="AM1" s="314" t="inlineStr">
        <is>
          <t>FASE CGPCAN / MONIT</t>
        </is>
      </c>
      <c r="AN1" s="155" t="inlineStr">
        <is>
          <t>DATA DA ÚLTIMA REUNIÃO</t>
        </is>
      </c>
      <c r="AO1" s="156" t="inlineStr">
        <is>
          <t xml:space="preserve">PRÓXIMA REUNIÃO </t>
        </is>
      </c>
      <c r="AP1" s="315" t="inlineStr">
        <is>
          <t>TRELLO - SAGA</t>
        </is>
      </c>
      <c r="AQ1" s="315" t="inlineStr">
        <is>
          <t xml:space="preserve"> SAGA - PARECER (COMENTÁRIO SOBRE A EXECUÇÃO</t>
        </is>
      </c>
      <c r="AR1" s="315" t="inlineStr">
        <is>
          <t>SAGA - PONTO CRÍTICO (EVENTUAIS PONTOS QUE IMPEDEM A BOA EXECUÇÃO)</t>
        </is>
      </c>
      <c r="AS1" s="315" t="inlineStr">
        <is>
          <t xml:space="preserve">SAGA - AÇÃO: </t>
        </is>
      </c>
    </row>
    <row r="2" ht="60" customHeight="1">
      <c r="A2" s="71" t="inlineStr">
        <is>
          <t>NORDESTE</t>
        </is>
      </c>
      <c r="B2" s="71" t="inlineStr">
        <is>
          <t>BA</t>
        </is>
      </c>
      <c r="C2" s="47" t="inlineStr">
        <is>
          <t>Cruz das Almas</t>
        </is>
      </c>
      <c r="D2" s="32" t="inlineStr">
        <is>
          <t>LIGA BAHIANA CONTRA O CANCER</t>
        </is>
      </c>
      <c r="E2" s="45" t="inlineStr">
        <is>
          <t>15180961000100</t>
        </is>
      </c>
      <c r="F2" s="32" t="inlineStr">
        <is>
          <t>HOSPITAL ARISTIDES MALTEZ</t>
        </is>
      </c>
      <c r="G2" s="45" t="inlineStr">
        <is>
          <t>0003786</t>
        </is>
      </c>
      <c r="H2" s="98" t="inlineStr">
        <is>
          <t>Radioterapia - Expansão da Radioterapia no SUS</t>
        </is>
      </c>
      <c r="I2" s="45" t="inlineStr">
        <is>
          <t>Indireta</t>
        </is>
      </c>
      <c r="J2" s="45" t="inlineStr">
        <is>
          <t>2023</t>
        </is>
      </c>
      <c r="K2" s="45" t="inlineStr">
        <is>
          <t>91518023004</t>
        </is>
      </c>
      <c r="L2" s="45" t="inlineStr">
        <is>
          <t>25000.151188/2023-89</t>
        </is>
      </c>
      <c r="M2" s="32" t="inlineStr">
        <is>
          <t>RADIOTERAPIA</t>
        </is>
      </c>
      <c r="N2" s="71" t="inlineStr">
        <is>
          <t>Substituição</t>
        </is>
      </c>
      <c r="O2" s="116" t="inlineStr">
        <is>
          <t>Vários</t>
        </is>
      </c>
      <c r="P2" s="71" t="n">
        <v>1</v>
      </c>
      <c r="Q2" s="71" t="n">
        <v>1</v>
      </c>
      <c r="R2" s="71" t="inlineStr">
        <is>
          <t>UND</t>
        </is>
      </c>
      <c r="S2" s="72" t="inlineStr">
        <is>
          <t>011807-Acelerador Linear (Recursos Avançados com IGRT 3D)</t>
        </is>
      </c>
      <c r="T2" s="316" t="n">
        <v>45266</v>
      </c>
      <c r="U2" s="317" t="n">
        <v>46382</v>
      </c>
      <c r="V2" s="42" t="n">
        <v>10995051.5</v>
      </c>
      <c r="W2" s="42" t="inlineStr">
        <is>
          <t>Em execução</t>
        </is>
      </c>
      <c r="X2" s="319" t="inlineStr">
        <is>
          <t>Em andamento</t>
        </is>
      </c>
      <c r="Y2" s="320">
        <f>IF(W2="Em execução","Em execução",
IF(W2="Em licitação","Em licitação / Leilão",
IF(W2="Concluído","Concluído",)))</f>
        <v/>
      </c>
      <c r="Z2" s="69" t="n">
        <v>0.8</v>
      </c>
      <c r="AA2" s="318" t="n">
        <v>46382</v>
      </c>
      <c r="AB2" s="321" t="inlineStr">
        <is>
          <t>LAYANE</t>
        </is>
      </c>
      <c r="AC2" s="321" t="inlineStr">
        <is>
          <t>BRUNA</t>
        </is>
      </c>
      <c r="AD2" s="321" t="inlineStr">
        <is>
          <t>Em monitoramento</t>
        </is>
      </c>
      <c r="AE2" s="322" t="n"/>
      <c r="AF2" s="42" t="inlineStr">
        <is>
          <t>NI</t>
        </is>
      </c>
      <c r="AG2" s="316" t="n">
        <v>45754</v>
      </c>
      <c r="AH2" s="323" t="inlineStr">
        <is>
          <t>PROGRAMA</t>
        </is>
      </c>
      <c r="AI2" s="323" t="inlineStr">
        <is>
          <t>PAC</t>
        </is>
      </c>
      <c r="AJ2" s="173" t="inlineStr">
        <is>
          <t>NA</t>
        </is>
      </c>
      <c r="AK2" s="42" t="inlineStr">
        <is>
          <t>SIM</t>
        </is>
      </c>
      <c r="AL2" s="94" t="inlineStr">
        <is>
          <t>Reunião agendada para dia 23/10 às 15h, mas não entrou ninguém. Remarcar reunião ou solicitar nossa atualização através de parecer técnico.</t>
        </is>
      </c>
      <c r="AM2" s="42" t="inlineStr">
        <is>
          <t xml:space="preserve">Ref. iniciada / Equip. em fab. </t>
        </is>
      </c>
      <c r="AN2" s="42" t="n"/>
      <c r="AO2" s="42" t="n"/>
      <c r="AP2" s="120" t="inlineStr">
        <is>
          <t>13.2.1.1</t>
        </is>
      </c>
      <c r="AQ2" s="185" t="inlineStr">
        <is>
          <t>A reforma da casamata encontra-se em andamento, o equipamento obsoleto já foi descomissionado e o invoice emitido para empresa. O novo equipamento tem previsão de chegada em 17/01/26. Previsão de inauguração em abril/26.</t>
        </is>
      </c>
      <c r="AR2" s="324" t="inlineStr">
        <is>
          <t>Sem ponto crítico.</t>
        </is>
      </c>
      <c r="AS2" s="325" t="inlineStr">
        <is>
          <t>Manter o monitoramento com atenção aos prazos informados.</t>
        </is>
      </c>
    </row>
    <row r="3" ht="60" customHeight="1">
      <c r="A3" s="116" t="inlineStr">
        <is>
          <t>CENTRO-OESTE</t>
        </is>
      </c>
      <c r="B3" s="116" t="inlineStr">
        <is>
          <t>DF</t>
        </is>
      </c>
      <c r="C3" s="116" t="inlineStr">
        <is>
          <t>BRASILIA</t>
        </is>
      </c>
      <c r="D3" s="116" t="inlineStr">
        <is>
          <t>INSTITUTO HOSPITAL DE BASE DO DISTRITO FEDERAL -IHBDF</t>
        </is>
      </c>
      <c r="E3" s="117" t="inlineStr">
        <is>
          <t>28481233000172</t>
        </is>
      </c>
      <c r="F3" s="149" t="inlineStr">
        <is>
          <t>HOSPITAL DE BASE DO DISTRITO FEDERAL</t>
        </is>
      </c>
      <c r="G3" s="150" t="n">
        <v>10456</v>
      </c>
      <c r="H3" s="116" t="inlineStr">
        <is>
          <t>Tratamento</t>
        </is>
      </c>
      <c r="I3" s="116" t="inlineStr">
        <is>
          <t>Indireta</t>
        </is>
      </c>
      <c r="J3" s="116" t="n">
        <v>2024</v>
      </c>
      <c r="K3" s="117" t="inlineStr">
        <is>
          <t>92848124017</t>
        </is>
      </c>
      <c r="L3" s="117" t="inlineStr">
        <is>
          <t>25000.164424/2024-16</t>
        </is>
      </c>
      <c r="M3" s="116" t="inlineStr">
        <is>
          <t>REDE DE ATENÇÃO À PESSOA COM DOENÇAS CRÔNICAS - HOSPITAL HABILITADO NA ALTA COMPLEXIDADE EM ONCOLOGIA</t>
        </is>
      </c>
      <c r="N3" s="116" t="inlineStr">
        <is>
          <t xml:space="preserve"> Ampliação</t>
        </is>
      </c>
      <c r="O3" s="116" t="inlineStr">
        <is>
          <t>Braquiterapia com Sistema de Controle Remoto</t>
        </is>
      </c>
      <c r="P3" s="116" t="n">
        <v>1</v>
      </c>
      <c r="Q3" s="116" t="n">
        <v>1</v>
      </c>
      <c r="R3" s="116" t="inlineStr">
        <is>
          <t>UND</t>
        </is>
      </c>
      <c r="S3" s="116" t="inlineStr">
        <is>
          <t>10547 - Braquiterapia com Sistema de Controle Remoto</t>
        </is>
      </c>
      <c r="T3" s="328" t="n">
        <v>45643</v>
      </c>
      <c r="U3" s="328" t="inlineStr">
        <is>
          <t xml:space="preserve"> 10/06/2026</t>
        </is>
      </c>
      <c r="V3" s="327" t="n">
        <v>2100000</v>
      </c>
      <c r="W3" s="289" t="inlineStr">
        <is>
          <t>NI</t>
        </is>
      </c>
      <c r="X3" s="213" t="inlineStr">
        <is>
          <t>NI</t>
        </is>
      </c>
      <c r="Y3" s="213" t="inlineStr">
        <is>
          <t>NI</t>
        </is>
      </c>
      <c r="Z3" s="213" t="inlineStr">
        <is>
          <t>NI</t>
        </is>
      </c>
      <c r="AA3" s="328" t="inlineStr">
        <is>
          <t xml:space="preserve"> 10/06/2026</t>
        </is>
      </c>
      <c r="AB3" s="116" t="inlineStr">
        <is>
          <t>NI</t>
        </is>
      </c>
      <c r="AC3" s="116" t="inlineStr">
        <is>
          <t>NI</t>
        </is>
      </c>
      <c r="AD3" s="116" t="inlineStr">
        <is>
          <t>Não iniciado</t>
        </is>
      </c>
      <c r="AE3" s="322" t="n"/>
      <c r="AF3" s="116" t="inlineStr">
        <is>
          <t>NI</t>
        </is>
      </c>
      <c r="AG3" s="329" t="inlineStr">
        <is>
          <t xml:space="preserve"> NA</t>
        </is>
      </c>
      <c r="AH3" s="133" t="n"/>
      <c r="AI3" s="133" t="n"/>
      <c r="AJ3" s="133" t="n"/>
      <c r="AK3" s="133" t="n"/>
      <c r="AL3" s="133" t="n"/>
      <c r="AM3" s="133" t="n"/>
      <c r="AN3" s="133" t="n"/>
      <c r="AO3" s="133" t="n"/>
      <c r="AP3" s="133" t="n"/>
      <c r="AQ3" s="133" t="n"/>
      <c r="AR3" s="133" t="n"/>
      <c r="AS3" s="133" t="n"/>
    </row>
    <row r="4" ht="60" customHeight="1">
      <c r="A4" s="116" t="inlineStr">
        <is>
          <t>CENTRO-OESTE</t>
        </is>
      </c>
      <c r="B4" s="116" t="inlineStr">
        <is>
          <t>MT</t>
        </is>
      </c>
      <c r="C4" s="116" t="inlineStr">
        <is>
          <t>CUIABA</t>
        </is>
      </c>
      <c r="D4" s="116" t="inlineStr">
        <is>
          <t>ASSOCIACAO MATOGROSSENSE DE COMBATE AO CANCER</t>
        </is>
      </c>
      <c r="E4" s="117" t="inlineStr">
        <is>
          <t>24672792000109</t>
        </is>
      </c>
      <c r="F4" s="149" t="inlineStr">
        <is>
          <t>HOSPITAL DE CANCER DE MATO GROSSO</t>
        </is>
      </c>
      <c r="G4" s="150" t="n">
        <v>2534444</v>
      </c>
      <c r="H4" s="116" t="inlineStr">
        <is>
          <t>Tratamento e apoio</t>
        </is>
      </c>
      <c r="I4" s="116" t="inlineStr">
        <is>
          <t>Indireta</t>
        </is>
      </c>
      <c r="J4" s="116" t="n">
        <v>2024</v>
      </c>
      <c r="K4" s="117" t="inlineStr">
        <is>
          <t>92467224005</t>
        </is>
      </c>
      <c r="L4" s="117" t="inlineStr">
        <is>
          <t>25000.164419/2024-03</t>
        </is>
      </c>
      <c r="M4" s="116" t="inlineStr">
        <is>
          <t>REDE DE ATENÇÃO À PESSOA COM DOENÇAS CRÔNICAS - HOSPITAL HABILITADO NA ALTA COMPLEXIDADE EM ONCOLOGIA</t>
        </is>
      </c>
      <c r="N4" s="116" t="inlineStr">
        <is>
          <t xml:space="preserve"> Substituição</t>
        </is>
      </c>
      <c r="O4" s="116" t="inlineStr">
        <is>
          <t>Vários</t>
        </is>
      </c>
      <c r="P4" s="116" t="n">
        <v>114</v>
      </c>
      <c r="Q4" s="116" t="inlineStr">
        <is>
          <t>NA</t>
        </is>
      </c>
      <c r="R4" s="116" t="inlineStr">
        <is>
          <t>UND</t>
        </is>
      </c>
      <c r="S4" s="116" t="inlineStr">
        <is>
          <t>NA</t>
        </is>
      </c>
      <c r="T4" s="328" t="n">
        <v>45784</v>
      </c>
      <c r="U4" s="328" t="n">
        <v>46324</v>
      </c>
      <c r="V4" s="327" t="n">
        <v>4749928</v>
      </c>
      <c r="W4" s="289" t="inlineStr">
        <is>
          <t>NI</t>
        </is>
      </c>
      <c r="X4" s="213" t="inlineStr">
        <is>
          <t>NI</t>
        </is>
      </c>
      <c r="Y4" s="213" t="inlineStr">
        <is>
          <t>NI</t>
        </is>
      </c>
      <c r="Z4" s="213" t="inlineStr">
        <is>
          <t>NI</t>
        </is>
      </c>
      <c r="AA4" s="328" t="n">
        <v>46324</v>
      </c>
      <c r="AB4" s="116" t="inlineStr">
        <is>
          <t>NI</t>
        </is>
      </c>
      <c r="AC4" s="116" t="inlineStr">
        <is>
          <t>NI</t>
        </is>
      </c>
      <c r="AD4" s="116" t="inlineStr">
        <is>
          <t>Não iniciado</t>
        </is>
      </c>
      <c r="AE4" s="322" t="n"/>
      <c r="AF4" s="116" t="inlineStr">
        <is>
          <t>NI</t>
        </is>
      </c>
      <c r="AG4" s="329" t="inlineStr">
        <is>
          <t>NA</t>
        </is>
      </c>
      <c r="AH4" s="133" t="n"/>
      <c r="AI4" s="133" t="n"/>
      <c r="AJ4" s="133" t="n"/>
      <c r="AK4" s="133" t="n"/>
      <c r="AL4" s="133" t="n"/>
      <c r="AM4" s="133" t="n"/>
      <c r="AN4" s="133" t="n"/>
      <c r="AO4" s="133" t="n"/>
      <c r="AP4" s="133" t="n"/>
      <c r="AQ4" s="133" t="n"/>
      <c r="AR4" s="133" t="n"/>
      <c r="AS4" s="133" t="n"/>
    </row>
    <row r="5" ht="60" customHeight="1">
      <c r="A5" s="8" t="inlineStr">
        <is>
          <t>CENTRO-OESTE</t>
        </is>
      </c>
      <c r="B5" s="8" t="inlineStr">
        <is>
          <t>MT</t>
        </is>
      </c>
      <c r="C5" s="8" t="inlineStr">
        <is>
          <t>CUIABA</t>
        </is>
      </c>
      <c r="D5" s="8" t="inlineStr">
        <is>
          <t>ASSOCIACAO MATOGROSSENSE DE COMBATE AO CANCER</t>
        </is>
      </c>
      <c r="E5" s="7" t="inlineStr">
        <is>
          <t>24672792000109</t>
        </is>
      </c>
      <c r="F5" s="146" t="inlineStr">
        <is>
          <t>HOSPITAL DE CANCER DE MATO GROSSO</t>
        </is>
      </c>
      <c r="G5" s="148" t="n">
        <v>2534444</v>
      </c>
      <c r="H5" s="8" t="inlineStr">
        <is>
          <t>Tratamento</t>
        </is>
      </c>
      <c r="I5" s="8" t="inlineStr">
        <is>
          <t>Indireta</t>
        </is>
      </c>
      <c r="J5" s="8" t="n">
        <v>2024</v>
      </c>
      <c r="K5" s="7" t="inlineStr">
        <is>
          <t>92467224005</t>
        </is>
      </c>
      <c r="L5" s="7" t="inlineStr">
        <is>
          <t>25000.164419/2024-03</t>
        </is>
      </c>
      <c r="M5" s="8" t="inlineStr">
        <is>
          <t>REDE DE ATENÇÃO À PESSOA COM DOENÇAS CRÔNICAS - HOSPITAL HABILITADO NA ALTA COMPLEXIDADE EM ONCOLOGIA</t>
        </is>
      </c>
      <c r="N5" s="8" t="inlineStr">
        <is>
          <t xml:space="preserve"> Substituição</t>
        </is>
      </c>
      <c r="O5" s="8" t="inlineStr">
        <is>
          <t>Braquiterapia com Sistema de Controle Remoto</t>
        </is>
      </c>
      <c r="P5" s="8" t="inlineStr">
        <is>
          <t>NA</t>
        </is>
      </c>
      <c r="Q5" s="8" t="n">
        <v>1</v>
      </c>
      <c r="R5" s="8" t="inlineStr">
        <is>
          <t>UND</t>
        </is>
      </c>
      <c r="S5" s="8" t="inlineStr">
        <is>
          <t>10547 - Braquiterapia com Sistema de Controle Remoto</t>
        </is>
      </c>
      <c r="T5" s="171" t="n">
        <v>45784</v>
      </c>
      <c r="U5" s="171" t="n">
        <v>46324</v>
      </c>
      <c r="V5" s="12" t="inlineStr">
        <is>
          <t>NA</t>
        </is>
      </c>
      <c r="W5" s="186" t="inlineStr">
        <is>
          <t>NI</t>
        </is>
      </c>
      <c r="X5" s="190" t="inlineStr">
        <is>
          <t>NI</t>
        </is>
      </c>
      <c r="Y5" s="190" t="inlineStr">
        <is>
          <t>NI</t>
        </is>
      </c>
      <c r="Z5" s="190" t="inlineStr">
        <is>
          <t>NI</t>
        </is>
      </c>
      <c r="AA5" s="171" t="inlineStr">
        <is>
          <t>NA</t>
        </is>
      </c>
      <c r="AB5" s="171" t="inlineStr">
        <is>
          <t>NA</t>
        </is>
      </c>
      <c r="AC5" s="171" t="inlineStr">
        <is>
          <t>NA</t>
        </is>
      </c>
      <c r="AD5" s="171" t="inlineStr">
        <is>
          <t>NA</t>
        </is>
      </c>
      <c r="AE5" s="322" t="n"/>
      <c r="AF5" s="171" t="inlineStr">
        <is>
          <t>NA</t>
        </is>
      </c>
      <c r="AG5" s="171" t="inlineStr">
        <is>
          <t>NA</t>
        </is>
      </c>
      <c r="AH5" s="133" t="n"/>
      <c r="AI5" s="133" t="n"/>
      <c r="AJ5" s="133" t="n"/>
      <c r="AK5" s="133" t="n"/>
      <c r="AL5" s="133" t="n"/>
      <c r="AM5" s="133" t="n"/>
      <c r="AN5" s="133" t="n"/>
      <c r="AO5" s="133" t="n"/>
      <c r="AP5" s="133" t="n"/>
      <c r="AQ5" s="133" t="n"/>
      <c r="AR5" s="133" t="n"/>
      <c r="AS5" s="133" t="n"/>
    </row>
    <row r="6" ht="60" customHeight="1">
      <c r="A6" s="116" t="inlineStr">
        <is>
          <t>CENTRO-OESTE</t>
        </is>
      </c>
      <c r="B6" s="116" t="inlineStr">
        <is>
          <t>MS</t>
        </is>
      </c>
      <c r="C6" s="116" t="inlineStr">
        <is>
          <t>CAMPO GRANDE</t>
        </is>
      </c>
      <c r="D6" s="116" t="inlineStr">
        <is>
          <t>FUNDACAO CARMEM PRUDENTE DE MATO GROSSO DO SUL</t>
        </is>
      </c>
      <c r="E6" s="117" t="inlineStr">
        <is>
          <t>03221702000193</t>
        </is>
      </c>
      <c r="F6" s="149" t="inlineStr">
        <is>
          <t>HOSPITAL DO CANCER DR ALFREDO ABRAO</t>
        </is>
      </c>
      <c r="G6" s="150" t="n">
        <v>9776</v>
      </c>
      <c r="H6" s="116" t="inlineStr">
        <is>
          <t>Rastreamento e diagnóstico</t>
        </is>
      </c>
      <c r="I6" s="116" t="inlineStr">
        <is>
          <t>Indireta</t>
        </is>
      </c>
      <c r="J6" s="116" t="n">
        <v>2024</v>
      </c>
      <c r="K6" s="117" t="inlineStr">
        <is>
          <t>90322124003</t>
        </is>
      </c>
      <c r="L6" s="117" t="inlineStr">
        <is>
          <t>25000.065661/2024-97</t>
        </is>
      </c>
      <c r="M6" s="116" t="inlineStr">
        <is>
          <t>REDE DE ATENÇÃO À PESSOA COM DOENÇAS CRÔNICAS - HOSPITAL HABILITADO NA ALTA COMPLEXIDADE EM ONCOLOGIA</t>
        </is>
      </c>
      <c r="N6" s="116" t="inlineStr">
        <is>
          <t>Ampliação</t>
        </is>
      </c>
      <c r="O6" s="116" t="inlineStr">
        <is>
          <t>Vários</t>
        </is>
      </c>
      <c r="P6" s="116" t="n">
        <v>2</v>
      </c>
      <c r="Q6" s="116" t="inlineStr">
        <is>
          <t>NA</t>
        </is>
      </c>
      <c r="R6" s="116" t="inlineStr">
        <is>
          <t>UND</t>
        </is>
      </c>
      <c r="S6" s="116" t="inlineStr">
        <is>
          <t>NA</t>
        </is>
      </c>
      <c r="T6" s="328" t="n">
        <v>45653</v>
      </c>
      <c r="U6" s="328" t="inlineStr">
        <is>
          <t xml:space="preserve"> 08/01/2027</t>
        </is>
      </c>
      <c r="V6" s="327" t="n">
        <v>616998</v>
      </c>
      <c r="W6" s="289" t="inlineStr">
        <is>
          <t>NI</t>
        </is>
      </c>
      <c r="X6" s="213" t="inlineStr">
        <is>
          <t>NI</t>
        </is>
      </c>
      <c r="Y6" s="213" t="inlineStr">
        <is>
          <t>NI</t>
        </is>
      </c>
      <c r="Z6" s="213" t="inlineStr">
        <is>
          <t>NI</t>
        </is>
      </c>
      <c r="AA6" s="328" t="n">
        <v>46395</v>
      </c>
      <c r="AB6" s="116" t="inlineStr">
        <is>
          <t>NI</t>
        </is>
      </c>
      <c r="AC6" s="116" t="inlineStr">
        <is>
          <t>NI</t>
        </is>
      </c>
      <c r="AD6" s="116" t="inlineStr">
        <is>
          <t>Não iniciado</t>
        </is>
      </c>
      <c r="AE6" s="322" t="n"/>
      <c r="AF6" s="116" t="inlineStr">
        <is>
          <t>NI</t>
        </is>
      </c>
      <c r="AG6" s="329" t="n">
        <v>45855</v>
      </c>
      <c r="AH6" s="133" t="n"/>
      <c r="AI6" s="133" t="n"/>
      <c r="AJ6" s="133" t="n"/>
      <c r="AK6" s="133" t="n"/>
      <c r="AL6" s="133" t="n"/>
      <c r="AM6" s="133" t="n"/>
      <c r="AN6" s="133" t="n"/>
      <c r="AO6" s="133" t="n"/>
      <c r="AP6" s="133" t="n"/>
      <c r="AQ6" s="133" t="n"/>
      <c r="AR6" s="133" t="n"/>
      <c r="AS6" s="133" t="n"/>
    </row>
    <row r="7" ht="60" customHeight="1">
      <c r="A7" s="8" t="inlineStr">
        <is>
          <t>CENTRO-OESTE</t>
        </is>
      </c>
      <c r="B7" s="8" t="inlineStr">
        <is>
          <t>MS</t>
        </is>
      </c>
      <c r="C7" s="8" t="inlineStr">
        <is>
          <t>CAMPO GRANDE</t>
        </is>
      </c>
      <c r="D7" s="8" t="inlineStr">
        <is>
          <t>FUNDACAO CARMEM PRUDENTE DE MATO GROSSO DO SUL</t>
        </is>
      </c>
      <c r="E7" s="7" t="inlineStr">
        <is>
          <t>03221702000193</t>
        </is>
      </c>
      <c r="F7" s="146" t="inlineStr">
        <is>
          <t>HOSPITAL DO CANCER DR ALFREDO ABRAO</t>
        </is>
      </c>
      <c r="G7" s="148" t="n">
        <v>9776</v>
      </c>
      <c r="H7" s="8" t="inlineStr">
        <is>
          <t>Diagnóstico</t>
        </is>
      </c>
      <c r="I7" s="8" t="inlineStr">
        <is>
          <t>Indireta</t>
        </is>
      </c>
      <c r="J7" s="8" t="n">
        <v>2024</v>
      </c>
      <c r="K7" s="7" t="inlineStr">
        <is>
          <t>90322124003</t>
        </is>
      </c>
      <c r="L7" s="7" t="inlineStr">
        <is>
          <t>25000.065661/2024-97</t>
        </is>
      </c>
      <c r="M7" s="8" t="inlineStr">
        <is>
          <t>REDE DE ATENÇÃO À PESSOA COM DOENÇAS CRÔNICAS - HOSPITAL HABILITADO NA ALTA COMPLEXIDADE EM ONCOLOGIA</t>
        </is>
      </c>
      <c r="N7" s="8" t="inlineStr">
        <is>
          <t xml:space="preserve"> Ampliação</t>
        </is>
      </c>
      <c r="O7" s="8" t="inlineStr">
        <is>
          <t>Ultrassom Diagnóstico sem Aplicação Transesofágica</t>
        </is>
      </c>
      <c r="P7" s="8" t="inlineStr">
        <is>
          <t>NA</t>
        </is>
      </c>
      <c r="Q7" s="8" t="n">
        <v>1</v>
      </c>
      <c r="R7" s="8" t="inlineStr">
        <is>
          <t>UND</t>
        </is>
      </c>
      <c r="S7" s="8" t="inlineStr">
        <is>
          <t>11422 - Ultrassom Diagnóstico sem Aplicação Transesofágica</t>
        </is>
      </c>
      <c r="T7" s="171" t="n">
        <v>45653</v>
      </c>
      <c r="U7" s="171" t="n">
        <v>46395</v>
      </c>
      <c r="V7" s="12" t="inlineStr">
        <is>
          <t>NA</t>
        </is>
      </c>
      <c r="W7" s="186" t="inlineStr">
        <is>
          <t>NI</t>
        </is>
      </c>
      <c r="X7" s="190" t="inlineStr">
        <is>
          <t>NI</t>
        </is>
      </c>
      <c r="Y7" s="190" t="inlineStr">
        <is>
          <t>NI</t>
        </is>
      </c>
      <c r="Z7" s="190" t="inlineStr">
        <is>
          <t>NI</t>
        </is>
      </c>
      <c r="AA7" s="171" t="inlineStr">
        <is>
          <t>NA</t>
        </is>
      </c>
      <c r="AB7" s="171" t="inlineStr">
        <is>
          <t>NA</t>
        </is>
      </c>
      <c r="AC7" s="171" t="inlineStr">
        <is>
          <t>NA</t>
        </is>
      </c>
      <c r="AD7" s="171" t="inlineStr">
        <is>
          <t>NA</t>
        </is>
      </c>
      <c r="AE7" s="322" t="n"/>
      <c r="AF7" s="171" t="inlineStr">
        <is>
          <t>NA</t>
        </is>
      </c>
      <c r="AG7" s="161" t="inlineStr">
        <is>
          <t xml:space="preserve"> NA</t>
        </is>
      </c>
      <c r="AH7" s="133" t="n"/>
      <c r="AI7" s="133" t="n"/>
      <c r="AJ7" s="133" t="n"/>
      <c r="AK7" s="133" t="n"/>
      <c r="AL7" s="133" t="n"/>
      <c r="AM7" s="133" t="n"/>
      <c r="AN7" s="133" t="n"/>
      <c r="AO7" s="133" t="n"/>
      <c r="AP7" s="133" t="n"/>
      <c r="AQ7" s="133" t="n"/>
      <c r="AR7" s="133" t="n"/>
      <c r="AS7" s="133" t="n"/>
    </row>
    <row r="8" ht="60" customHeight="1">
      <c r="A8" s="8" t="inlineStr">
        <is>
          <t>CENTRO-OESTE</t>
        </is>
      </c>
      <c r="B8" s="8" t="inlineStr">
        <is>
          <t>MS</t>
        </is>
      </c>
      <c r="C8" s="8" t="inlineStr">
        <is>
          <t>CAMPO GRANDE</t>
        </is>
      </c>
      <c r="D8" s="8" t="inlineStr">
        <is>
          <t>FUNDACAO CARMEM PRUDENTE DE MATO GROSSO DO SUL</t>
        </is>
      </c>
      <c r="E8" s="7" t="inlineStr">
        <is>
          <t>03221702000193</t>
        </is>
      </c>
      <c r="F8" s="146" t="inlineStr">
        <is>
          <t>HOSPITAL DO CANCER DR ALFREDO ABRAO</t>
        </is>
      </c>
      <c r="G8" s="148" t="n">
        <v>9776</v>
      </c>
      <c r="H8" s="8" t="inlineStr">
        <is>
          <t>Rastreamento</t>
        </is>
      </c>
      <c r="I8" s="8" t="inlineStr">
        <is>
          <t>Indireta</t>
        </is>
      </c>
      <c r="J8" s="8" t="n">
        <v>2024</v>
      </c>
      <c r="K8" s="7" t="inlineStr">
        <is>
          <t>90322124003</t>
        </is>
      </c>
      <c r="L8" s="7" t="inlineStr">
        <is>
          <t>25000.065661/2024-97</t>
        </is>
      </c>
      <c r="M8" s="8" t="inlineStr">
        <is>
          <t>REDE DE ATENÇÃO À PESSOA COM DOENÇAS CRÔNICAS - HOSPITAL HABILITADO NA ALTA COMPLEXIDADE EM ONCOLOGIA</t>
        </is>
      </c>
      <c r="N8" s="8" t="inlineStr">
        <is>
          <t xml:space="preserve"> Ampliação</t>
        </is>
      </c>
      <c r="O8" s="8" t="inlineStr">
        <is>
          <t>Sistema de Vídeo Endoscopia Rígida</t>
        </is>
      </c>
      <c r="P8" s="8" t="inlineStr">
        <is>
          <t>NA</t>
        </is>
      </c>
      <c r="Q8" s="8" t="n">
        <v>1</v>
      </c>
      <c r="R8" s="8" t="inlineStr">
        <is>
          <t>UND</t>
        </is>
      </c>
      <c r="S8" s="8" t="inlineStr">
        <is>
          <t>10254 - Sistema de Vídeo Endoscopia Rígida</t>
        </is>
      </c>
      <c r="T8" s="171" t="n">
        <v>45653</v>
      </c>
      <c r="U8" s="171" t="n">
        <v>46395</v>
      </c>
      <c r="V8" s="12" t="inlineStr">
        <is>
          <t>NA</t>
        </is>
      </c>
      <c r="W8" s="186" t="inlineStr">
        <is>
          <t>NI</t>
        </is>
      </c>
      <c r="X8" s="190" t="inlineStr">
        <is>
          <t>NI</t>
        </is>
      </c>
      <c r="Y8" s="190" t="inlineStr">
        <is>
          <t>NI</t>
        </is>
      </c>
      <c r="Z8" s="190" t="inlineStr">
        <is>
          <t>NI</t>
        </is>
      </c>
      <c r="AA8" s="171" t="inlineStr">
        <is>
          <t>NA</t>
        </is>
      </c>
      <c r="AB8" s="171" t="inlineStr">
        <is>
          <t>NA</t>
        </is>
      </c>
      <c r="AC8" s="171" t="inlineStr">
        <is>
          <t>NA</t>
        </is>
      </c>
      <c r="AD8" s="171" t="inlineStr">
        <is>
          <t>NA</t>
        </is>
      </c>
      <c r="AE8" s="322" t="n"/>
      <c r="AF8" s="171" t="inlineStr">
        <is>
          <t>NA</t>
        </is>
      </c>
      <c r="AG8" s="161" t="inlineStr">
        <is>
          <t xml:space="preserve"> NA</t>
        </is>
      </c>
      <c r="AH8" s="133" t="n"/>
      <c r="AI8" s="133" t="n"/>
      <c r="AJ8" s="133" t="n"/>
      <c r="AK8" s="133" t="n"/>
      <c r="AL8" s="133" t="n"/>
      <c r="AM8" s="133" t="n"/>
      <c r="AN8" s="133" t="n"/>
      <c r="AO8" s="133" t="n"/>
      <c r="AP8" s="133" t="n"/>
      <c r="AQ8" s="133" t="n"/>
      <c r="AR8" s="133" t="n"/>
      <c r="AS8" s="133" t="n"/>
    </row>
    <row r="9" ht="60" customHeight="1">
      <c r="A9" s="278" t="inlineStr">
        <is>
          <t>NORDESTE</t>
        </is>
      </c>
      <c r="B9" s="330" t="inlineStr">
        <is>
          <t>PE</t>
        </is>
      </c>
      <c r="C9" s="331" t="inlineStr">
        <is>
          <t>RECIFE</t>
        </is>
      </c>
      <c r="D9" s="278" t="inlineStr">
        <is>
          <t>INSTITUTO DE MEDICINA INTEGRAL PROF FERNANDO FIGUEIRA</t>
        </is>
      </c>
      <c r="E9" s="279" t="inlineStr">
        <is>
          <t>10988301000129</t>
        </is>
      </c>
      <c r="F9" s="331" t="inlineStr">
        <is>
          <t>INSTITUTO DE MEDICINA INTEGRAL PROF FERNANDO FIGUEIRA</t>
        </is>
      </c>
      <c r="G9" s="336" t="inlineStr">
        <is>
          <t>0000434</t>
        </is>
      </c>
      <c r="H9" s="280" t="inlineStr">
        <is>
          <t>Diagnóstico</t>
        </is>
      </c>
      <c r="I9" s="280" t="inlineStr">
        <is>
          <t>Indireta</t>
        </is>
      </c>
      <c r="J9" s="330" t="n">
        <v>2023</v>
      </c>
      <c r="K9" s="330" t="n">
        <v>91098823010</v>
      </c>
      <c r="L9" s="280" t="inlineStr">
        <is>
          <t>25000.085444/2023-32</t>
        </is>
      </c>
      <c r="M9" s="278" t="inlineStr">
        <is>
          <t>CENTRO DE ALTA COMPLEXIDADE EM ONCOLOGIA</t>
        </is>
      </c>
      <c r="N9" s="280" t="inlineStr">
        <is>
          <t>Substituição</t>
        </is>
      </c>
      <c r="O9" s="331" t="inlineStr">
        <is>
          <t>PET CT</t>
        </is>
      </c>
      <c r="P9" s="280" t="n">
        <v>1</v>
      </c>
      <c r="Q9" s="280" t="n">
        <v>1</v>
      </c>
      <c r="R9" s="333" t="inlineStr">
        <is>
          <t xml:space="preserve"> UND</t>
        </is>
      </c>
      <c r="S9" s="278" t="inlineStr">
        <is>
          <t>000301-PET CT</t>
        </is>
      </c>
      <c r="T9" s="281" t="n">
        <v>45243</v>
      </c>
      <c r="U9" s="281" t="n">
        <v>46311</v>
      </c>
      <c r="V9" s="282" t="n">
        <v>6400000</v>
      </c>
      <c r="W9" s="278" t="inlineStr">
        <is>
          <t>NI</t>
        </is>
      </c>
      <c r="X9" s="280" t="inlineStr">
        <is>
          <t>NI</t>
        </is>
      </c>
      <c r="Y9" s="280" t="inlineStr">
        <is>
          <t>NI</t>
        </is>
      </c>
      <c r="Z9" s="280" t="inlineStr">
        <is>
          <t>NI</t>
        </is>
      </c>
      <c r="AA9" s="281" t="n">
        <v>45608</v>
      </c>
      <c r="AB9" s="280" t="n"/>
      <c r="AC9" s="280" t="n"/>
      <c r="AD9" s="278" t="n"/>
      <c r="AE9" s="322" t="n"/>
      <c r="AF9" s="280" t="n"/>
      <c r="AG9" s="281" t="n">
        <v>45406</v>
      </c>
      <c r="AH9" s="283" t="n"/>
      <c r="AI9" s="283" t="n"/>
      <c r="AJ9" s="283" t="n"/>
      <c r="AK9" s="283" t="n"/>
      <c r="AL9" s="283" t="n"/>
      <c r="AM9" s="283" t="n"/>
      <c r="AN9" s="283" t="n"/>
      <c r="AO9" s="283" t="n"/>
      <c r="AP9" s="283" t="n"/>
      <c r="AQ9" s="283" t="n"/>
      <c r="AR9" s="283" t="n"/>
      <c r="AS9" s="283" t="n"/>
    </row>
    <row r="10" ht="60" customHeight="1">
      <c r="A10" s="278" t="inlineStr">
        <is>
          <t>CENTRO-OESTE</t>
        </is>
      </c>
      <c r="B10" s="330" t="inlineStr">
        <is>
          <t>DF</t>
        </is>
      </c>
      <c r="C10" s="331" t="inlineStr">
        <is>
          <t>BRASILIA</t>
        </is>
      </c>
      <c r="D10" s="278" t="inlineStr">
        <is>
          <t>HOSPITAL DE BASE DO DISTRITO FEDERAL</t>
        </is>
      </c>
      <c r="E10" s="279" t="inlineStr">
        <is>
          <t>28481233000172</t>
        </is>
      </c>
      <c r="F10" s="331" t="inlineStr">
        <is>
          <t>HOSPITAL DE BASE DO DISTRITO FEDERAL</t>
        </is>
      </c>
      <c r="G10" s="332" t="inlineStr">
        <is>
          <t>0010456</t>
        </is>
      </c>
      <c r="H10" s="280" t="inlineStr">
        <is>
          <t>Diagnóstico</t>
        </is>
      </c>
      <c r="I10" s="280" t="inlineStr">
        <is>
          <t>Indireta</t>
        </is>
      </c>
      <c r="J10" s="330" t="n">
        <v>2023</v>
      </c>
      <c r="K10" s="330" t="n">
        <v>92848123010</v>
      </c>
      <c r="L10" s="284" t="inlineStr">
        <is>
          <t>25000.085704/2023-70</t>
        </is>
      </c>
      <c r="M10" s="285" t="inlineStr">
        <is>
          <t>HOSPITAL DE ALTA COMPLEXIDADE</t>
        </is>
      </c>
      <c r="N10" s="280" t="inlineStr">
        <is>
          <t>Substituição</t>
        </is>
      </c>
      <c r="O10" s="331" t="inlineStr">
        <is>
          <t>Câmara Cintilográfica (Gama Câmara)</t>
        </is>
      </c>
      <c r="P10" s="280" t="n">
        <v>1</v>
      </c>
      <c r="Q10" s="280" t="n">
        <v>1</v>
      </c>
      <c r="R10" s="333" t="inlineStr">
        <is>
          <t xml:space="preserve"> UND</t>
        </is>
      </c>
      <c r="S10" s="278" t="inlineStr">
        <is>
          <t xml:space="preserve"> 	000595-Câmara Cintilográfica (Gama Câmara)</t>
        </is>
      </c>
      <c r="T10" s="281" t="n">
        <v>45240</v>
      </c>
      <c r="U10" s="281" t="n">
        <v>46280</v>
      </c>
      <c r="V10" s="282" t="n">
        <v>2300000</v>
      </c>
      <c r="W10" s="278" t="inlineStr">
        <is>
          <t>NI</t>
        </is>
      </c>
      <c r="X10" s="280" t="inlineStr">
        <is>
          <t>NI</t>
        </is>
      </c>
      <c r="Y10" s="280" t="inlineStr">
        <is>
          <t>NI</t>
        </is>
      </c>
      <c r="Z10" s="280" t="inlineStr">
        <is>
          <t>NI</t>
        </is>
      </c>
      <c r="AA10" s="281" t="n">
        <v>46280</v>
      </c>
      <c r="AB10" s="280" t="n"/>
      <c r="AC10" s="280" t="n"/>
      <c r="AD10" s="278" t="n"/>
      <c r="AE10" s="322" t="n"/>
      <c r="AF10" s="280" t="n"/>
      <c r="AG10" s="281" t="n">
        <v>46006</v>
      </c>
      <c r="AH10" s="283" t="n"/>
      <c r="AI10" s="283" t="n"/>
      <c r="AJ10" s="283" t="n"/>
      <c r="AK10" s="283" t="n"/>
      <c r="AL10" s="283" t="n"/>
      <c r="AM10" s="283" t="n"/>
      <c r="AN10" s="283" t="n"/>
      <c r="AO10" s="283" t="n"/>
      <c r="AP10" s="283" t="n"/>
      <c r="AQ10" s="283" t="n"/>
      <c r="AR10" s="283" t="n"/>
      <c r="AS10" s="283" t="n"/>
    </row>
    <row r="11" ht="60" customHeight="1">
      <c r="A11" s="278" t="inlineStr">
        <is>
          <t>SUDESTE</t>
        </is>
      </c>
      <c r="B11" s="330" t="inlineStr">
        <is>
          <t>MG</t>
        </is>
      </c>
      <c r="C11" s="331" t="inlineStr">
        <is>
          <t>TEOFILO OTONI</t>
        </is>
      </c>
      <c r="D11" s="278" t="inlineStr">
        <is>
          <t>ASSOCIACAO HOSPITALAR SANTA ROSALIA</t>
        </is>
      </c>
      <c r="E11" s="279" t="inlineStr">
        <is>
          <t>25104902000107</t>
        </is>
      </c>
      <c r="F11" s="331" t="inlineStr">
        <is>
          <t>ASSOCIACAO HOSPITALAR SANTA ROSALIA</t>
        </is>
      </c>
      <c r="G11" s="332" t="inlineStr">
        <is>
          <t>2208172</t>
        </is>
      </c>
      <c r="H11" s="280" t="inlineStr">
        <is>
          <t>Diagnóstico</t>
        </is>
      </c>
      <c r="I11" s="280" t="inlineStr">
        <is>
          <t>Indireta</t>
        </is>
      </c>
      <c r="J11" s="330" t="n">
        <v>2023</v>
      </c>
      <c r="K11" s="330" t="n">
        <v>92510423006</v>
      </c>
      <c r="L11" s="280" t="inlineStr">
        <is>
          <t xml:space="preserve"> 	25000.086060/2023-37</t>
        </is>
      </c>
      <c r="M11" s="278" t="inlineStr">
        <is>
          <t>HOSPITAL DE ALTA COMPLEXIDADE</t>
        </is>
      </c>
      <c r="N11" s="280" t="inlineStr">
        <is>
          <t>Ampliação</t>
        </is>
      </c>
      <c r="O11" s="331" t="inlineStr">
        <is>
          <t>Câmara Cintilográfica (Gama Câmara)</t>
        </is>
      </c>
      <c r="P11" s="280" t="n">
        <v>1</v>
      </c>
      <c r="Q11" s="280" t="n">
        <v>1</v>
      </c>
      <c r="R11" s="333" t="inlineStr">
        <is>
          <t xml:space="preserve"> UND</t>
        </is>
      </c>
      <c r="S11" s="278" t="inlineStr">
        <is>
          <t xml:space="preserve"> 	000595-Câmara Cintilográfica (Gama Câmara)</t>
        </is>
      </c>
      <c r="T11" s="281" t="n">
        <v>45243</v>
      </c>
      <c r="U11" s="281" t="n">
        <v>46245</v>
      </c>
      <c r="V11" s="282" t="n">
        <v>2216534</v>
      </c>
      <c r="W11" s="278" t="inlineStr">
        <is>
          <t>NI</t>
        </is>
      </c>
      <c r="X11" s="280" t="inlineStr">
        <is>
          <t>NI</t>
        </is>
      </c>
      <c r="Y11" s="280" t="inlineStr">
        <is>
          <t>NI</t>
        </is>
      </c>
      <c r="Z11" s="280" t="inlineStr">
        <is>
          <t>NI</t>
        </is>
      </c>
      <c r="AA11" s="281" t="n">
        <v>46245</v>
      </c>
      <c r="AB11" s="280" t="n"/>
      <c r="AC11" s="280" t="n"/>
      <c r="AD11" s="278" t="n"/>
      <c r="AE11" s="322" t="n"/>
      <c r="AF11" s="280" t="n"/>
      <c r="AG11" s="281" t="inlineStr">
        <is>
          <t>NA</t>
        </is>
      </c>
      <c r="AH11" s="283" t="n"/>
      <c r="AI11" s="283" t="n"/>
      <c r="AJ11" s="283" t="n"/>
      <c r="AK11" s="283" t="n"/>
      <c r="AL11" s="283" t="n"/>
      <c r="AM11" s="283" t="n"/>
      <c r="AN11" s="283" t="n"/>
      <c r="AO11" s="283" t="n"/>
      <c r="AP11" s="283" t="n"/>
      <c r="AQ11" s="283" t="n"/>
      <c r="AR11" s="283" t="n"/>
      <c r="AS11" s="283" t="n"/>
    </row>
    <row r="12" ht="60" customHeight="1">
      <c r="A12" s="278" t="inlineStr">
        <is>
          <t>SUL</t>
        </is>
      </c>
      <c r="B12" s="330" t="inlineStr">
        <is>
          <t>RS</t>
        </is>
      </c>
      <c r="C12" s="331" t="inlineStr">
        <is>
          <t>PORTO ALEGRE</t>
        </is>
      </c>
      <c r="D12" s="334" t="inlineStr">
        <is>
          <t>IRMANDADE DA SANTA CASA DE MISERICORDIA DE PORTO ALEGRE</t>
        </is>
      </c>
      <c r="E12" s="279" t="inlineStr">
        <is>
          <t>92815000000168</t>
        </is>
      </c>
      <c r="F12" s="331" t="inlineStr">
        <is>
          <t>IRMANDADE DA SANTA CASA DE MISERICORDIA DE PORTO ALEGRE</t>
        </is>
      </c>
      <c r="G12" s="332" t="inlineStr">
        <is>
          <t>2237253</t>
        </is>
      </c>
      <c r="H12" s="280" t="inlineStr">
        <is>
          <t>Rastreamento</t>
        </is>
      </c>
      <c r="I12" s="280" t="inlineStr">
        <is>
          <t>Indireta</t>
        </is>
      </c>
      <c r="J12" s="330" t="n">
        <v>2023</v>
      </c>
      <c r="K12" s="330" t="n">
        <v>99281523005</v>
      </c>
      <c r="L12" s="280" t="inlineStr">
        <is>
          <t>25000.155329/2023-32</t>
        </is>
      </c>
      <c r="M12" s="278" t="inlineStr">
        <is>
          <t>HOSPITAL DE ALTA COMPLEXIDADE</t>
        </is>
      </c>
      <c r="N12" s="280" t="inlineStr">
        <is>
          <t>Substituição</t>
        </is>
      </c>
      <c r="O12" s="331" t="inlineStr">
        <is>
          <t>Gama Probe</t>
        </is>
      </c>
      <c r="P12" s="280" t="n">
        <v>1</v>
      </c>
      <c r="Q12" s="280" t="n">
        <v>1</v>
      </c>
      <c r="R12" s="333" t="inlineStr">
        <is>
          <t xml:space="preserve"> UND</t>
        </is>
      </c>
      <c r="S12" s="278" t="inlineStr">
        <is>
          <t>011251-Gama Probe</t>
        </is>
      </c>
      <c r="T12" s="281" t="n">
        <v>45259</v>
      </c>
      <c r="U12" s="281" t="n">
        <v>46387</v>
      </c>
      <c r="V12" s="282" t="n">
        <v>200000</v>
      </c>
      <c r="W12" s="278" t="inlineStr">
        <is>
          <t>NI</t>
        </is>
      </c>
      <c r="X12" s="280" t="inlineStr">
        <is>
          <t>NI</t>
        </is>
      </c>
      <c r="Y12" s="280" t="inlineStr">
        <is>
          <t>NI</t>
        </is>
      </c>
      <c r="Z12" s="280" t="inlineStr">
        <is>
          <t>NI</t>
        </is>
      </c>
      <c r="AA12" s="281" t="n">
        <v>46387</v>
      </c>
      <c r="AB12" s="280" t="n"/>
      <c r="AC12" s="280" t="n"/>
      <c r="AD12" s="278" t="n"/>
      <c r="AE12" s="322" t="n"/>
      <c r="AF12" s="280" t="n"/>
      <c r="AG12" s="281" t="n">
        <v>45807</v>
      </c>
      <c r="AH12" s="283" t="n"/>
      <c r="AI12" s="283" t="n"/>
      <c r="AJ12" s="283" t="n"/>
      <c r="AK12" s="283" t="n"/>
      <c r="AL12" s="283" t="n"/>
      <c r="AM12" s="283" t="n"/>
      <c r="AN12" s="283" t="n"/>
      <c r="AO12" s="283" t="n"/>
      <c r="AP12" s="283" t="n"/>
      <c r="AQ12" s="283" t="n"/>
      <c r="AR12" s="283" t="n"/>
      <c r="AS12" s="283" t="n"/>
    </row>
    <row r="13" ht="60" customFormat="1" customHeight="1" s="291">
      <c r="A13" s="278" t="inlineStr">
        <is>
          <t>SUDESTE</t>
        </is>
      </c>
      <c r="B13" s="330" t="inlineStr">
        <is>
          <t>SP</t>
        </is>
      </c>
      <c r="C13" s="331" t="inlineStr">
        <is>
          <t>BARRETOS</t>
        </is>
      </c>
      <c r="D13" s="278" t="inlineStr">
        <is>
          <t>FUNDACAO PIO XII BARRETOS</t>
        </is>
      </c>
      <c r="E13" s="279" t="inlineStr">
        <is>
          <t>49150352000112</t>
        </is>
      </c>
      <c r="F13" s="331" t="inlineStr">
        <is>
          <t>FUNDACAO PIO XII BARRETOS</t>
        </is>
      </c>
      <c r="G13" s="332" t="inlineStr">
        <is>
          <t>2090236</t>
        </is>
      </c>
      <c r="H13" s="280" t="inlineStr">
        <is>
          <t>Vários</t>
        </is>
      </c>
      <c r="I13" s="280" t="inlineStr">
        <is>
          <t>Indireta</t>
        </is>
      </c>
      <c r="J13" s="330" t="n">
        <v>2023</v>
      </c>
      <c r="K13" s="330" t="n">
        <v>94915023004</v>
      </c>
      <c r="L13" s="280" t="inlineStr">
        <is>
          <t>25000.130349/2023-09</t>
        </is>
      </c>
      <c r="M13" s="278" t="inlineStr">
        <is>
          <t>HOSPITAL DE ALTA COMPLEXIDADE</t>
        </is>
      </c>
      <c r="N13" s="280" t="inlineStr">
        <is>
          <t>Substituição</t>
        </is>
      </c>
      <c r="O13" s="331" t="inlineStr">
        <is>
          <t>Vários</t>
        </is>
      </c>
      <c r="P13" s="280" t="n">
        <v>8</v>
      </c>
      <c r="Q13" s="280" t="inlineStr">
        <is>
          <t>NA</t>
        </is>
      </c>
      <c r="R13" s="280" t="inlineStr">
        <is>
          <t>UND</t>
        </is>
      </c>
      <c r="S13" s="278" t="inlineStr">
        <is>
          <t>NA</t>
        </is>
      </c>
      <c r="T13" s="281" t="n">
        <v>45244</v>
      </c>
      <c r="U13" s="281" t="n">
        <v>46245</v>
      </c>
      <c r="V13" s="282" t="n">
        <v>999538</v>
      </c>
      <c r="W13" s="278" t="inlineStr">
        <is>
          <t>NI</t>
        </is>
      </c>
      <c r="X13" s="280" t="inlineStr">
        <is>
          <t>NI</t>
        </is>
      </c>
      <c r="Y13" s="280" t="inlineStr">
        <is>
          <t>NI</t>
        </is>
      </c>
      <c r="Z13" s="280" t="inlineStr">
        <is>
          <t>NI</t>
        </is>
      </c>
      <c r="AA13" s="281" t="n">
        <v>46245</v>
      </c>
      <c r="AB13" s="280" t="inlineStr">
        <is>
          <t>NI</t>
        </is>
      </c>
      <c r="AC13" s="280" t="inlineStr">
        <is>
          <t>NI</t>
        </is>
      </c>
      <c r="AD13" s="278" t="inlineStr">
        <is>
          <t>Não iniciado</t>
        </is>
      </c>
      <c r="AE13" s="322" t="n"/>
      <c r="AF13" s="280" t="inlineStr">
        <is>
          <t>NI</t>
        </is>
      </c>
      <c r="AG13" s="281" t="inlineStr">
        <is>
          <t>NA</t>
        </is>
      </c>
      <c r="AH13" s="283" t="n"/>
      <c r="AI13" s="283" t="n"/>
      <c r="AJ13" s="283" t="n"/>
      <c r="AK13" s="283" t="n"/>
      <c r="AL13" s="283" t="n"/>
      <c r="AM13" s="283" t="n"/>
      <c r="AN13" s="283" t="n"/>
      <c r="AO13" s="283" t="n"/>
      <c r="AP13" s="283" t="n"/>
      <c r="AQ13" s="283" t="n"/>
      <c r="AR13" s="283" t="n"/>
      <c r="AS13" s="283" t="n"/>
    </row>
    <row r="14" ht="60" customHeight="1">
      <c r="A14" s="186" t="inlineStr">
        <is>
          <t>SUDESTE</t>
        </is>
      </c>
      <c r="B14" s="277" t="inlineStr">
        <is>
          <t>SP</t>
        </is>
      </c>
      <c r="C14" s="153" t="inlineStr">
        <is>
          <t>BARRETOS</t>
        </is>
      </c>
      <c r="D14" s="186" t="inlineStr">
        <is>
          <t>FUNDACAO PIO XII BARRETOS</t>
        </is>
      </c>
      <c r="E14" s="189" t="inlineStr">
        <is>
          <t>49150352000112</t>
        </is>
      </c>
      <c r="F14" s="153" t="inlineStr">
        <is>
          <t>FUNDACAO PIO XII BARRETOS</t>
        </is>
      </c>
      <c r="G14" s="326" t="inlineStr">
        <is>
          <t>2090236</t>
        </is>
      </c>
      <c r="H14" s="190" t="inlineStr">
        <is>
          <t>Rastreamento</t>
        </is>
      </c>
      <c r="I14" s="190" t="inlineStr">
        <is>
          <t>Indireta</t>
        </is>
      </c>
      <c r="J14" s="277" t="n">
        <v>2023</v>
      </c>
      <c r="K14" s="277" t="n">
        <v>94915023004</v>
      </c>
      <c r="L14" s="190" t="inlineStr">
        <is>
          <t>25000.130349/2023-09</t>
        </is>
      </c>
      <c r="M14" s="186" t="inlineStr">
        <is>
          <t>HOSPITAL DE ALTA COMPLEXIDADE</t>
        </is>
      </c>
      <c r="N14" s="190" t="inlineStr">
        <is>
          <t>Substituição</t>
        </is>
      </c>
      <c r="O14" s="153" t="inlineStr">
        <is>
          <t>Gama Probe</t>
        </is>
      </c>
      <c r="P14" s="190" t="inlineStr">
        <is>
          <t>NA</t>
        </is>
      </c>
      <c r="Q14" s="190" t="n">
        <v>1</v>
      </c>
      <c r="R14" s="190" t="inlineStr">
        <is>
          <t>UND</t>
        </is>
      </c>
      <c r="S14" s="186" t="inlineStr">
        <is>
          <t>011251-Gama Probe</t>
        </is>
      </c>
      <c r="T14" s="191" t="n">
        <v>45244</v>
      </c>
      <c r="U14" s="191" t="n">
        <v>46245</v>
      </c>
      <c r="V14" s="199" t="inlineStr">
        <is>
          <t>NA</t>
        </is>
      </c>
      <c r="W14" s="186" t="inlineStr">
        <is>
          <t>NI</t>
        </is>
      </c>
      <c r="X14" s="190" t="inlineStr">
        <is>
          <t>NI</t>
        </is>
      </c>
      <c r="Y14" s="190" t="inlineStr">
        <is>
          <t>NI</t>
        </is>
      </c>
      <c r="Z14" s="190" t="inlineStr">
        <is>
          <t>NI</t>
        </is>
      </c>
      <c r="AA14" s="191" t="inlineStr">
        <is>
          <t>NA</t>
        </is>
      </c>
      <c r="AB14" s="190" t="inlineStr">
        <is>
          <t>NI</t>
        </is>
      </c>
      <c r="AC14" s="190" t="inlineStr">
        <is>
          <t>NI</t>
        </is>
      </c>
      <c r="AD14" s="186" t="inlineStr">
        <is>
          <t>Não iniciado</t>
        </is>
      </c>
      <c r="AE14" s="322" t="n"/>
      <c r="AF14" s="190" t="inlineStr">
        <is>
          <t>NI</t>
        </is>
      </c>
      <c r="AG14" s="191" t="inlineStr">
        <is>
          <t>NA</t>
        </is>
      </c>
      <c r="AH14" s="133" t="n"/>
      <c r="AI14" s="133" t="n"/>
      <c r="AJ14" s="133" t="n"/>
      <c r="AK14" s="133" t="n"/>
      <c r="AL14" s="133" t="n"/>
      <c r="AM14" s="133" t="n"/>
      <c r="AN14" s="133" t="n"/>
      <c r="AO14" s="133" t="n"/>
      <c r="AP14" s="133" t="n"/>
      <c r="AQ14" s="133" t="n"/>
      <c r="AR14" s="133" t="n"/>
      <c r="AS14" s="133" t="n"/>
    </row>
    <row r="15" ht="60" customHeight="1">
      <c r="X15" s="81" t="n"/>
      <c r="Y15" s="81" t="n"/>
    </row>
    <row r="16" ht="60" customHeight="1">
      <c r="X16" s="81" t="n"/>
      <c r="Y16" s="81" t="n"/>
    </row>
    <row r="17" ht="60" customHeight="1">
      <c r="X17" s="81" t="n"/>
      <c r="Y17" s="81" t="n"/>
    </row>
    <row r="18" ht="60" customHeight="1">
      <c r="X18" s="81" t="n"/>
      <c r="Y18" s="81" t="n"/>
    </row>
    <row r="19" ht="60" customHeight="1">
      <c r="X19" s="81" t="n"/>
      <c r="Y19" s="81" t="n"/>
    </row>
    <row r="20" ht="60" customHeight="1">
      <c r="X20" s="81" t="n"/>
      <c r="Y20" s="81" t="n"/>
    </row>
    <row r="21" ht="60" customHeight="1">
      <c r="X21" s="81" t="n"/>
      <c r="Y21" s="81" t="n"/>
    </row>
    <row r="22" ht="60" customHeight="1">
      <c r="X22" s="81" t="n"/>
      <c r="Y22" s="81" t="n"/>
    </row>
    <row r="23" ht="60" customHeight="1">
      <c r="X23" s="81" t="n"/>
      <c r="Y23" s="81" t="n"/>
    </row>
    <row r="24" ht="60" customHeight="1">
      <c r="X24" s="81" t="n"/>
      <c r="Y24" s="81" t="n"/>
    </row>
    <row r="25" ht="60" customHeight="1">
      <c r="X25" s="81" t="n"/>
      <c r="Y25" s="81" t="n"/>
    </row>
    <row r="26" ht="60" customHeight="1">
      <c r="X26" s="81" t="n"/>
      <c r="Y26" s="81" t="n"/>
    </row>
    <row r="27" ht="60" customHeight="1">
      <c r="X27" s="81" t="n"/>
      <c r="Y27" s="81" t="n"/>
    </row>
    <row r="28" ht="60" customHeight="1">
      <c r="X28" s="81" t="n"/>
      <c r="Y28" s="81" t="n"/>
    </row>
    <row r="29" ht="60" customHeight="1">
      <c r="X29" s="81" t="n"/>
      <c r="Y29" s="81" t="n"/>
    </row>
    <row r="30" ht="60" customHeight="1">
      <c r="X30" s="81" t="n"/>
      <c r="Y30" s="81" t="n"/>
    </row>
    <row r="31" ht="60" customHeight="1">
      <c r="X31" s="81" t="n"/>
      <c r="Y31" s="81" t="n"/>
    </row>
    <row r="32" ht="60" customHeight="1">
      <c r="X32" s="81" t="n"/>
      <c r="Y32" s="81" t="n"/>
    </row>
    <row r="33" ht="60" customHeight="1">
      <c r="X33" s="81" t="n"/>
      <c r="Y33" s="81" t="n"/>
    </row>
    <row r="34" ht="60" customHeight="1">
      <c r="X34" s="81" t="n"/>
      <c r="Y34" s="81" t="n"/>
    </row>
    <row r="35" ht="60" customHeight="1">
      <c r="X35" s="81" t="n"/>
      <c r="Y35" s="81" t="n"/>
    </row>
    <row r="36" ht="60" customHeight="1">
      <c r="X36" s="81" t="n"/>
      <c r="Y36" s="81" t="n"/>
    </row>
    <row r="37" ht="60" customHeight="1">
      <c r="X37" s="81" t="n"/>
      <c r="Y37" s="81" t="n"/>
    </row>
    <row r="38" ht="60" customHeight="1">
      <c r="X38" s="81" t="n"/>
      <c r="Y38" s="81" t="n"/>
    </row>
    <row r="39" ht="60" customFormat="1" customHeight="1" s="292">
      <c r="A39" s="81" t="n"/>
      <c r="B39" s="81" t="n"/>
      <c r="C39" s="83" t="n"/>
      <c r="D39" s="83" t="n"/>
      <c r="E39" s="296" t="n"/>
      <c r="F39" s="83" t="n"/>
      <c r="G39" s="296" t="n"/>
      <c r="H39" s="83" t="n"/>
      <c r="I39" s="81" t="n"/>
      <c r="J39" s="81" t="n"/>
      <c r="K39" s="296" t="n"/>
      <c r="L39" s="296" t="n"/>
      <c r="M39" s="81" t="n"/>
      <c r="N39" s="81" t="n"/>
      <c r="O39" s="83" t="n"/>
      <c r="P39" s="81" t="n"/>
      <c r="Q39" s="81" t="n"/>
      <c r="R39" s="81" t="n"/>
      <c r="S39" s="83" t="n"/>
      <c r="T39" s="297" t="n"/>
      <c r="U39" s="297" t="n"/>
      <c r="V39" s="298" t="n"/>
      <c r="W39" s="83" t="n"/>
      <c r="X39" s="81" t="n"/>
      <c r="Y39" s="81" t="n"/>
      <c r="Z39" s="299" t="n"/>
      <c r="AA39" s="297" t="n"/>
      <c r="AB39" s="81" t="n"/>
      <c r="AC39" s="81" t="n"/>
      <c r="AD39" s="81" t="n"/>
      <c r="AE39" s="81" t="n"/>
      <c r="AF39" s="300" t="n"/>
      <c r="AG39" s="297" t="n"/>
      <c r="AH39" s="300" t="n"/>
      <c r="AI39" s="300" t="n"/>
      <c r="AJ39" s="297" t="n"/>
      <c r="AK39" s="81" t="n"/>
      <c r="AL39" s="301" t="n"/>
      <c r="AM39" s="301" t="n"/>
      <c r="AN39" s="301" t="n"/>
      <c r="AO39" s="301" t="n"/>
      <c r="AP39" s="83" t="n"/>
      <c r="AQ39" s="302" t="n"/>
      <c r="AR39" s="302" t="n"/>
      <c r="AS39" s="301" t="n"/>
    </row>
    <row r="40" ht="60" customHeight="1">
      <c r="X40" s="81" t="n"/>
      <c r="Y40" s="81" t="n"/>
    </row>
    <row r="41" ht="60" customHeight="1">
      <c r="X41" s="81" t="n"/>
      <c r="Y41" s="81" t="n"/>
    </row>
    <row r="42" ht="60" customHeight="1">
      <c r="X42" s="81" t="n"/>
      <c r="Y42" s="81" t="n"/>
    </row>
    <row r="43" ht="60" customFormat="1" customHeight="1" s="292">
      <c r="A43" s="81" t="n"/>
      <c r="B43" s="81" t="n"/>
      <c r="C43" s="83" t="n"/>
      <c r="D43" s="83" t="n"/>
      <c r="E43" s="296" t="n"/>
      <c r="F43" s="83" t="n"/>
      <c r="G43" s="296" t="n"/>
      <c r="H43" s="83" t="n"/>
      <c r="I43" s="81" t="n"/>
      <c r="J43" s="81" t="n"/>
      <c r="K43" s="296" t="n"/>
      <c r="L43" s="296" t="n"/>
      <c r="M43" s="81" t="n"/>
      <c r="N43" s="81" t="n"/>
      <c r="O43" s="83" t="n"/>
      <c r="P43" s="81" t="n"/>
      <c r="Q43" s="81" t="n"/>
      <c r="R43" s="81" t="n"/>
      <c r="S43" s="83" t="n"/>
      <c r="T43" s="297" t="n"/>
      <c r="U43" s="297" t="n"/>
      <c r="V43" s="298" t="n"/>
      <c r="W43" s="83" t="n"/>
      <c r="X43" s="81" t="n"/>
      <c r="Y43" s="81" t="n"/>
      <c r="Z43" s="299" t="n"/>
      <c r="AA43" s="297" t="n"/>
      <c r="AB43" s="81" t="n"/>
      <c r="AC43" s="81" t="n"/>
      <c r="AD43" s="81" t="n"/>
      <c r="AE43" s="81" t="n"/>
      <c r="AF43" s="300" t="n"/>
      <c r="AG43" s="297" t="n"/>
      <c r="AH43" s="300" t="n"/>
      <c r="AI43" s="300" t="n"/>
      <c r="AJ43" s="297" t="n"/>
      <c r="AK43" s="81" t="n"/>
      <c r="AL43" s="301" t="n"/>
      <c r="AM43" s="301" t="n"/>
      <c r="AN43" s="301" t="n"/>
      <c r="AO43" s="301" t="n"/>
      <c r="AP43" s="83" t="n"/>
      <c r="AQ43" s="302" t="n"/>
      <c r="AR43" s="302" t="n"/>
      <c r="AS43" s="301" t="n"/>
    </row>
    <row r="44" ht="60" customHeight="1">
      <c r="X44" s="81" t="n"/>
      <c r="Y44" s="81" t="n"/>
    </row>
    <row r="45" ht="78.75" customFormat="1" customHeight="1" s="293">
      <c r="A45" s="81" t="n"/>
      <c r="B45" s="81" t="n"/>
      <c r="C45" s="83" t="n"/>
      <c r="D45" s="83" t="n"/>
      <c r="E45" s="296" t="n"/>
      <c r="F45" s="83" t="n"/>
      <c r="G45" s="296" t="n"/>
      <c r="H45" s="83" t="n"/>
      <c r="I45" s="81" t="n"/>
      <c r="J45" s="81" t="n"/>
      <c r="K45" s="296" t="n"/>
      <c r="L45" s="296" t="n"/>
      <c r="M45" s="81" t="n"/>
      <c r="N45" s="81" t="n"/>
      <c r="O45" s="83" t="n"/>
      <c r="P45" s="81" t="n"/>
      <c r="Q45" s="81" t="n"/>
      <c r="R45" s="81" t="n"/>
      <c r="S45" s="83" t="n"/>
      <c r="T45" s="297" t="n"/>
      <c r="U45" s="297" t="n"/>
      <c r="V45" s="298" t="n"/>
      <c r="W45" s="83" t="n"/>
      <c r="X45" s="81" t="n"/>
      <c r="Y45" s="81" t="n"/>
      <c r="Z45" s="299" t="n"/>
      <c r="AA45" s="297" t="n"/>
      <c r="AB45" s="81" t="n"/>
      <c r="AC45" s="81" t="n"/>
      <c r="AD45" s="81" t="n"/>
      <c r="AE45" s="81" t="n"/>
      <c r="AF45" s="300" t="n"/>
      <c r="AG45" s="297" t="n"/>
      <c r="AH45" s="300" t="n"/>
      <c r="AI45" s="300" t="n"/>
      <c r="AJ45" s="297" t="n"/>
      <c r="AK45" s="81" t="n"/>
      <c r="AL45" s="301" t="n"/>
      <c r="AM45" s="301" t="n"/>
      <c r="AN45" s="301" t="n"/>
      <c r="AO45" s="301" t="n"/>
      <c r="AP45" s="83" t="n"/>
      <c r="AQ45" s="302" t="n"/>
      <c r="AR45" s="302" t="n"/>
      <c r="AS45" s="301" t="n"/>
    </row>
    <row r="46" outlineLevel="1" ht="60" customFormat="1" customHeight="1" s="294">
      <c r="A46" s="81" t="n"/>
      <c r="B46" s="81" t="n"/>
      <c r="C46" s="83" t="n"/>
      <c r="D46" s="83" t="n"/>
      <c r="E46" s="296" t="n"/>
      <c r="F46" s="83" t="n"/>
      <c r="G46" s="296" t="n"/>
      <c r="H46" s="83" t="n"/>
      <c r="I46" s="81" t="n"/>
      <c r="J46" s="81" t="n"/>
      <c r="K46" s="296" t="n"/>
      <c r="L46" s="296" t="n"/>
      <c r="M46" s="81" t="n"/>
      <c r="N46" s="81" t="n"/>
      <c r="O46" s="83" t="n"/>
      <c r="P46" s="81" t="n"/>
      <c r="Q46" s="81" t="n"/>
      <c r="R46" s="81" t="n"/>
      <c r="S46" s="83" t="n"/>
      <c r="T46" s="297" t="n"/>
      <c r="U46" s="297" t="n"/>
      <c r="V46" s="298" t="n"/>
      <c r="W46" s="83" t="n"/>
      <c r="X46" s="81" t="n"/>
      <c r="Y46" s="81" t="n"/>
      <c r="Z46" s="299" t="n"/>
      <c r="AA46" s="297" t="n"/>
      <c r="AB46" s="81" t="n"/>
      <c r="AC46" s="81" t="n"/>
      <c r="AD46" s="81" t="n"/>
      <c r="AE46" s="81" t="n"/>
      <c r="AF46" s="300" t="n"/>
      <c r="AG46" s="297" t="n"/>
      <c r="AH46" s="300" t="n"/>
      <c r="AI46" s="300" t="n"/>
      <c r="AJ46" s="297" t="n"/>
      <c r="AK46" s="81" t="n"/>
      <c r="AL46" s="301" t="n"/>
      <c r="AM46" s="301" t="n"/>
      <c r="AN46" s="301" t="n"/>
      <c r="AO46" s="301" t="n"/>
      <c r="AP46" s="83" t="n"/>
      <c r="AQ46" s="302" t="n"/>
      <c r="AR46" s="302" t="n"/>
      <c r="AS46" s="301" t="n"/>
    </row>
    <row r="47" outlineLevel="1" ht="60" customFormat="1" customHeight="1" s="294">
      <c r="A47" s="81" t="n"/>
      <c r="B47" s="81" t="n"/>
      <c r="C47" s="83" t="n"/>
      <c r="D47" s="83" t="n"/>
      <c r="E47" s="296" t="n"/>
      <c r="F47" s="83" t="n"/>
      <c r="G47" s="296" t="n"/>
      <c r="H47" s="83" t="n"/>
      <c r="I47" s="81" t="n"/>
      <c r="J47" s="81" t="n"/>
      <c r="K47" s="296" t="n"/>
      <c r="L47" s="296" t="n"/>
      <c r="M47" s="81" t="n"/>
      <c r="N47" s="81" t="n"/>
      <c r="O47" s="83" t="n"/>
      <c r="P47" s="81" t="n"/>
      <c r="Q47" s="81" t="n"/>
      <c r="R47" s="81" t="n"/>
      <c r="S47" s="83" t="n"/>
      <c r="T47" s="297" t="n"/>
      <c r="U47" s="297" t="n"/>
      <c r="V47" s="298" t="n"/>
      <c r="W47" s="83" t="n"/>
      <c r="X47" s="81" t="n"/>
      <c r="Y47" s="81" t="n"/>
      <c r="Z47" s="299" t="n"/>
      <c r="AA47" s="297" t="n"/>
      <c r="AB47" s="81" t="n"/>
      <c r="AC47" s="81" t="n"/>
      <c r="AD47" s="81" t="n"/>
      <c r="AE47" s="81" t="n"/>
      <c r="AF47" s="300" t="n"/>
      <c r="AG47" s="297" t="n"/>
      <c r="AH47" s="300" t="n"/>
      <c r="AI47" s="300" t="n"/>
      <c r="AJ47" s="297" t="n"/>
      <c r="AK47" s="81" t="n"/>
      <c r="AL47" s="301" t="n"/>
      <c r="AM47" s="301" t="n"/>
      <c r="AN47" s="301" t="n"/>
      <c r="AO47" s="301" t="n"/>
      <c r="AP47" s="83" t="n"/>
      <c r="AQ47" s="302" t="n"/>
      <c r="AR47" s="302" t="n"/>
      <c r="AS47" s="301" t="n"/>
    </row>
    <row r="48" outlineLevel="1" ht="60" customFormat="1" customHeight="1" s="294">
      <c r="A48" s="81" t="n"/>
      <c r="B48" s="81" t="n"/>
      <c r="C48" s="83" t="n"/>
      <c r="D48" s="83" t="n"/>
      <c r="E48" s="296" t="n"/>
      <c r="F48" s="83" t="n"/>
      <c r="G48" s="296" t="n"/>
      <c r="H48" s="83" t="n"/>
      <c r="I48" s="81" t="n"/>
      <c r="J48" s="81" t="n"/>
      <c r="K48" s="296" t="n"/>
      <c r="L48" s="296" t="n"/>
      <c r="M48" s="81" t="n"/>
      <c r="N48" s="81" t="n"/>
      <c r="O48" s="83" t="n"/>
      <c r="P48" s="81" t="n"/>
      <c r="Q48" s="81" t="n"/>
      <c r="R48" s="81" t="n"/>
      <c r="S48" s="83" t="n"/>
      <c r="T48" s="297" t="n"/>
      <c r="U48" s="297" t="n"/>
      <c r="V48" s="298" t="n"/>
      <c r="W48" s="83" t="n"/>
      <c r="X48" s="81" t="n"/>
      <c r="Y48" s="81" t="n"/>
      <c r="Z48" s="299" t="n"/>
      <c r="AA48" s="297" t="n"/>
      <c r="AB48" s="81" t="n"/>
      <c r="AC48" s="81" t="n"/>
      <c r="AD48" s="81" t="n"/>
      <c r="AE48" s="81" t="n"/>
      <c r="AF48" s="300" t="n"/>
      <c r="AG48" s="297" t="n"/>
      <c r="AH48" s="300" t="n"/>
      <c r="AI48" s="300" t="n"/>
      <c r="AJ48" s="297" t="n"/>
      <c r="AK48" s="81" t="n"/>
      <c r="AL48" s="301" t="n"/>
      <c r="AM48" s="301" t="n"/>
      <c r="AN48" s="301" t="n"/>
      <c r="AO48" s="301" t="n"/>
      <c r="AP48" s="83" t="n"/>
      <c r="AQ48" s="302" t="n"/>
      <c r="AR48" s="302" t="n"/>
      <c r="AS48" s="301" t="n"/>
    </row>
    <row r="49" ht="60" customHeight="1">
      <c r="X49" s="81" t="n"/>
      <c r="Y49" s="81" t="n"/>
    </row>
    <row r="50" ht="60" customHeight="1">
      <c r="X50" s="81" t="n"/>
      <c r="Y50" s="81" t="n"/>
    </row>
    <row r="51" ht="60" customHeight="1">
      <c r="X51" s="81" t="n"/>
      <c r="Y51" s="81" t="n"/>
    </row>
    <row r="52" outlineLevel="1" ht="60" customHeight="1">
      <c r="X52" s="81" t="n"/>
      <c r="Y52" s="81" t="n"/>
    </row>
    <row r="53" outlineLevel="1" ht="60" customHeight="1">
      <c r="X53" s="81" t="n"/>
      <c r="Y53" s="81" t="n"/>
    </row>
    <row r="54" ht="60" customHeight="1">
      <c r="X54" s="81" t="n"/>
      <c r="Y54" s="81" t="n"/>
    </row>
    <row r="55" outlineLevel="1" ht="60" customHeight="1">
      <c r="X55" s="81" t="n"/>
      <c r="Y55" s="81" t="n"/>
    </row>
    <row r="56" ht="60" customHeight="1">
      <c r="X56" s="81" t="n"/>
      <c r="Y56" s="81" t="n"/>
    </row>
    <row r="57" ht="60" customHeight="1">
      <c r="X57" s="81" t="n"/>
      <c r="Y57" s="81" t="n"/>
    </row>
    <row r="58" ht="60" customHeight="1">
      <c r="X58" s="81" t="n"/>
      <c r="Y58" s="81" t="n"/>
    </row>
    <row r="59" outlineLevel="1" ht="60" customHeight="1">
      <c r="X59" s="81" t="n"/>
      <c r="Y59" s="81" t="n"/>
    </row>
    <row r="60" ht="60" customHeight="1">
      <c r="X60" s="81" t="n"/>
      <c r="Y60" s="81" t="n"/>
    </row>
    <row r="61" outlineLevel="1" ht="60" customHeight="1">
      <c r="X61" s="81" t="n"/>
      <c r="Y61" s="81" t="n"/>
    </row>
    <row r="62" outlineLevel="1" ht="60" customHeight="1">
      <c r="X62" s="81" t="n"/>
      <c r="Y62" s="81" t="n"/>
    </row>
    <row r="63" outlineLevel="1" ht="60" customHeight="1">
      <c r="X63" s="81" t="n"/>
      <c r="Y63" s="81" t="n"/>
    </row>
    <row r="64" outlineLevel="1" ht="60" customHeight="1">
      <c r="X64" s="81" t="n"/>
      <c r="Y64" s="81" t="n"/>
    </row>
    <row r="65" ht="60" customHeight="1">
      <c r="AL65" s="335" t="n"/>
      <c r="AM65" s="335" t="n"/>
      <c r="AN65" s="335" t="n"/>
      <c r="AO65" s="335" t="n"/>
    </row>
    <row r="66" outlineLevel="1" ht="60" customHeight="1"/>
    <row r="67" outlineLevel="1" ht="60" customHeight="1"/>
    <row r="68" ht="60" customHeight="1"/>
    <row r="69" ht="60" customHeight="1"/>
    <row r="70" ht="60" customHeight="1"/>
    <row r="71" ht="60" customFormat="1" customHeight="1" s="133">
      <c r="A71" s="81" t="n"/>
      <c r="B71" s="81" t="n"/>
      <c r="C71" s="83" t="n"/>
      <c r="D71" s="83" t="n"/>
      <c r="E71" s="296" t="n"/>
      <c r="F71" s="83" t="n"/>
      <c r="G71" s="296" t="n"/>
      <c r="H71" s="83" t="n"/>
      <c r="I71" s="81" t="n"/>
      <c r="J71" s="81" t="n"/>
      <c r="K71" s="296" t="n"/>
      <c r="L71" s="296" t="n"/>
      <c r="M71" s="81" t="n"/>
      <c r="N71" s="81" t="n"/>
      <c r="O71" s="83" t="n"/>
      <c r="P71" s="81" t="n"/>
      <c r="Q71" s="81" t="n"/>
      <c r="R71" s="81" t="n"/>
      <c r="S71" s="83" t="n"/>
      <c r="T71" s="297" t="n"/>
      <c r="U71" s="297" t="n"/>
      <c r="V71" s="298" t="n"/>
      <c r="W71" s="83" t="n"/>
      <c r="X71" s="83" t="n"/>
      <c r="Y71" s="83" t="n"/>
      <c r="Z71" s="299" t="n"/>
      <c r="AA71" s="297" t="n"/>
      <c r="AB71" s="81" t="n"/>
      <c r="AC71" s="81" t="n"/>
      <c r="AD71" s="81" t="n"/>
      <c r="AE71" s="81" t="n"/>
      <c r="AF71" s="300" t="n"/>
      <c r="AG71" s="297" t="n"/>
      <c r="AH71" s="300" t="n"/>
      <c r="AI71" s="300" t="n"/>
      <c r="AJ71" s="297" t="n"/>
      <c r="AK71" s="81" t="n"/>
      <c r="AL71" s="301" t="n"/>
      <c r="AM71" s="301" t="n"/>
      <c r="AN71" s="301" t="n"/>
      <c r="AO71" s="301" t="n"/>
      <c r="AP71" s="83" t="n"/>
      <c r="AQ71" s="302" t="n"/>
      <c r="AR71" s="302" t="n"/>
      <c r="AS71" s="301" t="n"/>
    </row>
    <row r="72" ht="60" customFormat="1" customHeight="1" s="133">
      <c r="A72" s="81" t="n"/>
      <c r="B72" s="81" t="n"/>
      <c r="C72" s="83" t="n"/>
      <c r="D72" s="83" t="n"/>
      <c r="E72" s="296" t="n"/>
      <c r="F72" s="83" t="n"/>
      <c r="G72" s="296" t="n"/>
      <c r="H72" s="83" t="n"/>
      <c r="I72" s="81" t="n"/>
      <c r="J72" s="81" t="n"/>
      <c r="K72" s="296" t="n"/>
      <c r="L72" s="296" t="n"/>
      <c r="M72" s="81" t="n"/>
      <c r="N72" s="81" t="n"/>
      <c r="O72" s="83" t="n"/>
      <c r="P72" s="81" t="n"/>
      <c r="Q72" s="81" t="n"/>
      <c r="R72" s="81" t="n"/>
      <c r="S72" s="83" t="n"/>
      <c r="T72" s="297" t="n"/>
      <c r="U72" s="297" t="n"/>
      <c r="V72" s="298" t="n"/>
      <c r="W72" s="83" t="n"/>
      <c r="X72" s="83" t="n"/>
      <c r="Y72" s="83" t="n"/>
      <c r="Z72" s="299" t="n"/>
      <c r="AA72" s="297" t="n"/>
      <c r="AB72" s="81" t="n"/>
      <c r="AC72" s="81" t="n"/>
      <c r="AD72" s="81" t="n"/>
      <c r="AE72" s="81" t="n"/>
      <c r="AF72" s="300" t="n"/>
      <c r="AG72" s="297" t="n"/>
      <c r="AH72" s="300" t="n"/>
      <c r="AI72" s="300" t="n"/>
      <c r="AJ72" s="297" t="n"/>
      <c r="AK72" s="81" t="n"/>
      <c r="AL72" s="301" t="n"/>
      <c r="AM72" s="301" t="n"/>
      <c r="AN72" s="301" t="n"/>
      <c r="AO72" s="301" t="n"/>
      <c r="AP72" s="83" t="n"/>
      <c r="AQ72" s="302" t="n"/>
      <c r="AR72" s="302" t="n"/>
      <c r="AS72" s="301" t="n"/>
    </row>
    <row r="73" ht="60" customFormat="1" customHeight="1" s="133">
      <c r="A73" s="81" t="n"/>
      <c r="B73" s="81" t="n"/>
      <c r="C73" s="83" t="n"/>
      <c r="D73" s="83" t="n"/>
      <c r="E73" s="296" t="n"/>
      <c r="F73" s="83" t="n"/>
      <c r="G73" s="296" t="n"/>
      <c r="H73" s="83" t="n"/>
      <c r="I73" s="81" t="n"/>
      <c r="J73" s="81" t="n"/>
      <c r="K73" s="296" t="n"/>
      <c r="L73" s="296" t="n"/>
      <c r="M73" s="81" t="n"/>
      <c r="N73" s="81" t="n"/>
      <c r="O73" s="83" t="n"/>
      <c r="P73" s="81" t="n"/>
      <c r="Q73" s="81" t="n"/>
      <c r="R73" s="81" t="n"/>
      <c r="S73" s="83" t="n"/>
      <c r="T73" s="297" t="n"/>
      <c r="U73" s="297" t="n"/>
      <c r="V73" s="298" t="n"/>
      <c r="W73" s="83" t="n"/>
      <c r="X73" s="83" t="n"/>
      <c r="Y73" s="83" t="n"/>
      <c r="Z73" s="299" t="n"/>
      <c r="AA73" s="297" t="n"/>
      <c r="AB73" s="81" t="n"/>
      <c r="AC73" s="81" t="n"/>
      <c r="AD73" s="81" t="n"/>
      <c r="AE73" s="81" t="n"/>
      <c r="AF73" s="300" t="n"/>
      <c r="AG73" s="297" t="n"/>
      <c r="AH73" s="300" t="n"/>
      <c r="AI73" s="300" t="n"/>
      <c r="AJ73" s="297" t="n"/>
      <c r="AK73" s="81" t="n"/>
      <c r="AL73" s="301" t="n"/>
      <c r="AM73" s="301" t="n"/>
      <c r="AN73" s="301" t="n"/>
      <c r="AO73" s="301" t="n"/>
      <c r="AP73" s="83" t="n"/>
      <c r="AQ73" s="302" t="n"/>
      <c r="AR73" s="302" t="n"/>
      <c r="AS73" s="301" t="n"/>
    </row>
    <row r="74" ht="60" customFormat="1" customHeight="1" s="133">
      <c r="A74" s="81" t="n"/>
      <c r="B74" s="81" t="n"/>
      <c r="C74" s="83" t="n"/>
      <c r="D74" s="83" t="n"/>
      <c r="E74" s="296" t="n"/>
      <c r="F74" s="83" t="n"/>
      <c r="G74" s="296" t="n"/>
      <c r="H74" s="83" t="n"/>
      <c r="I74" s="81" t="n"/>
      <c r="J74" s="81" t="n"/>
      <c r="K74" s="296" t="n"/>
      <c r="L74" s="296" t="n"/>
      <c r="M74" s="81" t="n"/>
      <c r="N74" s="81" t="n"/>
      <c r="O74" s="83" t="n"/>
      <c r="P74" s="81" t="n"/>
      <c r="Q74" s="81" t="n"/>
      <c r="R74" s="81" t="n"/>
      <c r="S74" s="83" t="n"/>
      <c r="T74" s="297" t="n"/>
      <c r="U74" s="297" t="n"/>
      <c r="V74" s="298" t="n"/>
      <c r="W74" s="83" t="n"/>
      <c r="X74" s="83" t="n"/>
      <c r="Y74" s="83" t="n"/>
      <c r="Z74" s="299" t="n"/>
      <c r="AA74" s="297" t="n"/>
      <c r="AB74" s="81" t="n"/>
      <c r="AC74" s="81" t="n"/>
      <c r="AD74" s="81" t="n"/>
      <c r="AE74" s="81" t="n"/>
      <c r="AF74" s="300" t="n"/>
      <c r="AG74" s="297" t="n"/>
      <c r="AH74" s="300" t="n"/>
      <c r="AI74" s="300" t="n"/>
      <c r="AJ74" s="297" t="n"/>
      <c r="AK74" s="81" t="n"/>
      <c r="AL74" s="301" t="n"/>
      <c r="AM74" s="301" t="n"/>
      <c r="AN74" s="301" t="n"/>
      <c r="AO74" s="301" t="n"/>
      <c r="AP74" s="83" t="n"/>
      <c r="AQ74" s="302" t="n"/>
      <c r="AR74" s="302" t="n"/>
      <c r="AS74" s="301" t="n"/>
    </row>
    <row r="75" ht="60" customFormat="1" customHeight="1" s="133">
      <c r="A75" s="81" t="n"/>
      <c r="B75" s="81" t="n"/>
      <c r="C75" s="83" t="n"/>
      <c r="D75" s="83" t="n"/>
      <c r="E75" s="296" t="n"/>
      <c r="F75" s="83" t="n"/>
      <c r="G75" s="296" t="n"/>
      <c r="H75" s="83" t="n"/>
      <c r="I75" s="81" t="n"/>
      <c r="J75" s="81" t="n"/>
      <c r="K75" s="296" t="n"/>
      <c r="L75" s="296" t="n"/>
      <c r="M75" s="81" t="n"/>
      <c r="N75" s="81" t="n"/>
      <c r="O75" s="83" t="n"/>
      <c r="P75" s="81" t="n"/>
      <c r="Q75" s="81" t="n"/>
      <c r="R75" s="81" t="n"/>
      <c r="S75" s="83" t="n"/>
      <c r="T75" s="297" t="n"/>
      <c r="U75" s="297" t="n"/>
      <c r="V75" s="298" t="n"/>
      <c r="W75" s="83" t="n"/>
      <c r="X75" s="83" t="n"/>
      <c r="Y75" s="83" t="n"/>
      <c r="Z75" s="299" t="n"/>
      <c r="AA75" s="297" t="n"/>
      <c r="AB75" s="81" t="n"/>
      <c r="AC75" s="81" t="n"/>
      <c r="AD75" s="81" t="n"/>
      <c r="AE75" s="81" t="n"/>
      <c r="AF75" s="300" t="n"/>
      <c r="AG75" s="297" t="n"/>
      <c r="AH75" s="300" t="n"/>
      <c r="AI75" s="300" t="n"/>
      <c r="AJ75" s="297" t="n"/>
      <c r="AK75" s="81" t="n"/>
      <c r="AL75" s="301" t="n"/>
      <c r="AM75" s="301" t="n"/>
      <c r="AN75" s="301" t="n"/>
      <c r="AO75" s="301" t="n"/>
      <c r="AP75" s="83" t="n"/>
      <c r="AQ75" s="302" t="n"/>
      <c r="AR75" s="302" t="n"/>
      <c r="AS75" s="301" t="n"/>
    </row>
    <row r="76" ht="60" customFormat="1" customHeight="1" s="133">
      <c r="A76" s="81" t="n"/>
      <c r="B76" s="81" t="n"/>
      <c r="C76" s="83" t="n"/>
      <c r="D76" s="83" t="n"/>
      <c r="E76" s="296" t="n"/>
      <c r="F76" s="83" t="n"/>
      <c r="G76" s="296" t="n"/>
      <c r="H76" s="83" t="n"/>
      <c r="I76" s="81" t="n"/>
      <c r="J76" s="81" t="n"/>
      <c r="K76" s="296" t="n"/>
      <c r="L76" s="296" t="n"/>
      <c r="M76" s="81" t="n"/>
      <c r="N76" s="81" t="n"/>
      <c r="O76" s="83" t="n"/>
      <c r="P76" s="81" t="n"/>
      <c r="Q76" s="81" t="n"/>
      <c r="R76" s="81" t="n"/>
      <c r="S76" s="83" t="n"/>
      <c r="T76" s="297" t="n"/>
      <c r="U76" s="297" t="n"/>
      <c r="V76" s="298" t="n"/>
      <c r="W76" s="83" t="n"/>
      <c r="X76" s="83" t="n"/>
      <c r="Y76" s="83" t="n"/>
      <c r="Z76" s="299" t="n"/>
      <c r="AA76" s="297" t="n"/>
      <c r="AB76" s="81" t="n"/>
      <c r="AC76" s="81" t="n"/>
      <c r="AD76" s="81" t="n"/>
      <c r="AE76" s="81" t="n"/>
      <c r="AF76" s="300" t="n"/>
      <c r="AG76" s="297" t="n"/>
      <c r="AH76" s="300" t="n"/>
      <c r="AI76" s="300" t="n"/>
      <c r="AJ76" s="297" t="n"/>
      <c r="AK76" s="81" t="n"/>
      <c r="AL76" s="301" t="n"/>
      <c r="AM76" s="301" t="n"/>
      <c r="AN76" s="301" t="n"/>
      <c r="AO76" s="301" t="n"/>
      <c r="AP76" s="83" t="n"/>
      <c r="AQ76" s="302" t="n"/>
      <c r="AR76" s="302" t="n"/>
      <c r="AS76" s="301" t="n"/>
    </row>
    <row r="77" ht="60" customFormat="1" customHeight="1" s="133">
      <c r="A77" s="81" t="n"/>
      <c r="B77" s="81" t="n"/>
      <c r="C77" s="83" t="n"/>
      <c r="D77" s="83" t="n"/>
      <c r="E77" s="296" t="n"/>
      <c r="F77" s="83" t="n"/>
      <c r="G77" s="296" t="n"/>
      <c r="H77" s="83" t="n"/>
      <c r="I77" s="81" t="n"/>
      <c r="J77" s="81" t="n"/>
      <c r="K77" s="296" t="n"/>
      <c r="L77" s="296" t="n"/>
      <c r="M77" s="81" t="n"/>
      <c r="N77" s="81" t="n"/>
      <c r="O77" s="83" t="n"/>
      <c r="P77" s="81" t="n"/>
      <c r="Q77" s="81" t="n"/>
      <c r="R77" s="81" t="n"/>
      <c r="S77" s="83" t="n"/>
      <c r="T77" s="297" t="n"/>
      <c r="U77" s="297" t="n"/>
      <c r="V77" s="298" t="n"/>
      <c r="W77" s="83" t="n"/>
      <c r="X77" s="83" t="n"/>
      <c r="Y77" s="83" t="n"/>
      <c r="Z77" s="299" t="n"/>
      <c r="AA77" s="297" t="n"/>
      <c r="AB77" s="81" t="n"/>
      <c r="AC77" s="81" t="n"/>
      <c r="AD77" s="81" t="n"/>
      <c r="AE77" s="81" t="n"/>
      <c r="AF77" s="300" t="n"/>
      <c r="AG77" s="297" t="n"/>
      <c r="AH77" s="300" t="n"/>
      <c r="AI77" s="300" t="n"/>
      <c r="AJ77" s="297" t="n"/>
      <c r="AK77" s="81" t="n"/>
      <c r="AL77" s="301" t="n"/>
      <c r="AM77" s="301" t="n"/>
      <c r="AN77" s="301" t="n"/>
      <c r="AO77" s="301" t="n"/>
      <c r="AP77" s="83" t="n"/>
      <c r="AQ77" s="302" t="n"/>
      <c r="AR77" s="302" t="n"/>
      <c r="AS77" s="301" t="n"/>
    </row>
    <row r="78" ht="60" customFormat="1" customHeight="1" s="133">
      <c r="A78" s="81" t="n"/>
      <c r="B78" s="81" t="n"/>
      <c r="C78" s="83" t="n"/>
      <c r="D78" s="83" t="n"/>
      <c r="E78" s="296" t="n"/>
      <c r="F78" s="83" t="n"/>
      <c r="G78" s="296" t="n"/>
      <c r="H78" s="83" t="n"/>
      <c r="I78" s="81" t="n"/>
      <c r="J78" s="81" t="n"/>
      <c r="K78" s="296" t="n"/>
      <c r="L78" s="296" t="n"/>
      <c r="M78" s="81" t="n"/>
      <c r="N78" s="81" t="n"/>
      <c r="O78" s="83" t="n"/>
      <c r="P78" s="81" t="n"/>
      <c r="Q78" s="81" t="n"/>
      <c r="R78" s="81" t="n"/>
      <c r="S78" s="83" t="n"/>
      <c r="T78" s="297" t="n"/>
      <c r="U78" s="297" t="n"/>
      <c r="V78" s="298" t="n"/>
      <c r="W78" s="83" t="n"/>
      <c r="X78" s="83" t="n"/>
      <c r="Y78" s="83" t="n"/>
      <c r="Z78" s="299" t="n"/>
      <c r="AA78" s="297" t="n"/>
      <c r="AB78" s="81" t="n"/>
      <c r="AC78" s="81" t="n"/>
      <c r="AD78" s="81" t="n"/>
      <c r="AE78" s="81" t="n"/>
      <c r="AF78" s="300" t="n"/>
      <c r="AG78" s="297" t="n"/>
      <c r="AH78" s="300" t="n"/>
      <c r="AI78" s="300" t="n"/>
      <c r="AJ78" s="297" t="n"/>
      <c r="AK78" s="81" t="n"/>
      <c r="AL78" s="301" t="n"/>
      <c r="AM78" s="301" t="n"/>
      <c r="AN78" s="301" t="n"/>
      <c r="AO78" s="301" t="n"/>
      <c r="AP78" s="83" t="n"/>
      <c r="AQ78" s="302" t="n"/>
      <c r="AR78" s="302" t="n"/>
      <c r="AS78" s="301" t="n"/>
    </row>
    <row r="79" ht="60" customFormat="1" customHeight="1" s="133">
      <c r="A79" s="81" t="n"/>
      <c r="B79" s="81" t="n"/>
      <c r="C79" s="83" t="n"/>
      <c r="D79" s="83" t="n"/>
      <c r="E79" s="296" t="n"/>
      <c r="F79" s="83" t="n"/>
      <c r="G79" s="296" t="n"/>
      <c r="H79" s="83" t="n"/>
      <c r="I79" s="81" t="n"/>
      <c r="J79" s="81" t="n"/>
      <c r="K79" s="296" t="n"/>
      <c r="L79" s="296" t="n"/>
      <c r="M79" s="81" t="n"/>
      <c r="N79" s="81" t="n"/>
      <c r="O79" s="83" t="n"/>
      <c r="P79" s="81" t="n"/>
      <c r="Q79" s="81" t="n"/>
      <c r="R79" s="81" t="n"/>
      <c r="S79" s="83" t="n"/>
      <c r="T79" s="297" t="n"/>
      <c r="U79" s="297" t="n"/>
      <c r="V79" s="298" t="n"/>
      <c r="W79" s="83" t="n"/>
      <c r="X79" s="83" t="n"/>
      <c r="Y79" s="83" t="n"/>
      <c r="Z79" s="299" t="n"/>
      <c r="AA79" s="297" t="n"/>
      <c r="AB79" s="81" t="n"/>
      <c r="AC79" s="81" t="n"/>
      <c r="AD79" s="81" t="n"/>
      <c r="AE79" s="81" t="n"/>
      <c r="AF79" s="300" t="n"/>
      <c r="AG79" s="297" t="n"/>
      <c r="AH79" s="300" t="n"/>
      <c r="AI79" s="300" t="n"/>
      <c r="AJ79" s="297" t="n"/>
      <c r="AK79" s="81" t="n"/>
      <c r="AL79" s="301" t="n"/>
      <c r="AM79" s="301" t="n"/>
      <c r="AN79" s="301" t="n"/>
      <c r="AO79" s="301" t="n"/>
      <c r="AP79" s="83" t="n"/>
      <c r="AQ79" s="302" t="n"/>
      <c r="AR79" s="302" t="n"/>
      <c r="AS79" s="301" t="n"/>
    </row>
    <row r="80" ht="60" customFormat="1" customHeight="1" s="133">
      <c r="A80" s="81" t="n"/>
      <c r="B80" s="81" t="n"/>
      <c r="C80" s="83" t="n"/>
      <c r="D80" s="83" t="n"/>
      <c r="E80" s="296" t="n"/>
      <c r="F80" s="83" t="n"/>
      <c r="G80" s="296" t="n"/>
      <c r="H80" s="83" t="n"/>
      <c r="I80" s="81" t="n"/>
      <c r="J80" s="81" t="n"/>
      <c r="K80" s="296" t="n"/>
      <c r="L80" s="296" t="n"/>
      <c r="M80" s="81" t="n"/>
      <c r="N80" s="81" t="n"/>
      <c r="O80" s="83" t="n"/>
      <c r="P80" s="81" t="n"/>
      <c r="Q80" s="81" t="n"/>
      <c r="R80" s="81" t="n"/>
      <c r="S80" s="83" t="n"/>
      <c r="T80" s="297" t="n"/>
      <c r="U80" s="297" t="n"/>
      <c r="V80" s="298" t="n"/>
      <c r="W80" s="83" t="n"/>
      <c r="X80" s="83" t="n"/>
      <c r="Y80" s="83" t="n"/>
      <c r="Z80" s="299" t="n"/>
      <c r="AA80" s="297" t="n"/>
      <c r="AB80" s="81" t="n"/>
      <c r="AC80" s="81" t="n"/>
      <c r="AD80" s="81" t="n"/>
      <c r="AE80" s="81" t="n"/>
      <c r="AF80" s="300" t="n"/>
      <c r="AG80" s="297" t="n"/>
      <c r="AH80" s="300" t="n"/>
      <c r="AI80" s="300" t="n"/>
      <c r="AJ80" s="297" t="n"/>
      <c r="AK80" s="81" t="n"/>
      <c r="AL80" s="301" t="n"/>
      <c r="AM80" s="301" t="n"/>
      <c r="AN80" s="301" t="n"/>
      <c r="AO80" s="301" t="n"/>
      <c r="AP80" s="83" t="n"/>
      <c r="AQ80" s="302" t="n"/>
      <c r="AR80" s="302" t="n"/>
      <c r="AS80" s="301" t="n"/>
    </row>
    <row r="81" ht="60" customFormat="1" customHeight="1" s="133">
      <c r="A81" s="81" t="n"/>
      <c r="B81" s="81" t="n"/>
      <c r="C81" s="83" t="n"/>
      <c r="D81" s="83" t="n"/>
      <c r="E81" s="296" t="n"/>
      <c r="F81" s="83" t="n"/>
      <c r="G81" s="296" t="n"/>
      <c r="H81" s="83" t="n"/>
      <c r="I81" s="81" t="n"/>
      <c r="J81" s="81" t="n"/>
      <c r="K81" s="296" t="n"/>
      <c r="L81" s="296" t="n"/>
      <c r="M81" s="81" t="n"/>
      <c r="N81" s="81" t="n"/>
      <c r="O81" s="83" t="n"/>
      <c r="P81" s="81" t="n"/>
      <c r="Q81" s="81" t="n"/>
      <c r="R81" s="81" t="n"/>
      <c r="S81" s="83" t="n"/>
      <c r="T81" s="297" t="n"/>
      <c r="U81" s="297" t="n"/>
      <c r="V81" s="298" t="n"/>
      <c r="W81" s="83" t="n"/>
      <c r="X81" s="83" t="n"/>
      <c r="Y81" s="83" t="n"/>
      <c r="Z81" s="299" t="n"/>
      <c r="AA81" s="297" t="n"/>
      <c r="AB81" s="81" t="n"/>
      <c r="AC81" s="81" t="n"/>
      <c r="AD81" s="81" t="n"/>
      <c r="AE81" s="81" t="n"/>
      <c r="AF81" s="300" t="n"/>
      <c r="AG81" s="297" t="n"/>
      <c r="AH81" s="300" t="n"/>
      <c r="AI81" s="300" t="n"/>
      <c r="AJ81" s="297" t="n"/>
      <c r="AK81" s="81" t="n"/>
      <c r="AL81" s="301" t="n"/>
      <c r="AM81" s="301" t="n"/>
      <c r="AN81" s="301" t="n"/>
      <c r="AO81" s="301" t="n"/>
      <c r="AP81" s="83" t="n"/>
      <c r="AQ81" s="302" t="n"/>
      <c r="AR81" s="302" t="n"/>
      <c r="AS81" s="301" t="n"/>
    </row>
    <row r="82" ht="60" customFormat="1" customHeight="1" s="133">
      <c r="A82" s="81" t="n"/>
      <c r="B82" s="81" t="n"/>
      <c r="C82" s="83" t="n"/>
      <c r="D82" s="83" t="n"/>
      <c r="E82" s="296" t="n"/>
      <c r="F82" s="83" t="n"/>
      <c r="G82" s="296" t="n"/>
      <c r="H82" s="83" t="n"/>
      <c r="I82" s="81" t="n"/>
      <c r="J82" s="81" t="n"/>
      <c r="K82" s="296" t="n"/>
      <c r="L82" s="296" t="n"/>
      <c r="M82" s="81" t="n"/>
      <c r="N82" s="81" t="n"/>
      <c r="O82" s="83" t="n"/>
      <c r="P82" s="81" t="n"/>
      <c r="Q82" s="81" t="n"/>
      <c r="R82" s="81" t="n"/>
      <c r="S82" s="83" t="n"/>
      <c r="T82" s="297" t="n"/>
      <c r="U82" s="297" t="n"/>
      <c r="V82" s="298" t="n"/>
      <c r="W82" s="83" t="n"/>
      <c r="X82" s="83" t="n"/>
      <c r="Y82" s="83" t="n"/>
      <c r="Z82" s="299" t="n"/>
      <c r="AA82" s="297" t="n"/>
      <c r="AB82" s="81" t="n"/>
      <c r="AC82" s="81" t="n"/>
      <c r="AD82" s="81" t="n"/>
      <c r="AE82" s="81" t="n"/>
      <c r="AF82" s="300" t="n"/>
      <c r="AG82" s="297" t="n"/>
      <c r="AH82" s="300" t="n"/>
      <c r="AI82" s="300" t="n"/>
      <c r="AJ82" s="297" t="n"/>
      <c r="AK82" s="81" t="n"/>
      <c r="AL82" s="301" t="n"/>
      <c r="AM82" s="301" t="n"/>
      <c r="AN82" s="301" t="n"/>
      <c r="AO82" s="301" t="n"/>
      <c r="AP82" s="83" t="n"/>
      <c r="AQ82" s="302" t="n"/>
      <c r="AR82" s="302" t="n"/>
      <c r="AS82" s="301" t="n"/>
    </row>
    <row r="83" ht="60" customFormat="1" customHeight="1" s="133">
      <c r="A83" s="81" t="n"/>
      <c r="B83" s="81" t="n"/>
      <c r="C83" s="83" t="n"/>
      <c r="D83" s="83" t="n"/>
      <c r="E83" s="296" t="n"/>
      <c r="F83" s="83" t="n"/>
      <c r="G83" s="296" t="n"/>
      <c r="H83" s="83" t="n"/>
      <c r="I83" s="81" t="n"/>
      <c r="J83" s="81" t="n"/>
      <c r="K83" s="296" t="n"/>
      <c r="L83" s="296" t="n"/>
      <c r="M83" s="81" t="n"/>
      <c r="N83" s="81" t="n"/>
      <c r="O83" s="83" t="n"/>
      <c r="P83" s="81" t="n"/>
      <c r="Q83" s="81" t="n"/>
      <c r="R83" s="81" t="n"/>
      <c r="S83" s="83" t="n"/>
      <c r="T83" s="297" t="n"/>
      <c r="U83" s="297" t="n"/>
      <c r="V83" s="298" t="n"/>
      <c r="W83" s="83" t="n"/>
      <c r="X83" s="83" t="n"/>
      <c r="Y83" s="83" t="n"/>
      <c r="Z83" s="299" t="n"/>
      <c r="AA83" s="297" t="n"/>
      <c r="AB83" s="81" t="n"/>
      <c r="AC83" s="81" t="n"/>
      <c r="AD83" s="81" t="n"/>
      <c r="AE83" s="81" t="n"/>
      <c r="AF83" s="300" t="n"/>
      <c r="AG83" s="297" t="n"/>
      <c r="AH83" s="300" t="n"/>
      <c r="AI83" s="300" t="n"/>
      <c r="AJ83" s="297" t="n"/>
      <c r="AK83" s="81" t="n"/>
      <c r="AL83" s="301" t="n"/>
      <c r="AM83" s="301" t="n"/>
      <c r="AN83" s="301" t="n"/>
      <c r="AO83" s="301" t="n"/>
      <c r="AP83" s="83" t="n"/>
      <c r="AQ83" s="302" t="n"/>
      <c r="AR83" s="302" t="n"/>
      <c r="AS83" s="301" t="n"/>
    </row>
    <row r="84" ht="60" customFormat="1" customHeight="1" s="133">
      <c r="A84" s="81" t="n"/>
      <c r="B84" s="81" t="n"/>
      <c r="C84" s="83" t="n"/>
      <c r="D84" s="83" t="n"/>
      <c r="E84" s="296" t="n"/>
      <c r="F84" s="83" t="n"/>
      <c r="G84" s="296" t="n"/>
      <c r="H84" s="83" t="n"/>
      <c r="I84" s="81" t="n"/>
      <c r="J84" s="81" t="n"/>
      <c r="K84" s="296" t="n"/>
      <c r="L84" s="296" t="n"/>
      <c r="M84" s="81" t="n"/>
      <c r="N84" s="81" t="n"/>
      <c r="O84" s="83" t="n"/>
      <c r="P84" s="81" t="n"/>
      <c r="Q84" s="81" t="n"/>
      <c r="R84" s="81" t="n"/>
      <c r="S84" s="83" t="n"/>
      <c r="T84" s="297" t="n"/>
      <c r="U84" s="297" t="n"/>
      <c r="V84" s="298" t="n"/>
      <c r="W84" s="83" t="n"/>
      <c r="X84" s="83" t="n"/>
      <c r="Y84" s="83" t="n"/>
      <c r="Z84" s="299" t="n"/>
      <c r="AA84" s="297" t="n"/>
      <c r="AB84" s="81" t="n"/>
      <c r="AC84" s="81" t="n"/>
      <c r="AD84" s="81" t="n"/>
      <c r="AE84" s="81" t="n"/>
      <c r="AF84" s="300" t="n"/>
      <c r="AG84" s="297" t="n"/>
      <c r="AH84" s="300" t="n"/>
      <c r="AI84" s="300" t="n"/>
      <c r="AJ84" s="297" t="n"/>
      <c r="AK84" s="81" t="n"/>
      <c r="AL84" s="301" t="n"/>
      <c r="AM84" s="301" t="n"/>
      <c r="AN84" s="301" t="n"/>
      <c r="AO84" s="301" t="n"/>
      <c r="AP84" s="83" t="n"/>
      <c r="AQ84" s="302" t="n"/>
      <c r="AR84" s="302" t="n"/>
      <c r="AS84" s="301" t="n"/>
    </row>
    <row r="85" ht="60" customFormat="1" customHeight="1" s="133">
      <c r="A85" s="81" t="n"/>
      <c r="B85" s="81" t="n"/>
      <c r="C85" s="83" t="n"/>
      <c r="D85" s="83" t="n"/>
      <c r="E85" s="296" t="n"/>
      <c r="F85" s="83" t="n"/>
      <c r="G85" s="296" t="n"/>
      <c r="H85" s="83" t="n"/>
      <c r="I85" s="81" t="n"/>
      <c r="J85" s="81" t="n"/>
      <c r="K85" s="296" t="n"/>
      <c r="L85" s="296" t="n"/>
      <c r="M85" s="81" t="n"/>
      <c r="N85" s="81" t="n"/>
      <c r="O85" s="83" t="n"/>
      <c r="P85" s="81" t="n"/>
      <c r="Q85" s="81" t="n"/>
      <c r="R85" s="81" t="n"/>
      <c r="S85" s="83" t="n"/>
      <c r="T85" s="297" t="n"/>
      <c r="U85" s="297" t="n"/>
      <c r="V85" s="298" t="n"/>
      <c r="W85" s="83" t="n"/>
      <c r="X85" s="83" t="n"/>
      <c r="Y85" s="83" t="n"/>
      <c r="Z85" s="299" t="n"/>
      <c r="AA85" s="297" t="n"/>
      <c r="AB85" s="81" t="n"/>
      <c r="AC85" s="81" t="n"/>
      <c r="AD85" s="81" t="n"/>
      <c r="AE85" s="81" t="n"/>
      <c r="AF85" s="300" t="n"/>
      <c r="AG85" s="297" t="n"/>
      <c r="AH85" s="300" t="n"/>
      <c r="AI85" s="300" t="n"/>
      <c r="AJ85" s="297" t="n"/>
      <c r="AK85" s="81" t="n"/>
      <c r="AL85" s="301" t="n"/>
      <c r="AM85" s="301" t="n"/>
      <c r="AN85" s="301" t="n"/>
      <c r="AO85" s="301" t="n"/>
      <c r="AP85" s="83" t="n"/>
      <c r="AQ85" s="302" t="n"/>
      <c r="AR85" s="302" t="n"/>
      <c r="AS85" s="301" t="n"/>
    </row>
    <row r="86" ht="60" customFormat="1" customHeight="1" s="133">
      <c r="A86" s="81" t="n"/>
      <c r="B86" s="81" t="n"/>
      <c r="C86" s="83" t="n"/>
      <c r="D86" s="83" t="n"/>
      <c r="E86" s="296" t="n"/>
      <c r="F86" s="83" t="n"/>
      <c r="G86" s="296" t="n"/>
      <c r="H86" s="83" t="n"/>
      <c r="I86" s="81" t="n"/>
      <c r="J86" s="81" t="n"/>
      <c r="K86" s="296" t="n"/>
      <c r="L86" s="296" t="n"/>
      <c r="M86" s="81" t="n"/>
      <c r="N86" s="81" t="n"/>
      <c r="O86" s="83" t="n"/>
      <c r="P86" s="81" t="n"/>
      <c r="Q86" s="81" t="n"/>
      <c r="R86" s="81" t="n"/>
      <c r="S86" s="83" t="n"/>
      <c r="T86" s="297" t="n"/>
      <c r="U86" s="297" t="n"/>
      <c r="V86" s="298" t="n"/>
      <c r="W86" s="83" t="n"/>
      <c r="X86" s="83" t="n"/>
      <c r="Y86" s="83" t="n"/>
      <c r="Z86" s="299" t="n"/>
      <c r="AA86" s="297" t="n"/>
      <c r="AB86" s="81" t="n"/>
      <c r="AC86" s="81" t="n"/>
      <c r="AD86" s="81" t="n"/>
      <c r="AE86" s="81" t="n"/>
      <c r="AF86" s="300" t="n"/>
      <c r="AG86" s="297" t="n"/>
      <c r="AH86" s="300" t="n"/>
      <c r="AI86" s="300" t="n"/>
      <c r="AJ86" s="297" t="n"/>
      <c r="AK86" s="81" t="n"/>
      <c r="AL86" s="301" t="n"/>
      <c r="AM86" s="301" t="n"/>
      <c r="AN86" s="301" t="n"/>
      <c r="AO86" s="301" t="n"/>
      <c r="AP86" s="83" t="n"/>
      <c r="AQ86" s="302" t="n"/>
      <c r="AR86" s="302" t="n"/>
      <c r="AS86" s="301" t="n"/>
    </row>
    <row r="87" ht="60" customFormat="1" customHeight="1" s="133">
      <c r="A87" s="81" t="n"/>
      <c r="B87" s="81" t="n"/>
      <c r="C87" s="83" t="n"/>
      <c r="D87" s="83" t="n"/>
      <c r="E87" s="296" t="n"/>
      <c r="F87" s="83" t="n"/>
      <c r="G87" s="296" t="n"/>
      <c r="H87" s="83" t="n"/>
      <c r="I87" s="81" t="n"/>
      <c r="J87" s="81" t="n"/>
      <c r="K87" s="296" t="n"/>
      <c r="L87" s="296" t="n"/>
      <c r="M87" s="81" t="n"/>
      <c r="N87" s="81" t="n"/>
      <c r="O87" s="83" t="n"/>
      <c r="P87" s="81" t="n"/>
      <c r="Q87" s="81" t="n"/>
      <c r="R87" s="81" t="n"/>
      <c r="S87" s="83" t="n"/>
      <c r="T87" s="297" t="n"/>
      <c r="U87" s="297" t="n"/>
      <c r="V87" s="298" t="n"/>
      <c r="W87" s="83" t="n"/>
      <c r="X87" s="83" t="n"/>
      <c r="Y87" s="83" t="n"/>
      <c r="Z87" s="299" t="n"/>
      <c r="AA87" s="297" t="n"/>
      <c r="AB87" s="81" t="n"/>
      <c r="AC87" s="81" t="n"/>
      <c r="AD87" s="81" t="n"/>
      <c r="AE87" s="81" t="n"/>
      <c r="AF87" s="300" t="n"/>
      <c r="AG87" s="297" t="n"/>
      <c r="AH87" s="300" t="n"/>
      <c r="AI87" s="300" t="n"/>
      <c r="AJ87" s="297" t="n"/>
      <c r="AK87" s="81" t="n"/>
      <c r="AL87" s="301" t="n"/>
      <c r="AM87" s="301" t="n"/>
      <c r="AN87" s="301" t="n"/>
      <c r="AO87" s="301" t="n"/>
      <c r="AP87" s="83" t="n"/>
      <c r="AQ87" s="302" t="n"/>
      <c r="AR87" s="302" t="n"/>
      <c r="AS87" s="301" t="n"/>
    </row>
    <row r="88" ht="60" customFormat="1" customHeight="1" s="133">
      <c r="A88" s="81" t="n"/>
      <c r="B88" s="81" t="n"/>
      <c r="C88" s="83" t="n"/>
      <c r="D88" s="83" t="n"/>
      <c r="E88" s="296" t="n"/>
      <c r="F88" s="83" t="n"/>
      <c r="G88" s="296" t="n"/>
      <c r="H88" s="83" t="n"/>
      <c r="I88" s="81" t="n"/>
      <c r="J88" s="81" t="n"/>
      <c r="K88" s="296" t="n"/>
      <c r="L88" s="296" t="n"/>
      <c r="M88" s="81" t="n"/>
      <c r="N88" s="81" t="n"/>
      <c r="O88" s="83" t="n"/>
      <c r="P88" s="81" t="n"/>
      <c r="Q88" s="81" t="n"/>
      <c r="R88" s="81" t="n"/>
      <c r="S88" s="83" t="n"/>
      <c r="T88" s="297" t="n"/>
      <c r="U88" s="297" t="n"/>
      <c r="V88" s="298" t="n"/>
      <c r="W88" s="83" t="n"/>
      <c r="X88" s="83" t="n"/>
      <c r="Y88" s="83" t="n"/>
      <c r="Z88" s="299" t="n"/>
      <c r="AA88" s="297" t="n"/>
      <c r="AB88" s="81" t="n"/>
      <c r="AC88" s="81" t="n"/>
      <c r="AD88" s="81" t="n"/>
      <c r="AE88" s="81" t="n"/>
      <c r="AF88" s="300" t="n"/>
      <c r="AG88" s="297" t="n"/>
      <c r="AH88" s="300" t="n"/>
      <c r="AI88" s="300" t="n"/>
      <c r="AJ88" s="297" t="n"/>
      <c r="AK88" s="81" t="n"/>
      <c r="AL88" s="301" t="n"/>
      <c r="AM88" s="301" t="n"/>
      <c r="AN88" s="301" t="n"/>
      <c r="AO88" s="301" t="n"/>
      <c r="AP88" s="83" t="n"/>
      <c r="AQ88" s="302" t="n"/>
      <c r="AR88" s="302" t="n"/>
      <c r="AS88" s="301" t="n"/>
    </row>
    <row r="89" ht="60" customFormat="1" customHeight="1" s="133">
      <c r="A89" s="81" t="n"/>
      <c r="B89" s="81" t="n"/>
      <c r="C89" s="83" t="n"/>
      <c r="D89" s="83" t="n"/>
      <c r="E89" s="296" t="n"/>
      <c r="F89" s="83" t="n"/>
      <c r="G89" s="296" t="n"/>
      <c r="H89" s="83" t="n"/>
      <c r="I89" s="81" t="n"/>
      <c r="J89" s="81" t="n"/>
      <c r="K89" s="296" t="n"/>
      <c r="L89" s="296" t="n"/>
      <c r="M89" s="81" t="n"/>
      <c r="N89" s="81" t="n"/>
      <c r="O89" s="83" t="n"/>
      <c r="P89" s="81" t="n"/>
      <c r="Q89" s="81" t="n"/>
      <c r="R89" s="81" t="n"/>
      <c r="S89" s="83" t="n"/>
      <c r="T89" s="297" t="n"/>
      <c r="U89" s="297" t="n"/>
      <c r="V89" s="298" t="n"/>
      <c r="W89" s="83" t="n"/>
      <c r="X89" s="83" t="n"/>
      <c r="Y89" s="83" t="n"/>
      <c r="Z89" s="299" t="n"/>
      <c r="AA89" s="297" t="n"/>
      <c r="AB89" s="81" t="n"/>
      <c r="AC89" s="81" t="n"/>
      <c r="AD89" s="81" t="n"/>
      <c r="AE89" s="81" t="n"/>
      <c r="AF89" s="300" t="n"/>
      <c r="AG89" s="297" t="n"/>
      <c r="AH89" s="300" t="n"/>
      <c r="AI89" s="300" t="n"/>
      <c r="AJ89" s="297" t="n"/>
      <c r="AK89" s="81" t="n"/>
      <c r="AL89" s="301" t="n"/>
      <c r="AM89" s="301" t="n"/>
      <c r="AN89" s="301" t="n"/>
      <c r="AO89" s="301" t="n"/>
      <c r="AP89" s="83" t="n"/>
      <c r="AQ89" s="302" t="n"/>
      <c r="AR89" s="302" t="n"/>
      <c r="AS89" s="301" t="n"/>
    </row>
    <row r="90" ht="60" customFormat="1" customHeight="1" s="133">
      <c r="A90" s="81" t="n"/>
      <c r="B90" s="81" t="n"/>
      <c r="C90" s="83" t="n"/>
      <c r="D90" s="83" t="n"/>
      <c r="E90" s="296" t="n"/>
      <c r="F90" s="83" t="n"/>
      <c r="G90" s="296" t="n"/>
      <c r="H90" s="83" t="n"/>
      <c r="I90" s="81" t="n"/>
      <c r="J90" s="81" t="n"/>
      <c r="K90" s="296" t="n"/>
      <c r="L90" s="296" t="n"/>
      <c r="M90" s="81" t="n"/>
      <c r="N90" s="81" t="n"/>
      <c r="O90" s="83" t="n"/>
      <c r="P90" s="81" t="n"/>
      <c r="Q90" s="81" t="n"/>
      <c r="R90" s="81" t="n"/>
      <c r="S90" s="83" t="n"/>
      <c r="T90" s="297" t="n"/>
      <c r="U90" s="297" t="n"/>
      <c r="V90" s="298" t="n"/>
      <c r="W90" s="83" t="n"/>
      <c r="X90" s="83" t="n"/>
      <c r="Y90" s="83" t="n"/>
      <c r="Z90" s="299" t="n"/>
      <c r="AA90" s="297" t="n"/>
      <c r="AB90" s="81" t="n"/>
      <c r="AC90" s="81" t="n"/>
      <c r="AD90" s="81" t="n"/>
      <c r="AE90" s="81" t="n"/>
      <c r="AF90" s="300" t="n"/>
      <c r="AG90" s="297" t="n"/>
      <c r="AH90" s="300" t="n"/>
      <c r="AI90" s="300" t="n"/>
      <c r="AJ90" s="297" t="n"/>
      <c r="AK90" s="81" t="n"/>
      <c r="AL90" s="301" t="n"/>
      <c r="AM90" s="301" t="n"/>
      <c r="AN90" s="301" t="n"/>
      <c r="AO90" s="301" t="n"/>
      <c r="AP90" s="83" t="n"/>
      <c r="AQ90" s="302" t="n"/>
      <c r="AR90" s="302" t="n"/>
      <c r="AS90" s="301" t="n"/>
    </row>
    <row r="91" ht="60" customFormat="1" customHeight="1" s="133">
      <c r="A91" s="81" t="n"/>
      <c r="B91" s="81" t="n"/>
      <c r="C91" s="83" t="n"/>
      <c r="D91" s="83" t="n"/>
      <c r="E91" s="296" t="n"/>
      <c r="F91" s="83" t="n"/>
      <c r="G91" s="296" t="n"/>
      <c r="H91" s="83" t="n"/>
      <c r="I91" s="81" t="n"/>
      <c r="J91" s="81" t="n"/>
      <c r="K91" s="296" t="n"/>
      <c r="L91" s="296" t="n"/>
      <c r="M91" s="81" t="n"/>
      <c r="N91" s="81" t="n"/>
      <c r="O91" s="83" t="n"/>
      <c r="P91" s="81" t="n"/>
      <c r="Q91" s="81" t="n"/>
      <c r="R91" s="81" t="n"/>
      <c r="S91" s="83" t="n"/>
      <c r="T91" s="297" t="n"/>
      <c r="U91" s="297" t="n"/>
      <c r="V91" s="298" t="n"/>
      <c r="W91" s="83" t="n"/>
      <c r="X91" s="83" t="n"/>
      <c r="Y91" s="83" t="n"/>
      <c r="Z91" s="299" t="n"/>
      <c r="AA91" s="297" t="n"/>
      <c r="AB91" s="81" t="n"/>
      <c r="AC91" s="81" t="n"/>
      <c r="AD91" s="81" t="n"/>
      <c r="AE91" s="81" t="n"/>
      <c r="AF91" s="300" t="n"/>
      <c r="AG91" s="297" t="n"/>
      <c r="AH91" s="300" t="n"/>
      <c r="AI91" s="300" t="n"/>
      <c r="AJ91" s="297" t="n"/>
      <c r="AK91" s="81" t="n"/>
      <c r="AL91" s="301" t="n"/>
      <c r="AM91" s="301" t="n"/>
      <c r="AN91" s="301" t="n"/>
      <c r="AO91" s="301" t="n"/>
      <c r="AP91" s="83" t="n"/>
      <c r="AQ91" s="302" t="n"/>
      <c r="AR91" s="302" t="n"/>
      <c r="AS91" s="301" t="n"/>
    </row>
    <row r="92" outlineLevel="1" ht="60" customFormat="1" customHeight="1" s="133">
      <c r="A92" s="81" t="n"/>
      <c r="B92" s="81" t="n"/>
      <c r="C92" s="83" t="n"/>
      <c r="D92" s="83" t="n"/>
      <c r="E92" s="296" t="n"/>
      <c r="F92" s="83" t="n"/>
      <c r="G92" s="296" t="n"/>
      <c r="H92" s="83" t="n"/>
      <c r="I92" s="81" t="n"/>
      <c r="J92" s="81" t="n"/>
      <c r="K92" s="296" t="n"/>
      <c r="L92" s="296" t="n"/>
      <c r="M92" s="81" t="n"/>
      <c r="N92" s="81" t="n"/>
      <c r="O92" s="83" t="n"/>
      <c r="P92" s="81" t="n"/>
      <c r="Q92" s="81" t="n"/>
      <c r="R92" s="81" t="n"/>
      <c r="S92" s="83" t="n"/>
      <c r="T92" s="297" t="n"/>
      <c r="U92" s="297" t="n"/>
      <c r="V92" s="298" t="n"/>
      <c r="W92" s="83" t="n"/>
      <c r="X92" s="83" t="n"/>
      <c r="Y92" s="83" t="n"/>
      <c r="Z92" s="299" t="n"/>
      <c r="AA92" s="297" t="n"/>
      <c r="AB92" s="81" t="n"/>
      <c r="AC92" s="81" t="n"/>
      <c r="AD92" s="81" t="n"/>
      <c r="AE92" s="81" t="n"/>
      <c r="AF92" s="300" t="n"/>
      <c r="AG92" s="297" t="n"/>
      <c r="AH92" s="300" t="n"/>
      <c r="AI92" s="300" t="n"/>
      <c r="AJ92" s="297" t="n"/>
      <c r="AK92" s="81" t="n"/>
      <c r="AL92" s="301" t="n"/>
      <c r="AM92" s="301" t="n"/>
      <c r="AN92" s="301" t="n"/>
      <c r="AO92" s="301" t="n"/>
      <c r="AP92" s="83" t="n"/>
      <c r="AQ92" s="302" t="n"/>
      <c r="AR92" s="302" t="n"/>
      <c r="AS92" s="301" t="n"/>
    </row>
    <row r="93" outlineLevel="1" ht="60" customFormat="1" customHeight="1" s="133">
      <c r="A93" s="81" t="n"/>
      <c r="B93" s="81" t="n"/>
      <c r="C93" s="83" t="n"/>
      <c r="D93" s="83" t="n"/>
      <c r="E93" s="296" t="n"/>
      <c r="F93" s="83" t="n"/>
      <c r="G93" s="296" t="n"/>
      <c r="H93" s="83" t="n"/>
      <c r="I93" s="81" t="n"/>
      <c r="J93" s="81" t="n"/>
      <c r="K93" s="296" t="n"/>
      <c r="L93" s="296" t="n"/>
      <c r="M93" s="81" t="n"/>
      <c r="N93" s="81" t="n"/>
      <c r="O93" s="83" t="n"/>
      <c r="P93" s="81" t="n"/>
      <c r="Q93" s="81" t="n"/>
      <c r="R93" s="81" t="n"/>
      <c r="S93" s="83" t="n"/>
      <c r="T93" s="297" t="n"/>
      <c r="U93" s="297" t="n"/>
      <c r="V93" s="298" t="n"/>
      <c r="W93" s="83" t="n"/>
      <c r="X93" s="83" t="n"/>
      <c r="Y93" s="83" t="n"/>
      <c r="Z93" s="299" t="n"/>
      <c r="AA93" s="297" t="n"/>
      <c r="AB93" s="81" t="n"/>
      <c r="AC93" s="81" t="n"/>
      <c r="AD93" s="81" t="n"/>
      <c r="AE93" s="81" t="n"/>
      <c r="AF93" s="300" t="n"/>
      <c r="AG93" s="297" t="n"/>
      <c r="AH93" s="300" t="n"/>
      <c r="AI93" s="300" t="n"/>
      <c r="AJ93" s="297" t="n"/>
      <c r="AK93" s="81" t="n"/>
      <c r="AL93" s="301" t="n"/>
      <c r="AM93" s="301" t="n"/>
      <c r="AN93" s="301" t="n"/>
      <c r="AO93" s="301" t="n"/>
      <c r="AP93" s="83" t="n"/>
      <c r="AQ93" s="302" t="n"/>
      <c r="AR93" s="302" t="n"/>
      <c r="AS93" s="301" t="n"/>
    </row>
    <row r="94" ht="60" customFormat="1" customHeight="1" s="133">
      <c r="A94" s="81" t="n"/>
      <c r="B94" s="81" t="n"/>
      <c r="C94" s="83" t="n"/>
      <c r="D94" s="83" t="n"/>
      <c r="E94" s="296" t="n"/>
      <c r="F94" s="83" t="n"/>
      <c r="G94" s="296" t="n"/>
      <c r="H94" s="83" t="n"/>
      <c r="I94" s="81" t="n"/>
      <c r="J94" s="81" t="n"/>
      <c r="K94" s="296" t="n"/>
      <c r="L94" s="296" t="n"/>
      <c r="M94" s="81" t="n"/>
      <c r="N94" s="81" t="n"/>
      <c r="O94" s="83" t="n"/>
      <c r="P94" s="81" t="n"/>
      <c r="Q94" s="81" t="n"/>
      <c r="R94" s="81" t="n"/>
      <c r="S94" s="83" t="n"/>
      <c r="T94" s="297" t="n"/>
      <c r="U94" s="297" t="n"/>
      <c r="V94" s="298" t="n"/>
      <c r="W94" s="83" t="n"/>
      <c r="X94" s="83" t="n"/>
      <c r="Y94" s="83" t="n"/>
      <c r="Z94" s="299" t="n"/>
      <c r="AA94" s="297" t="n"/>
      <c r="AB94" s="81" t="n"/>
      <c r="AC94" s="81" t="n"/>
      <c r="AD94" s="81" t="n"/>
      <c r="AE94" s="81" t="n"/>
      <c r="AF94" s="300" t="n"/>
      <c r="AG94" s="297" t="n"/>
      <c r="AH94" s="300" t="n"/>
      <c r="AI94" s="300" t="n"/>
      <c r="AJ94" s="297" t="n"/>
      <c r="AK94" s="81" t="n"/>
      <c r="AL94" s="301" t="n"/>
      <c r="AM94" s="301" t="n"/>
      <c r="AN94" s="301" t="n"/>
      <c r="AO94" s="301" t="n"/>
      <c r="AP94" s="83" t="n"/>
      <c r="AQ94" s="302" t="n"/>
      <c r="AR94" s="302" t="n"/>
      <c r="AS94" s="301" t="n"/>
    </row>
    <row r="95" outlineLevel="1" ht="60" customFormat="1" customHeight="1" s="133">
      <c r="A95" s="81" t="n"/>
      <c r="B95" s="81" t="n"/>
      <c r="C95" s="83" t="n"/>
      <c r="D95" s="83" t="n"/>
      <c r="E95" s="296" t="n"/>
      <c r="F95" s="83" t="n"/>
      <c r="G95" s="296" t="n"/>
      <c r="H95" s="83" t="n"/>
      <c r="I95" s="81" t="n"/>
      <c r="J95" s="81" t="n"/>
      <c r="K95" s="296" t="n"/>
      <c r="L95" s="296" t="n"/>
      <c r="M95" s="81" t="n"/>
      <c r="N95" s="81" t="n"/>
      <c r="O95" s="83" t="n"/>
      <c r="P95" s="81" t="n"/>
      <c r="Q95" s="81" t="n"/>
      <c r="R95" s="81" t="n"/>
      <c r="S95" s="83" t="n"/>
      <c r="T95" s="297" t="n"/>
      <c r="U95" s="297" t="n"/>
      <c r="V95" s="298" t="n"/>
      <c r="W95" s="83" t="n"/>
      <c r="X95" s="83" t="n"/>
      <c r="Y95" s="83" t="n"/>
      <c r="Z95" s="299" t="n"/>
      <c r="AA95" s="297" t="n"/>
      <c r="AB95" s="81" t="n"/>
      <c r="AC95" s="81" t="n"/>
      <c r="AD95" s="81" t="n"/>
      <c r="AE95" s="81" t="n"/>
      <c r="AF95" s="300" t="n"/>
      <c r="AG95" s="297" t="n"/>
      <c r="AH95" s="300" t="n"/>
      <c r="AI95" s="300" t="n"/>
      <c r="AJ95" s="297" t="n"/>
      <c r="AK95" s="81" t="n"/>
      <c r="AL95" s="301" t="n"/>
      <c r="AM95" s="301" t="n"/>
      <c r="AN95" s="301" t="n"/>
      <c r="AO95" s="301" t="n"/>
      <c r="AP95" s="83" t="n"/>
      <c r="AQ95" s="302" t="n"/>
      <c r="AR95" s="302" t="n"/>
      <c r="AS95" s="301" t="n"/>
    </row>
    <row r="96" ht="60" customFormat="1" customHeight="1" s="133">
      <c r="A96" s="81" t="n"/>
      <c r="B96" s="81" t="n"/>
      <c r="C96" s="83" t="n"/>
      <c r="D96" s="83" t="n"/>
      <c r="E96" s="296" t="n"/>
      <c r="F96" s="83" t="n"/>
      <c r="G96" s="296" t="n"/>
      <c r="H96" s="83" t="n"/>
      <c r="I96" s="81" t="n"/>
      <c r="J96" s="81" t="n"/>
      <c r="K96" s="296" t="n"/>
      <c r="L96" s="296" t="n"/>
      <c r="M96" s="81" t="n"/>
      <c r="N96" s="81" t="n"/>
      <c r="O96" s="83" t="n"/>
      <c r="P96" s="81" t="n"/>
      <c r="Q96" s="81" t="n"/>
      <c r="R96" s="81" t="n"/>
      <c r="S96" s="83" t="n"/>
      <c r="T96" s="297" t="n"/>
      <c r="U96" s="297" t="n"/>
      <c r="V96" s="298" t="n"/>
      <c r="W96" s="83" t="n"/>
      <c r="X96" s="83" t="n"/>
      <c r="Y96" s="83" t="n"/>
      <c r="Z96" s="299" t="n"/>
      <c r="AA96" s="297" t="n"/>
      <c r="AB96" s="81" t="n"/>
      <c r="AC96" s="81" t="n"/>
      <c r="AD96" s="81" t="n"/>
      <c r="AE96" s="81" t="n"/>
      <c r="AF96" s="300" t="n"/>
      <c r="AG96" s="297" t="n"/>
      <c r="AH96" s="300" t="n"/>
      <c r="AI96" s="300" t="n"/>
      <c r="AJ96" s="297" t="n"/>
      <c r="AK96" s="81" t="n"/>
      <c r="AL96" s="301" t="n"/>
      <c r="AM96" s="301" t="n"/>
      <c r="AN96" s="301" t="n"/>
      <c r="AO96" s="301" t="n"/>
      <c r="AP96" s="83" t="n"/>
      <c r="AQ96" s="302" t="n"/>
      <c r="AR96" s="302" t="n"/>
      <c r="AS96" s="301" t="n"/>
    </row>
    <row r="97" outlineLevel="1" ht="60" customFormat="1" customHeight="1" s="133">
      <c r="A97" s="81" t="n"/>
      <c r="B97" s="81" t="n"/>
      <c r="C97" s="83" t="n"/>
      <c r="D97" s="83" t="n"/>
      <c r="E97" s="296" t="n"/>
      <c r="F97" s="83" t="n"/>
      <c r="G97" s="296" t="n"/>
      <c r="H97" s="83" t="n"/>
      <c r="I97" s="81" t="n"/>
      <c r="J97" s="81" t="n"/>
      <c r="K97" s="296" t="n"/>
      <c r="L97" s="296" t="n"/>
      <c r="M97" s="81" t="n"/>
      <c r="N97" s="81" t="n"/>
      <c r="O97" s="83" t="n"/>
      <c r="P97" s="81" t="n"/>
      <c r="Q97" s="81" t="n"/>
      <c r="R97" s="81" t="n"/>
      <c r="S97" s="83" t="n"/>
      <c r="T97" s="297" t="n"/>
      <c r="U97" s="297" t="n"/>
      <c r="V97" s="298" t="n"/>
      <c r="W97" s="83" t="n"/>
      <c r="X97" s="83" t="n"/>
      <c r="Y97" s="83" t="n"/>
      <c r="Z97" s="299" t="n"/>
      <c r="AA97" s="297" t="n"/>
      <c r="AB97" s="81" t="n"/>
      <c r="AC97" s="81" t="n"/>
      <c r="AD97" s="81" t="n"/>
      <c r="AE97" s="81" t="n"/>
      <c r="AF97" s="300" t="n"/>
      <c r="AG97" s="297" t="n"/>
      <c r="AH97" s="300" t="n"/>
      <c r="AI97" s="300" t="n"/>
      <c r="AJ97" s="297" t="n"/>
      <c r="AK97" s="81" t="n"/>
      <c r="AL97" s="301" t="n"/>
      <c r="AM97" s="301" t="n"/>
      <c r="AN97" s="301" t="n"/>
      <c r="AO97" s="301" t="n"/>
      <c r="AP97" s="83" t="n"/>
      <c r="AQ97" s="302" t="n"/>
      <c r="AR97" s="302" t="n"/>
      <c r="AS97" s="301" t="n"/>
    </row>
    <row r="98" ht="60" customFormat="1" customHeight="1" s="133">
      <c r="A98" s="81" t="n"/>
      <c r="B98" s="81" t="n"/>
      <c r="C98" s="83" t="n"/>
      <c r="D98" s="83" t="n"/>
      <c r="E98" s="296" t="n"/>
      <c r="F98" s="83" t="n"/>
      <c r="G98" s="296" t="n"/>
      <c r="H98" s="83" t="n"/>
      <c r="I98" s="81" t="n"/>
      <c r="J98" s="81" t="n"/>
      <c r="K98" s="296" t="n"/>
      <c r="L98" s="296" t="n"/>
      <c r="M98" s="81" t="n"/>
      <c r="N98" s="81" t="n"/>
      <c r="O98" s="83" t="n"/>
      <c r="P98" s="81" t="n"/>
      <c r="Q98" s="81" t="n"/>
      <c r="R98" s="81" t="n"/>
      <c r="S98" s="83" t="n"/>
      <c r="T98" s="297" t="n"/>
      <c r="U98" s="297" t="n"/>
      <c r="V98" s="298" t="n"/>
      <c r="W98" s="83" t="n"/>
      <c r="X98" s="83" t="n"/>
      <c r="Y98" s="83" t="n"/>
      <c r="Z98" s="299" t="n"/>
      <c r="AA98" s="297" t="n"/>
      <c r="AB98" s="81" t="n"/>
      <c r="AC98" s="81" t="n"/>
      <c r="AD98" s="81" t="n"/>
      <c r="AE98" s="81" t="n"/>
      <c r="AF98" s="300" t="n"/>
      <c r="AG98" s="297" t="n"/>
      <c r="AH98" s="300" t="n"/>
      <c r="AI98" s="300" t="n"/>
      <c r="AJ98" s="297" t="n"/>
      <c r="AK98" s="81" t="n"/>
      <c r="AL98" s="301" t="n"/>
      <c r="AM98" s="301" t="n"/>
      <c r="AN98" s="301" t="n"/>
      <c r="AO98" s="301" t="n"/>
      <c r="AP98" s="83" t="n"/>
      <c r="AQ98" s="302" t="n"/>
      <c r="AR98" s="302" t="n"/>
      <c r="AS98" s="301" t="n"/>
    </row>
    <row r="99" ht="60" customFormat="1" customHeight="1" s="133">
      <c r="A99" s="81" t="n"/>
      <c r="B99" s="81" t="n"/>
      <c r="C99" s="83" t="n"/>
      <c r="D99" s="83" t="n"/>
      <c r="E99" s="296" t="n"/>
      <c r="F99" s="83" t="n"/>
      <c r="G99" s="296" t="n"/>
      <c r="H99" s="83" t="n"/>
      <c r="I99" s="81" t="n"/>
      <c r="J99" s="81" t="n"/>
      <c r="K99" s="296" t="n"/>
      <c r="L99" s="296" t="n"/>
      <c r="M99" s="81" t="n"/>
      <c r="N99" s="81" t="n"/>
      <c r="O99" s="83" t="n"/>
      <c r="P99" s="81" t="n"/>
      <c r="Q99" s="81" t="n"/>
      <c r="R99" s="81" t="n"/>
      <c r="S99" s="83" t="n"/>
      <c r="T99" s="297" t="n"/>
      <c r="U99" s="297" t="n"/>
      <c r="V99" s="298" t="n"/>
      <c r="W99" s="83" t="n"/>
      <c r="X99" s="83" t="n"/>
      <c r="Y99" s="83" t="n"/>
      <c r="Z99" s="299" t="n"/>
      <c r="AA99" s="297" t="n"/>
      <c r="AB99" s="81" t="n"/>
      <c r="AC99" s="81" t="n"/>
      <c r="AD99" s="81" t="n"/>
      <c r="AE99" s="81" t="n"/>
      <c r="AF99" s="300" t="n"/>
      <c r="AG99" s="297" t="n"/>
      <c r="AH99" s="300" t="n"/>
      <c r="AI99" s="300" t="n"/>
      <c r="AJ99" s="297" t="n"/>
      <c r="AK99" s="81" t="n"/>
      <c r="AL99" s="301" t="n"/>
      <c r="AM99" s="301" t="n"/>
      <c r="AN99" s="301" t="n"/>
      <c r="AO99" s="301" t="n"/>
      <c r="AP99" s="83" t="n"/>
      <c r="AQ99" s="302" t="n"/>
      <c r="AR99" s="302" t="n"/>
      <c r="AS99" s="301" t="n"/>
    </row>
    <row r="100" ht="60" customFormat="1" customHeight="1" s="133">
      <c r="A100" s="81" t="n"/>
      <c r="B100" s="81" t="n"/>
      <c r="C100" s="83" t="n"/>
      <c r="D100" s="83" t="n"/>
      <c r="E100" s="296" t="n"/>
      <c r="F100" s="83" t="n"/>
      <c r="G100" s="296" t="n"/>
      <c r="H100" s="83" t="n"/>
      <c r="I100" s="81" t="n"/>
      <c r="J100" s="81" t="n"/>
      <c r="K100" s="296" t="n"/>
      <c r="L100" s="296" t="n"/>
      <c r="M100" s="81" t="n"/>
      <c r="N100" s="81" t="n"/>
      <c r="O100" s="83" t="n"/>
      <c r="P100" s="81" t="n"/>
      <c r="Q100" s="81" t="n"/>
      <c r="R100" s="81" t="n"/>
      <c r="S100" s="83" t="n"/>
      <c r="T100" s="297" t="n"/>
      <c r="U100" s="297" t="n"/>
      <c r="V100" s="298" t="n"/>
      <c r="W100" s="83" t="n"/>
      <c r="X100" s="83" t="n"/>
      <c r="Y100" s="83" t="n"/>
      <c r="Z100" s="299" t="n"/>
      <c r="AA100" s="297" t="n"/>
      <c r="AB100" s="81" t="n"/>
      <c r="AC100" s="81" t="n"/>
      <c r="AD100" s="81" t="n"/>
      <c r="AE100" s="81" t="n"/>
      <c r="AF100" s="300" t="n"/>
      <c r="AG100" s="297" t="n"/>
      <c r="AH100" s="300" t="n"/>
      <c r="AI100" s="300" t="n"/>
      <c r="AJ100" s="297" t="n"/>
      <c r="AK100" s="81" t="n"/>
      <c r="AL100" s="301" t="n"/>
      <c r="AM100" s="301" t="n"/>
      <c r="AN100" s="301" t="n"/>
      <c r="AO100" s="301" t="n"/>
      <c r="AP100" s="83" t="n"/>
      <c r="AQ100" s="302" t="n"/>
      <c r="AR100" s="302" t="n"/>
      <c r="AS100" s="301" t="n"/>
    </row>
    <row r="101" ht="60" customFormat="1" customHeight="1" s="133">
      <c r="A101" s="81" t="n"/>
      <c r="B101" s="81" t="n"/>
      <c r="C101" s="83" t="n"/>
      <c r="D101" s="83" t="n"/>
      <c r="E101" s="296" t="n"/>
      <c r="F101" s="83" t="n"/>
      <c r="G101" s="296" t="n"/>
      <c r="H101" s="83" t="n"/>
      <c r="I101" s="81" t="n"/>
      <c r="J101" s="81" t="n"/>
      <c r="K101" s="296" t="n"/>
      <c r="L101" s="296" t="n"/>
      <c r="M101" s="81" t="n"/>
      <c r="N101" s="81" t="n"/>
      <c r="O101" s="83" t="n"/>
      <c r="P101" s="81" t="n"/>
      <c r="Q101" s="81" t="n"/>
      <c r="R101" s="81" t="n"/>
      <c r="S101" s="83" t="n"/>
      <c r="T101" s="297" t="n"/>
      <c r="U101" s="297" t="n"/>
      <c r="V101" s="298" t="n"/>
      <c r="W101" s="83" t="n"/>
      <c r="X101" s="83" t="n"/>
      <c r="Y101" s="83" t="n"/>
      <c r="Z101" s="299" t="n"/>
      <c r="AA101" s="297" t="n"/>
      <c r="AB101" s="81" t="n"/>
      <c r="AC101" s="81" t="n"/>
      <c r="AD101" s="81" t="n"/>
      <c r="AE101" s="81" t="n"/>
      <c r="AF101" s="300" t="n"/>
      <c r="AG101" s="297" t="n"/>
      <c r="AH101" s="300" t="n"/>
      <c r="AI101" s="300" t="n"/>
      <c r="AJ101" s="297" t="n"/>
      <c r="AK101" s="81" t="n"/>
      <c r="AL101" s="301" t="n"/>
      <c r="AM101" s="301" t="n"/>
      <c r="AN101" s="301" t="n"/>
      <c r="AO101" s="301" t="n"/>
      <c r="AP101" s="83" t="n"/>
      <c r="AQ101" s="302" t="n"/>
      <c r="AR101" s="302" t="n"/>
      <c r="AS101" s="301" t="n"/>
    </row>
    <row r="102" outlineLevel="1" ht="60" customFormat="1" customHeight="1" s="133">
      <c r="A102" s="81" t="n"/>
      <c r="B102" s="81" t="n"/>
      <c r="C102" s="83" t="n"/>
      <c r="D102" s="83" t="n"/>
      <c r="E102" s="296" t="n"/>
      <c r="F102" s="83" t="n"/>
      <c r="G102" s="296" t="n"/>
      <c r="H102" s="83" t="n"/>
      <c r="I102" s="81" t="n"/>
      <c r="J102" s="81" t="n"/>
      <c r="K102" s="296" t="n"/>
      <c r="L102" s="296" t="n"/>
      <c r="M102" s="81" t="n"/>
      <c r="N102" s="81" t="n"/>
      <c r="O102" s="83" t="n"/>
      <c r="P102" s="81" t="n"/>
      <c r="Q102" s="81" t="n"/>
      <c r="R102" s="81" t="n"/>
      <c r="S102" s="83" t="n"/>
      <c r="T102" s="297" t="n"/>
      <c r="U102" s="297" t="n"/>
      <c r="V102" s="298" t="n"/>
      <c r="W102" s="83" t="n"/>
      <c r="X102" s="83" t="n"/>
      <c r="Y102" s="83" t="n"/>
      <c r="Z102" s="299" t="n"/>
      <c r="AA102" s="297" t="n"/>
      <c r="AB102" s="81" t="n"/>
      <c r="AC102" s="81" t="n"/>
      <c r="AD102" s="81" t="n"/>
      <c r="AE102" s="81" t="n"/>
      <c r="AF102" s="300" t="n"/>
      <c r="AG102" s="297" t="n"/>
      <c r="AH102" s="300" t="n"/>
      <c r="AI102" s="300" t="n"/>
      <c r="AJ102" s="297" t="n"/>
      <c r="AK102" s="81" t="n"/>
      <c r="AL102" s="301" t="n"/>
      <c r="AM102" s="301" t="n"/>
      <c r="AN102" s="301" t="n"/>
      <c r="AO102" s="301" t="n"/>
      <c r="AP102" s="83" t="n"/>
      <c r="AQ102" s="302" t="n"/>
      <c r="AR102" s="302" t="n"/>
      <c r="AS102" s="301" t="n"/>
    </row>
    <row r="103" ht="60" customFormat="1" customHeight="1" s="133">
      <c r="A103" s="81" t="n"/>
      <c r="B103" s="81" t="n"/>
      <c r="C103" s="83" t="n"/>
      <c r="D103" s="83" t="n"/>
      <c r="E103" s="296" t="n"/>
      <c r="F103" s="83" t="n"/>
      <c r="G103" s="296" t="n"/>
      <c r="H103" s="83" t="n"/>
      <c r="I103" s="81" t="n"/>
      <c r="J103" s="81" t="n"/>
      <c r="K103" s="296" t="n"/>
      <c r="L103" s="296" t="n"/>
      <c r="M103" s="81" t="n"/>
      <c r="N103" s="81" t="n"/>
      <c r="O103" s="83" t="n"/>
      <c r="P103" s="81" t="n"/>
      <c r="Q103" s="81" t="n"/>
      <c r="R103" s="81" t="n"/>
      <c r="S103" s="83" t="n"/>
      <c r="T103" s="297" t="n"/>
      <c r="U103" s="297" t="n"/>
      <c r="V103" s="298" t="n"/>
      <c r="W103" s="83" t="n"/>
      <c r="X103" s="83" t="n"/>
      <c r="Y103" s="83" t="n"/>
      <c r="Z103" s="299" t="n"/>
      <c r="AA103" s="297" t="n"/>
      <c r="AB103" s="81" t="n"/>
      <c r="AC103" s="81" t="n"/>
      <c r="AD103" s="81" t="n"/>
      <c r="AE103" s="81" t="n"/>
      <c r="AF103" s="300" t="n"/>
      <c r="AG103" s="297" t="n"/>
      <c r="AH103" s="300" t="n"/>
      <c r="AI103" s="300" t="n"/>
      <c r="AJ103" s="297" t="n"/>
      <c r="AK103" s="81" t="n"/>
      <c r="AL103" s="301" t="n"/>
      <c r="AM103" s="301" t="n"/>
      <c r="AN103" s="301" t="n"/>
      <c r="AO103" s="301" t="n"/>
      <c r="AP103" s="83" t="n"/>
      <c r="AQ103" s="302" t="n"/>
      <c r="AR103" s="302" t="n"/>
      <c r="AS103" s="301" t="n"/>
    </row>
    <row r="104" outlineLevel="1" ht="60" customFormat="1" customHeight="1" s="133">
      <c r="A104" s="81" t="n"/>
      <c r="B104" s="81" t="n"/>
      <c r="C104" s="83" t="n"/>
      <c r="D104" s="83" t="n"/>
      <c r="E104" s="296" t="n"/>
      <c r="F104" s="83" t="n"/>
      <c r="G104" s="296" t="n"/>
      <c r="H104" s="83" t="n"/>
      <c r="I104" s="81" t="n"/>
      <c r="J104" s="81" t="n"/>
      <c r="K104" s="296" t="n"/>
      <c r="L104" s="296" t="n"/>
      <c r="M104" s="81" t="n"/>
      <c r="N104" s="81" t="n"/>
      <c r="O104" s="83" t="n"/>
      <c r="P104" s="81" t="n"/>
      <c r="Q104" s="81" t="n"/>
      <c r="R104" s="81" t="n"/>
      <c r="S104" s="83" t="n"/>
      <c r="T104" s="297" t="n"/>
      <c r="U104" s="297" t="n"/>
      <c r="V104" s="298" t="n"/>
      <c r="W104" s="83" t="n"/>
      <c r="X104" s="83" t="n"/>
      <c r="Y104" s="83" t="n"/>
      <c r="Z104" s="299" t="n"/>
      <c r="AA104" s="297" t="n"/>
      <c r="AB104" s="81" t="n"/>
      <c r="AC104" s="81" t="n"/>
      <c r="AD104" s="81" t="n"/>
      <c r="AE104" s="81" t="n"/>
      <c r="AF104" s="300" t="n"/>
      <c r="AG104" s="297" t="n"/>
      <c r="AH104" s="300" t="n"/>
      <c r="AI104" s="300" t="n"/>
      <c r="AJ104" s="297" t="n"/>
      <c r="AK104" s="81" t="n"/>
      <c r="AL104" s="301" t="n"/>
      <c r="AM104" s="301" t="n"/>
      <c r="AN104" s="301" t="n"/>
      <c r="AO104" s="301" t="n"/>
      <c r="AP104" s="83" t="n"/>
      <c r="AQ104" s="302" t="n"/>
      <c r="AR104" s="302" t="n"/>
      <c r="AS104" s="301" t="n"/>
    </row>
    <row r="105" outlineLevel="1" ht="60" customFormat="1" customHeight="1" s="133">
      <c r="A105" s="81" t="n"/>
      <c r="B105" s="81" t="n"/>
      <c r="C105" s="83" t="n"/>
      <c r="D105" s="83" t="n"/>
      <c r="E105" s="296" t="n"/>
      <c r="F105" s="83" t="n"/>
      <c r="G105" s="296" t="n"/>
      <c r="H105" s="83" t="n"/>
      <c r="I105" s="81" t="n"/>
      <c r="J105" s="81" t="n"/>
      <c r="K105" s="296" t="n"/>
      <c r="L105" s="296" t="n"/>
      <c r="M105" s="81" t="n"/>
      <c r="N105" s="81" t="n"/>
      <c r="O105" s="83" t="n"/>
      <c r="P105" s="81" t="n"/>
      <c r="Q105" s="81" t="n"/>
      <c r="R105" s="81" t="n"/>
      <c r="S105" s="83" t="n"/>
      <c r="T105" s="297" t="n"/>
      <c r="U105" s="297" t="n"/>
      <c r="V105" s="298" t="n"/>
      <c r="W105" s="83" t="n"/>
      <c r="X105" s="83" t="n"/>
      <c r="Y105" s="83" t="n"/>
      <c r="Z105" s="299" t="n"/>
      <c r="AA105" s="297" t="n"/>
      <c r="AB105" s="81" t="n"/>
      <c r="AC105" s="81" t="n"/>
      <c r="AD105" s="81" t="n"/>
      <c r="AE105" s="81" t="n"/>
      <c r="AF105" s="300" t="n"/>
      <c r="AG105" s="297" t="n"/>
      <c r="AH105" s="300" t="n"/>
      <c r="AI105" s="300" t="n"/>
      <c r="AJ105" s="297" t="n"/>
      <c r="AK105" s="81" t="n"/>
      <c r="AL105" s="301" t="n"/>
      <c r="AM105" s="301" t="n"/>
      <c r="AN105" s="301" t="n"/>
      <c r="AO105" s="301" t="n"/>
      <c r="AP105" s="83" t="n"/>
      <c r="AQ105" s="302" t="n"/>
      <c r="AR105" s="302" t="n"/>
      <c r="AS105" s="301" t="n"/>
    </row>
    <row r="106" ht="61.5" customFormat="1" customHeight="1" s="295">
      <c r="A106" s="81" t="n"/>
      <c r="B106" s="81" t="n"/>
      <c r="C106" s="83" t="n"/>
      <c r="D106" s="83" t="n"/>
      <c r="E106" s="296" t="n"/>
      <c r="F106" s="83" t="n"/>
      <c r="G106" s="296" t="n"/>
      <c r="H106" s="83" t="n"/>
      <c r="I106" s="81" t="n"/>
      <c r="J106" s="81" t="n"/>
      <c r="K106" s="296" t="n"/>
      <c r="L106" s="296" t="n"/>
      <c r="M106" s="81" t="n"/>
      <c r="N106" s="81" t="n"/>
      <c r="O106" s="83" t="n"/>
      <c r="P106" s="81" t="n"/>
      <c r="Q106" s="81" t="n"/>
      <c r="R106" s="81" t="n"/>
      <c r="S106" s="83" t="n"/>
      <c r="T106" s="297" t="n"/>
      <c r="U106" s="297" t="n"/>
      <c r="V106" s="298" t="n"/>
      <c r="W106" s="83" t="n"/>
      <c r="X106" s="83" t="n"/>
      <c r="Y106" s="83" t="n"/>
      <c r="Z106" s="299" t="n"/>
      <c r="AA106" s="297" t="n"/>
      <c r="AB106" s="81" t="n"/>
      <c r="AC106" s="81" t="n"/>
      <c r="AD106" s="81" t="n"/>
      <c r="AE106" s="81" t="n"/>
      <c r="AF106" s="300" t="n"/>
      <c r="AG106" s="297" t="n"/>
      <c r="AH106" s="300" t="n"/>
      <c r="AI106" s="300" t="n"/>
      <c r="AJ106" s="297" t="n"/>
      <c r="AK106" s="81" t="n"/>
      <c r="AL106" s="301" t="n"/>
      <c r="AM106" s="301" t="n"/>
      <c r="AN106" s="301" t="n"/>
      <c r="AO106" s="301" t="n"/>
      <c r="AP106" s="83" t="n"/>
      <c r="AQ106" s="302" t="n"/>
      <c r="AR106" s="302" t="n"/>
      <c r="AS106" s="301" t="n"/>
    </row>
    <row r="107" ht="61.5" customFormat="1" customHeight="1" s="295">
      <c r="A107" s="81" t="n"/>
      <c r="B107" s="81" t="n"/>
      <c r="C107" s="83" t="n"/>
      <c r="D107" s="83" t="n"/>
      <c r="E107" s="296" t="n"/>
      <c r="F107" s="83" t="n"/>
      <c r="G107" s="296" t="n"/>
      <c r="H107" s="83" t="n"/>
      <c r="I107" s="81" t="n"/>
      <c r="J107" s="81" t="n"/>
      <c r="K107" s="296" t="n"/>
      <c r="L107" s="296" t="n"/>
      <c r="M107" s="81" t="n"/>
      <c r="N107" s="81" t="n"/>
      <c r="O107" s="83" t="n"/>
      <c r="P107" s="81" t="n"/>
      <c r="Q107" s="81" t="n"/>
      <c r="R107" s="81" t="n"/>
      <c r="S107" s="83" t="n"/>
      <c r="T107" s="297" t="n"/>
      <c r="U107" s="297" t="n"/>
      <c r="V107" s="298" t="n"/>
      <c r="W107" s="83" t="n"/>
      <c r="X107" s="83" t="n"/>
      <c r="Y107" s="83" t="n"/>
      <c r="Z107" s="299" t="n"/>
      <c r="AA107" s="297" t="n"/>
      <c r="AB107" s="81" t="n"/>
      <c r="AC107" s="81" t="n"/>
      <c r="AD107" s="81" t="n"/>
      <c r="AE107" s="81" t="n"/>
      <c r="AF107" s="300" t="n"/>
      <c r="AG107" s="297" t="n"/>
      <c r="AH107" s="300" t="n"/>
      <c r="AI107" s="300" t="n"/>
      <c r="AJ107" s="297" t="n"/>
      <c r="AK107" s="81" t="n"/>
      <c r="AL107" s="301" t="n"/>
      <c r="AM107" s="301" t="n"/>
      <c r="AN107" s="301" t="n"/>
      <c r="AO107" s="301" t="n"/>
      <c r="AP107" s="83" t="n"/>
      <c r="AQ107" s="302" t="n"/>
      <c r="AR107" s="302" t="n"/>
      <c r="AS107" s="301" t="n"/>
    </row>
    <row r="108" ht="61.5" customFormat="1" customHeight="1" s="295">
      <c r="A108" s="81" t="n"/>
      <c r="B108" s="81" t="n"/>
      <c r="C108" s="83" t="n"/>
      <c r="D108" s="83" t="n"/>
      <c r="E108" s="296" t="n"/>
      <c r="F108" s="83" t="n"/>
      <c r="G108" s="296" t="n"/>
      <c r="H108" s="83" t="n"/>
      <c r="I108" s="81" t="n"/>
      <c r="J108" s="81" t="n"/>
      <c r="K108" s="296" t="n"/>
      <c r="L108" s="296" t="n"/>
      <c r="M108" s="81" t="n"/>
      <c r="N108" s="81" t="n"/>
      <c r="O108" s="83" t="n"/>
      <c r="P108" s="81" t="n"/>
      <c r="Q108" s="81" t="n"/>
      <c r="R108" s="81" t="n"/>
      <c r="S108" s="83" t="n"/>
      <c r="T108" s="297" t="n"/>
      <c r="U108" s="297" t="n"/>
      <c r="V108" s="298" t="n"/>
      <c r="W108" s="83" t="n"/>
      <c r="X108" s="83" t="n"/>
      <c r="Y108" s="83" t="n"/>
      <c r="Z108" s="299" t="n"/>
      <c r="AA108" s="297" t="n"/>
      <c r="AB108" s="81" t="n"/>
      <c r="AC108" s="81" t="n"/>
      <c r="AD108" s="81" t="n"/>
      <c r="AE108" s="81" t="n"/>
      <c r="AF108" s="300" t="n"/>
      <c r="AG108" s="297" t="n"/>
      <c r="AH108" s="300" t="n"/>
      <c r="AI108" s="300" t="n"/>
      <c r="AJ108" s="297" t="n"/>
      <c r="AK108" s="81" t="n"/>
      <c r="AL108" s="301" t="n"/>
      <c r="AM108" s="301" t="n"/>
      <c r="AN108" s="301" t="n"/>
      <c r="AO108" s="301" t="n"/>
      <c r="AP108" s="83" t="n"/>
      <c r="AQ108" s="302" t="n"/>
      <c r="AR108" s="302" t="n"/>
      <c r="AS108" s="301" t="n"/>
    </row>
    <row r="109" ht="61.5" customFormat="1" customHeight="1" s="295">
      <c r="A109" s="81" t="n"/>
      <c r="B109" s="81" t="n"/>
      <c r="C109" s="83" t="n"/>
      <c r="D109" s="83" t="n"/>
      <c r="E109" s="296" t="n"/>
      <c r="F109" s="83" t="n"/>
      <c r="G109" s="296" t="n"/>
      <c r="H109" s="83" t="n"/>
      <c r="I109" s="81" t="n"/>
      <c r="J109" s="81" t="n"/>
      <c r="K109" s="296" t="n"/>
      <c r="L109" s="296" t="n"/>
      <c r="M109" s="81" t="n"/>
      <c r="N109" s="81" t="n"/>
      <c r="O109" s="83" t="n"/>
      <c r="P109" s="81" t="n"/>
      <c r="Q109" s="81" t="n"/>
      <c r="R109" s="81" t="n"/>
      <c r="S109" s="83" t="n"/>
      <c r="T109" s="297" t="n"/>
      <c r="U109" s="297" t="n"/>
      <c r="V109" s="298" t="n"/>
      <c r="W109" s="83" t="n"/>
      <c r="X109" s="83" t="n"/>
      <c r="Y109" s="83" t="n"/>
      <c r="Z109" s="299" t="n"/>
      <c r="AA109" s="297" t="n"/>
      <c r="AB109" s="81" t="n"/>
      <c r="AC109" s="81" t="n"/>
      <c r="AD109" s="81" t="n"/>
      <c r="AE109" s="81" t="n"/>
      <c r="AF109" s="300" t="n"/>
      <c r="AG109" s="297" t="n"/>
      <c r="AH109" s="300" t="n"/>
      <c r="AI109" s="300" t="n"/>
      <c r="AJ109" s="297" t="n"/>
      <c r="AK109" s="81" t="n"/>
      <c r="AL109" s="301" t="n"/>
      <c r="AM109" s="301" t="n"/>
      <c r="AN109" s="301" t="n"/>
      <c r="AO109" s="301" t="n"/>
      <c r="AP109" s="83" t="n"/>
      <c r="AQ109" s="302" t="n"/>
      <c r="AR109" s="302" t="n"/>
      <c r="AS109" s="301" t="n"/>
    </row>
    <row r="110" ht="61.5" customFormat="1" customHeight="1" s="295">
      <c r="A110" s="81" t="n"/>
      <c r="B110" s="81" t="n"/>
      <c r="C110" s="83" t="n"/>
      <c r="D110" s="83" t="n"/>
      <c r="E110" s="296" t="n"/>
      <c r="F110" s="83" t="n"/>
      <c r="G110" s="296" t="n"/>
      <c r="H110" s="83" t="n"/>
      <c r="I110" s="81" t="n"/>
      <c r="J110" s="81" t="n"/>
      <c r="K110" s="296" t="n"/>
      <c r="L110" s="296" t="n"/>
      <c r="M110" s="81" t="n"/>
      <c r="N110" s="81" t="n"/>
      <c r="O110" s="83" t="n"/>
      <c r="P110" s="81" t="n"/>
      <c r="Q110" s="81" t="n"/>
      <c r="R110" s="81" t="n"/>
      <c r="S110" s="83" t="n"/>
      <c r="T110" s="297" t="n"/>
      <c r="U110" s="297" t="n"/>
      <c r="V110" s="298" t="n"/>
      <c r="W110" s="83" t="n"/>
      <c r="X110" s="83" t="n"/>
      <c r="Y110" s="83" t="n"/>
      <c r="Z110" s="299" t="n"/>
      <c r="AA110" s="297" t="n"/>
      <c r="AB110" s="81" t="n"/>
      <c r="AC110" s="81" t="n"/>
      <c r="AD110" s="81" t="n"/>
      <c r="AE110" s="81" t="n"/>
      <c r="AF110" s="300" t="n"/>
      <c r="AG110" s="297" t="n"/>
      <c r="AH110" s="300" t="n"/>
      <c r="AI110" s="300" t="n"/>
      <c r="AJ110" s="297" t="n"/>
      <c r="AK110" s="81" t="n"/>
      <c r="AL110" s="301" t="n"/>
      <c r="AM110" s="301" t="n"/>
      <c r="AN110" s="301" t="n"/>
      <c r="AO110" s="301" t="n"/>
      <c r="AP110" s="83" t="n"/>
      <c r="AQ110" s="302" t="n"/>
      <c r="AR110" s="302" t="n"/>
      <c r="AS110" s="301" t="n"/>
    </row>
  </sheetData>
  <autoFilter ref="A1:AS162"/>
  <conditionalFormatting sqref="Z1:Z1048576">
    <cfRule type="expression" priority="6" dxfId="5">
      <formula>$W1="Concluído"</formula>
    </cfRule>
    <cfRule type="expression" priority="5" dxfId="4">
      <formula>$X1="Em andamento"</formula>
    </cfRule>
    <cfRule type="expression" priority="4" dxfId="3">
      <formula>$X1="Aguardando Repasse"</formula>
    </cfRule>
    <cfRule type="expression" priority="3" dxfId="2">
      <formula>$X1="Equipamento em aquisição"</formula>
    </cfRule>
    <cfRule type="expression" priority="2" dxfId="1">
      <formula>$X1="Contratado"</formula>
    </cfRule>
    <cfRule type="expression" priority="1" dxfId="0">
      <formula>$X1="Em licitação"</formula>
    </cfRule>
  </conditionalFormatting>
  <dataValidations count="3">
    <dataValidation sqref="AF1:AF4 AF6 AF9:AF1048576" showDropDown="0" showInputMessage="1" showErrorMessage="1" allowBlank="1" type="list">
      <formula1>"Inaugurado, Entregue, Aguardando licença de operação, Treinamento em andamento, Comissionamento, Instalação concluída, Montagem em andamento, Reforma em andamento, Descomissionamento, Aguardando repasse, Licitação aguardando aceite, Em licitação, NI"</formula1>
    </dataValidation>
    <dataValidation sqref="W1:W1048576" showDropDown="0" showInputMessage="1" showErrorMessage="1" allowBlank="1" type="list">
      <formula1>"Concluído, Em execução, Em licitação, Não iniciado, NI"</formula1>
    </dataValidation>
    <dataValidation sqref="X1:X1048576" showDropDown="0" showInputMessage="1" showErrorMessage="1" allowBlank="1" type="list">
      <formula1>"Aguardando repasse, Comissionamento, Concluído, Contratado, Em andamento, Em licitação, Equipamento em aquisição, Equipamento entregue, Não iniciado, NI"</formula1>
    </dataValidation>
  </dataValidations>
  <hyperlinks>
    <hyperlink xmlns:r="http://schemas.openxmlformats.org/officeDocument/2006/relationships" ref="AP2" r:id="rId1"/>
  </hyperlinks>
  <pageMargins left="0.511811024" right="0.511811024" top="0.787401575" bottom="0.787401575" header="0.31496062" footer="0.31496062"/>
</worksheet>
</file>

<file path=xl/worksheets/sheet6.xml><?xml version="1.0" encoding="utf-8"?>
<worksheet xmlns="http://schemas.openxmlformats.org/spreadsheetml/2006/main">
  <sheetPr>
    <outlinePr summaryBelow="1" summaryRight="1"/>
    <pageSetUpPr/>
  </sheetPr>
  <dimension ref="A1:BU14"/>
  <sheetViews>
    <sheetView workbookViewId="0">
      <pane ySplit="1" topLeftCell="H2" activePane="bottomLeft" state="frozen"/>
      <selection pane="bottomLeft" activeCell="L6" sqref="L6"/>
    </sheetView>
  </sheetViews>
  <sheetFormatPr baseColWidth="8" defaultRowHeight="15"/>
  <cols>
    <col width="9.140625" customWidth="1" style="133" min="1" max="2"/>
    <col width="18.28515625" customWidth="1" style="133" min="3" max="3"/>
    <col width="36.5703125" customWidth="1" style="138" min="4" max="4"/>
    <col width="18.85546875" customWidth="1" style="133" min="5" max="5"/>
    <col width="37" customWidth="1" style="138" min="6" max="6"/>
    <col width="9.140625" customWidth="1" style="133" min="7" max="7"/>
    <col width="32.28515625" customWidth="1" style="133" min="8" max="8"/>
    <col width="36.7109375" customWidth="1" style="133" min="9" max="9"/>
    <col width="27.5703125" customWidth="1" style="133" min="10" max="10"/>
    <col width="9.140625" customWidth="1" style="133" min="11" max="14"/>
    <col width="13.85546875" customWidth="1" style="133" min="15" max="15"/>
    <col width="24" customWidth="1" style="133" min="16" max="16"/>
    <col outlineLevel="1" width="28.140625" customWidth="1" style="133" min="17" max="17"/>
    <col outlineLevel="1" width="37.28515625" customWidth="1" style="133" min="18" max="18"/>
    <col outlineLevel="1" width="9.140625" customWidth="1" style="133" min="19" max="19"/>
    <col outlineLevel="1" width="28" customWidth="1" style="133" min="20" max="20"/>
    <col outlineLevel="1" width="9.140625" customWidth="1" style="133" min="21" max="23"/>
    <col outlineLevel="1" width="18.5703125" customWidth="1" style="133" min="24" max="24"/>
    <col outlineLevel="1" width="27.85546875" customWidth="1" style="133" min="25" max="25"/>
    <col outlineLevel="1" width="9.140625" customWidth="1" style="133" min="26" max="32"/>
    <col width="18.42578125" customWidth="1" style="133" min="33" max="34"/>
    <col outlineLevel="1" width="9.140625" customWidth="1" style="133" min="35" max="50"/>
    <col outlineLevel="1" width="18.7109375" customWidth="1" style="133" min="51" max="51"/>
    <col outlineLevel="1" width="18.42578125" customWidth="1" style="133" min="52" max="52"/>
    <col outlineLevel="1" width="19.140625" customWidth="1" style="133" min="53" max="53"/>
    <col outlineLevel="1" width="18.7109375" customWidth="1" style="133" min="54" max="54"/>
    <col outlineLevel="1" width="18.5703125" customWidth="1" style="133" min="55" max="55"/>
    <col outlineLevel="1" width="9.140625" customWidth="1" style="133" min="56" max="59"/>
    <col outlineLevel="1" width="64.7109375" customWidth="1" style="133" min="60" max="60"/>
    <col outlineLevel="1" width="9.140625" customWidth="1" style="133" min="61" max="71"/>
    <col width="18.7109375" customWidth="1" style="133" min="72" max="73"/>
    <col width="9.140625" customWidth="1" style="133" min="74" max="16384"/>
  </cols>
  <sheetData>
    <row r="1" ht="60" customHeight="1">
      <c r="A1" s="87" t="inlineStr">
        <is>
          <t>REGIÃO</t>
        </is>
      </c>
      <c r="B1" s="87" t="inlineStr">
        <is>
          <t>UF</t>
        </is>
      </c>
      <c r="C1" s="87" t="inlineStr">
        <is>
          <t>MUNICIPIO</t>
        </is>
      </c>
      <c r="D1" s="87" t="inlineStr">
        <is>
          <t>PROPONENTE / ENTIDADE</t>
        </is>
      </c>
      <c r="E1" s="88" t="inlineStr">
        <is>
          <t>CNPJ</t>
        </is>
      </c>
      <c r="F1" s="87" t="inlineStr">
        <is>
          <t>UNIDADE ASSISTIDA</t>
        </is>
      </c>
      <c r="G1" s="88" t="inlineStr">
        <is>
          <t>CNES</t>
        </is>
      </c>
      <c r="H1" s="87" t="inlineStr">
        <is>
          <t>LATITUDE</t>
        </is>
      </c>
      <c r="I1" s="87" t="inlineStr">
        <is>
          <t>LONGITUDE</t>
        </is>
      </c>
      <c r="J1" s="87" t="inlineStr">
        <is>
          <t>MODALIDADE - SITE</t>
        </is>
      </c>
      <c r="K1" s="87" t="inlineStr">
        <is>
          <t>TIPO EXECUTOR</t>
        </is>
      </c>
      <c r="L1" s="87" t="inlineStr">
        <is>
          <t>NOME DE SISTEMA FONTE</t>
        </is>
      </c>
      <c r="M1" s="87" t="inlineStr">
        <is>
          <t>TIPO DE CONTRATAÇÃO (Convênio, FAF, TED)</t>
        </is>
      </c>
      <c r="N1" s="87" t="inlineStr">
        <is>
          <t>ANO DO INSTRUMENTO</t>
        </is>
      </c>
      <c r="O1" s="88" t="inlineStr">
        <is>
          <t>REGISTRO/CÓDIGO NO SISTEMA</t>
        </is>
      </c>
      <c r="P1" s="88" t="inlineStr">
        <is>
          <t>N° PROPOSTA SISPRO</t>
        </is>
      </c>
      <c r="Q1" s="88" t="inlineStr">
        <is>
          <t>NUP SEI</t>
        </is>
      </c>
      <c r="R1" s="87" t="inlineStr">
        <is>
          <t xml:space="preserve">COMPONENTE </t>
        </is>
      </c>
      <c r="S1" s="87" t="inlineStr">
        <is>
          <t>FINALIDADE</t>
        </is>
      </c>
      <c r="T1" s="87" t="inlineStr">
        <is>
          <t>TIPO DE EQUIPAMENTO</t>
        </is>
      </c>
      <c r="U1" s="87" t="inlineStr">
        <is>
          <t>META FÍSICA INSTRUMENTO</t>
        </is>
      </c>
      <c r="V1" s="87" t="inlineStr">
        <is>
          <t>META FÍSICA EQUIPAMENTO</t>
        </is>
      </c>
      <c r="W1" s="87" t="inlineStr">
        <is>
          <t>UNIDADE DE MEDIDA</t>
        </is>
      </c>
      <c r="X1" s="87" t="inlineStr">
        <is>
          <t>NATUREZA DO EMPREENDIMENTO</t>
        </is>
      </c>
      <c r="Y1" s="87" t="inlineStr">
        <is>
          <t>ID MODELO NO TRANSFEREGOV</t>
        </is>
      </c>
      <c r="Z1" s="90" t="inlineStr">
        <is>
          <t>ID CASA CIVIL</t>
        </is>
      </c>
      <c r="AA1" s="104" t="inlineStr">
        <is>
          <t>DATA DE ASSINATURA DO INSTRUMENTO (SISPRO /TRANSFEREGOV)</t>
        </is>
      </c>
      <c r="AB1" s="104" t="inlineStr">
        <is>
          <t>TÉRMINO DA VIGÊNCIA DO INSTRUMENTO (SISPRO /TRANSFEREGOV)</t>
        </is>
      </c>
      <c r="AC1" s="104" t="inlineStr">
        <is>
          <t>DATA LIMITE PARA PRESTAÇÃO DE CONTAS DO INSTRUMENTO (SISPRO /TRANSFEREGOV)</t>
        </is>
      </c>
      <c r="AD1" s="90" t="inlineStr">
        <is>
          <t>SITUAÇÃO DA LICITAÇÃO</t>
        </is>
      </c>
      <c r="AE1" s="90" t="inlineStr">
        <is>
          <t>VENCEDORA DA LICITAÇÃO</t>
        </is>
      </c>
      <c r="AF1" s="90" t="inlineStr">
        <is>
          <t>MARCA/MODELO</t>
        </is>
      </c>
      <c r="AG1" s="90" t="inlineStr">
        <is>
          <t>VALOR TOTAL DE INVESTIMENTO (VALOR GLOBAL)</t>
        </is>
      </c>
      <c r="AH1" s="90" t="inlineStr">
        <is>
          <t>VALOR CONTRAPARTIDA</t>
        </is>
      </c>
      <c r="AI1" s="91" t="inlineStr">
        <is>
          <t>DATA BASE ORÇAMENTO</t>
        </is>
      </c>
      <c r="AJ1" s="90" t="inlineStr">
        <is>
          <t>CÓDIGO DA AÇÃO ORÇAMENTÁRIA</t>
        </is>
      </c>
      <c r="AK1" s="90" t="inlineStr">
        <is>
          <t>PLANO ORÇAMENTÁRIO - PO</t>
        </is>
      </c>
      <c r="AL1" s="90" t="inlineStr">
        <is>
          <t>OGU - VALOR INVESTIMENTO PLANEJADO - 2023</t>
        </is>
      </c>
      <c r="AM1" s="90" t="inlineStr">
        <is>
          <t>OGU - VALOR INVESTIMENTO PLANEJADO - 2024</t>
        </is>
      </c>
      <c r="AN1" s="90" t="inlineStr">
        <is>
          <t>OGU - VALOR INVESTIMENTO PLANEJADO - 2025</t>
        </is>
      </c>
      <c r="AO1" s="90" t="inlineStr">
        <is>
          <t>OGU - VALOR INVESTIMENTO PLANEJADO - 2026</t>
        </is>
      </c>
      <c r="AP1" s="90" t="inlineStr">
        <is>
          <t>OGU - VALOR INVESTIMENTO PLANEJADO - APÓS 2026</t>
        </is>
      </c>
      <c r="AQ1" s="90" t="inlineStr">
        <is>
          <t xml:space="preserve"> OGU - VALOR EMPENHADO (LOA) - 2023 </t>
        </is>
      </c>
      <c r="AR1" s="90" t="inlineStr">
        <is>
          <t xml:space="preserve"> OGU - VALOR PAGO/REPASSADO (LOA) - 2023 </t>
        </is>
      </c>
      <c r="AS1" s="90" t="inlineStr">
        <is>
          <t xml:space="preserve"> OGU - VALOR PAGO (RAP) - 2023 </t>
        </is>
      </c>
      <c r="AT1" s="90" t="inlineStr">
        <is>
          <t xml:space="preserve"> ESTATAL - VALOR PAGO - 2023 </t>
        </is>
      </c>
      <c r="AU1" s="90" t="inlineStr">
        <is>
          <t xml:space="preserve"> OGU - VALOR EMPENHADO (LOA) - 2024 </t>
        </is>
      </c>
      <c r="AV1" s="90" t="inlineStr">
        <is>
          <t xml:space="preserve"> OGU - VALOR PAGO/REPASSADO (LOA) - 2024 </t>
        </is>
      </c>
      <c r="AW1" s="90" t="inlineStr">
        <is>
          <t xml:space="preserve"> OGU - VALOR PAGO (RAP) - 2024 </t>
        </is>
      </c>
      <c r="AX1" s="90" t="inlineStr">
        <is>
          <t xml:space="preserve">ESTATAL - VALOR PAGO - 2024 </t>
        </is>
      </c>
      <c r="AY1" s="90" t="inlineStr">
        <is>
          <t>SITUAÇÃO</t>
        </is>
      </c>
      <c r="AZ1" s="90" t="inlineStr">
        <is>
          <t>FASE</t>
        </is>
      </c>
      <c r="BA1" s="90" t="inlineStr">
        <is>
          <t>SITUAÇÃO - SITE</t>
        </is>
      </c>
      <c r="BB1" s="92" t="inlineStr">
        <is>
          <t>EXECUÇÃO FÍSICA (%)</t>
        </is>
      </c>
      <c r="BC1" s="91" t="inlineStr">
        <is>
          <t>PREVISÃO CONCLUSÃO DO EMPREENDIMENTO</t>
        </is>
      </c>
      <c r="BD1" s="90" t="inlineStr">
        <is>
          <t>TÉCNICO RESPONSÁVEL - TITULAR</t>
        </is>
      </c>
      <c r="BE1" s="90" t="inlineStr">
        <is>
          <t>TÉCNICO RESPONSÁVEL - SUPLENTE</t>
        </is>
      </c>
      <c r="BF1" s="90" t="inlineStr">
        <is>
          <t>STATUS DO MONITORAMENTO</t>
        </is>
      </c>
      <c r="BG1" s="815" t="inlineStr">
        <is>
          <t>PREVISÃO DE INAUGURAÇÃO DO EMPREENDIMENTO</t>
        </is>
      </c>
      <c r="BH1" s="87" t="inlineStr">
        <is>
          <t>OBSERVAÇÃO</t>
        </is>
      </c>
      <c r="BI1" s="87" t="inlineStr">
        <is>
          <t>PRÓXIMA ENTREGA PLANEJADA</t>
        </is>
      </c>
      <c r="BJ1" s="87" t="inlineStr">
        <is>
          <t>DATA DA PRÓXIMA ENTREGA PLANEJADA (dd/mm/aaaa)</t>
        </is>
      </c>
      <c r="BK1" s="87" t="inlineStr">
        <is>
          <t>PARALISADO</t>
        </is>
      </c>
      <c r="BL1" s="87" t="inlineStr">
        <is>
          <t>MOTIVO PARALIZAÇÃO</t>
        </is>
      </c>
      <c r="BM1" s="145" t="inlineStr">
        <is>
          <t>ODS</t>
        </is>
      </c>
      <c r="BN1" s="145" t="inlineStr">
        <is>
          <t>ESTADOS PRIORIZADOS PELO AGORA TEM</t>
        </is>
      </c>
      <c r="BO1" s="145" t="inlineStr">
        <is>
          <t>SAÚDE INDÍGENA</t>
        </is>
      </c>
      <c r="BP1" s="145" t="inlineStr">
        <is>
          <t>AMAZÔNIA LEGAL</t>
        </is>
      </c>
      <c r="BQ1" s="145" t="inlineStr">
        <is>
          <t>SECRETARIA RESPONSÁVEL</t>
        </is>
      </c>
      <c r="BR1" s="145" t="inlineStr">
        <is>
          <t>IBGE</t>
        </is>
      </c>
      <c r="BS1" s="145" t="inlineStr">
        <is>
          <t>ABRANGÊNCIA</t>
        </is>
      </c>
      <c r="BT1" s="157" t="inlineStr">
        <is>
          <t>DATA REPASSE FNS/INSTITUIÇÃO</t>
        </is>
      </c>
      <c r="BU1" s="158" t="inlineStr">
        <is>
          <t>VALOR REPASSE FNS</t>
        </is>
      </c>
    </row>
    <row r="2" ht="39.75" customHeight="1">
      <c r="A2" s="34" t="inlineStr">
        <is>
          <t>NORTE</t>
        </is>
      </c>
      <c r="B2" s="34" t="inlineStr">
        <is>
          <t>PA</t>
        </is>
      </c>
      <c r="C2" s="34" t="inlineStr">
        <is>
          <t>BELEM</t>
        </is>
      </c>
      <c r="D2" s="34" t="inlineStr">
        <is>
          <t>FUNDO ESTADUAL DE SAUDE</t>
        </is>
      </c>
      <c r="E2" s="35" t="inlineStr">
        <is>
          <t>83369835000140</t>
        </is>
      </c>
      <c r="F2" s="34" t="inlineStr">
        <is>
          <t>HOSPITAL OPHIR LOYOLA</t>
        </is>
      </c>
      <c r="G2" s="35" t="inlineStr">
        <is>
          <t>2334321</t>
        </is>
      </c>
      <c r="H2" s="125" t="n">
        <v>-1452778</v>
      </c>
      <c r="I2" s="125" t="n">
        <v>-48472222</v>
      </c>
      <c r="J2" s="33" t="inlineStr">
        <is>
          <t>Radioterapia - Aquisição de Equipamentos</t>
        </is>
      </c>
      <c r="K2" s="73" t="inlineStr">
        <is>
          <t>NA</t>
        </is>
      </c>
      <c r="L2" s="73" t="inlineStr">
        <is>
          <t>NA</t>
        </is>
      </c>
      <c r="M2" s="34" t="inlineStr">
        <is>
          <t>FAF</t>
        </is>
      </c>
      <c r="N2" s="34" t="n">
        <v>2022</v>
      </c>
      <c r="O2" s="34" t="inlineStr">
        <is>
          <t>25000.094048/2024-87</t>
        </is>
      </c>
      <c r="P2" s="35" t="inlineStr">
        <is>
          <t>83369835000122067</t>
        </is>
      </c>
      <c r="Q2" s="34" t="inlineStr">
        <is>
          <t>25000.094048/2024-87</t>
        </is>
      </c>
      <c r="R2" s="33" t="inlineStr">
        <is>
          <t>HOSPITAL DE ALTA COMPLEXIDADE</t>
        </is>
      </c>
      <c r="S2" s="33" t="inlineStr">
        <is>
          <t>NA</t>
        </is>
      </c>
      <c r="T2" s="28" t="inlineStr">
        <is>
          <t>Acelerador Linear</t>
        </is>
      </c>
      <c r="U2" s="33" t="n">
        <v>1</v>
      </c>
      <c r="V2" s="33" t="n">
        <v>1</v>
      </c>
      <c r="W2" s="33" t="inlineStr">
        <is>
          <t>UND</t>
        </is>
      </c>
      <c r="X2" s="33" t="inlineStr">
        <is>
          <t>EQUIPAMENTO</t>
        </is>
      </c>
      <c r="Y2" s="33" t="inlineStr">
        <is>
          <t>NA</t>
        </is>
      </c>
      <c r="Z2" s="33" t="inlineStr">
        <is>
          <t>NA</t>
        </is>
      </c>
      <c r="AA2" s="33" t="inlineStr">
        <is>
          <t>NA</t>
        </is>
      </c>
      <c r="AB2" s="33" t="inlineStr">
        <is>
          <t>NA</t>
        </is>
      </c>
      <c r="AC2" s="33" t="inlineStr">
        <is>
          <t>NA</t>
        </is>
      </c>
      <c r="AD2" s="33" t="inlineStr">
        <is>
          <t>NA</t>
        </is>
      </c>
      <c r="AE2" s="33" t="inlineStr">
        <is>
          <t>NA</t>
        </is>
      </c>
      <c r="AF2" s="33" t="inlineStr">
        <is>
          <t>NA</t>
        </is>
      </c>
      <c r="AG2" s="820" t="n">
        <v>10000000</v>
      </c>
      <c r="AH2" s="820" t="n">
        <v>0</v>
      </c>
      <c r="AI2" s="33" t="inlineStr">
        <is>
          <t>NA</t>
        </is>
      </c>
      <c r="AJ2" s="33" t="inlineStr">
        <is>
          <t>NA</t>
        </is>
      </c>
      <c r="AK2" s="33" t="inlineStr">
        <is>
          <t>NA</t>
        </is>
      </c>
      <c r="AL2" s="33" t="inlineStr">
        <is>
          <t>NA</t>
        </is>
      </c>
      <c r="AM2" s="33" t="inlineStr">
        <is>
          <t>NA</t>
        </is>
      </c>
      <c r="AN2" s="33" t="inlineStr">
        <is>
          <t>NA</t>
        </is>
      </c>
      <c r="AO2" s="33" t="inlineStr">
        <is>
          <t>NA</t>
        </is>
      </c>
      <c r="AP2" s="33" t="inlineStr">
        <is>
          <t>NA</t>
        </is>
      </c>
      <c r="AQ2" s="33" t="inlineStr">
        <is>
          <t>NA</t>
        </is>
      </c>
      <c r="AR2" s="33" t="inlineStr">
        <is>
          <t>NA</t>
        </is>
      </c>
      <c r="AS2" s="33" t="inlineStr">
        <is>
          <t>NA</t>
        </is>
      </c>
      <c r="AT2" s="33" t="inlineStr">
        <is>
          <t>NA</t>
        </is>
      </c>
      <c r="AU2" s="33" t="inlineStr">
        <is>
          <t>NA</t>
        </is>
      </c>
      <c r="AV2" s="33" t="inlineStr">
        <is>
          <t>NA</t>
        </is>
      </c>
      <c r="AW2" s="33" t="inlineStr">
        <is>
          <t>NA</t>
        </is>
      </c>
      <c r="AX2" s="33" t="inlineStr">
        <is>
          <t>NA</t>
        </is>
      </c>
      <c r="AY2" s="33" t="inlineStr">
        <is>
          <t>NA</t>
        </is>
      </c>
      <c r="AZ2" s="33" t="inlineStr">
        <is>
          <t>NA</t>
        </is>
      </c>
      <c r="BA2" s="33" t="inlineStr">
        <is>
          <t>NA</t>
        </is>
      </c>
      <c r="BB2" s="33" t="inlineStr">
        <is>
          <t>NA</t>
        </is>
      </c>
      <c r="BC2" s="33" t="inlineStr">
        <is>
          <t>NA</t>
        </is>
      </c>
      <c r="BD2" s="33" t="inlineStr">
        <is>
          <t>NA</t>
        </is>
      </c>
      <c r="BE2" s="33" t="inlineStr">
        <is>
          <t>NA</t>
        </is>
      </c>
      <c r="BF2" s="33" t="inlineStr">
        <is>
          <t>NA</t>
        </is>
      </c>
      <c r="BG2" s="33" t="inlineStr">
        <is>
          <t>NA</t>
        </is>
      </c>
      <c r="BH2" s="174" t="inlineStr">
        <is>
          <t>A entidade estadual pretendia colocar 2 aceleradores em 2 unidades diferentes. Repasse feito dia 12/07/2023. o FAF valia por 24 meses, ainda querem prorrogar mas perderam o prazo.</t>
        </is>
      </c>
      <c r="BI2" s="33" t="inlineStr">
        <is>
          <t>NA</t>
        </is>
      </c>
      <c r="BJ2" s="33" t="inlineStr">
        <is>
          <t>NA</t>
        </is>
      </c>
      <c r="BK2" s="33" t="inlineStr">
        <is>
          <t>NA</t>
        </is>
      </c>
      <c r="BL2" s="33" t="inlineStr">
        <is>
          <t>NA</t>
        </is>
      </c>
      <c r="BM2" s="33" t="inlineStr">
        <is>
          <t>NA</t>
        </is>
      </c>
      <c r="BN2" s="33" t="inlineStr">
        <is>
          <t>NA</t>
        </is>
      </c>
      <c r="BO2" s="33" t="inlineStr">
        <is>
          <t>NA</t>
        </is>
      </c>
      <c r="BP2" s="33" t="inlineStr">
        <is>
          <t>NA</t>
        </is>
      </c>
      <c r="BQ2" s="33" t="inlineStr">
        <is>
          <t>NA</t>
        </is>
      </c>
      <c r="BR2" s="33" t="inlineStr">
        <is>
          <t>NA</t>
        </is>
      </c>
      <c r="BS2" s="33" t="inlineStr">
        <is>
          <t>NA</t>
        </is>
      </c>
      <c r="BT2" s="166" t="n">
        <v>45119</v>
      </c>
      <c r="BU2" s="820" t="n">
        <v>10000000</v>
      </c>
    </row>
    <row r="3" ht="39.75" customHeight="1">
      <c r="A3" s="34" t="inlineStr">
        <is>
          <t>NORTE</t>
        </is>
      </c>
      <c r="B3" s="34" t="inlineStr">
        <is>
          <t>PA</t>
        </is>
      </c>
      <c r="C3" s="34" t="inlineStr">
        <is>
          <t>SANTAREM</t>
        </is>
      </c>
      <c r="D3" s="34" t="inlineStr">
        <is>
          <t>FUNDO ESTADUAL DE SAUDE</t>
        </is>
      </c>
      <c r="E3" s="35" t="inlineStr">
        <is>
          <t>83369835000140</t>
        </is>
      </c>
      <c r="F3" s="34" t="inlineStr">
        <is>
          <t>HOSPITAL REGIONAL DO BAIXO AMAZONAS DO PA DR WALDEMAR PENNA</t>
        </is>
      </c>
      <c r="G3" s="35" t="inlineStr">
        <is>
          <t>5585422</t>
        </is>
      </c>
      <c r="H3" s="125" t="n">
        <v>-2.45185253304316e+16</v>
      </c>
      <c r="I3" s="125" t="n">
        <v>-5.47153097391128e+16</v>
      </c>
      <c r="J3" s="33" t="inlineStr">
        <is>
          <t>Radioterapia - Aquisição de Equipamentos</t>
        </is>
      </c>
      <c r="K3" s="73" t="inlineStr">
        <is>
          <t>NA</t>
        </is>
      </c>
      <c r="L3" s="73" t="inlineStr">
        <is>
          <t>NA</t>
        </is>
      </c>
      <c r="M3" s="34" t="inlineStr">
        <is>
          <t>FAF</t>
        </is>
      </c>
      <c r="N3" s="34" t="n">
        <v>2022</v>
      </c>
      <c r="O3" s="34" t="inlineStr">
        <is>
          <t>25000.094048/2024-87</t>
        </is>
      </c>
      <c r="P3" s="35" t="inlineStr">
        <is>
          <t>83369835000122067</t>
        </is>
      </c>
      <c r="Q3" s="34" t="inlineStr">
        <is>
          <t>25000.094048/2024-87</t>
        </is>
      </c>
      <c r="R3" s="33" t="inlineStr">
        <is>
          <t>HOSPITAL DE ALTA COMPLEXIDADE</t>
        </is>
      </c>
      <c r="S3" s="33" t="inlineStr">
        <is>
          <t>NA</t>
        </is>
      </c>
      <c r="T3" s="28" t="inlineStr">
        <is>
          <t>Acelerador Linear</t>
        </is>
      </c>
      <c r="U3" s="33" t="n">
        <v>1</v>
      </c>
      <c r="V3" s="33" t="n">
        <v>1</v>
      </c>
      <c r="W3" s="33" t="inlineStr">
        <is>
          <t>UND</t>
        </is>
      </c>
      <c r="X3" s="33" t="inlineStr">
        <is>
          <t>EQUIPAMENTO</t>
        </is>
      </c>
      <c r="Y3" s="33" t="inlineStr">
        <is>
          <t>NA</t>
        </is>
      </c>
      <c r="Z3" s="33" t="inlineStr">
        <is>
          <t>NA</t>
        </is>
      </c>
      <c r="AA3" s="33" t="inlineStr">
        <is>
          <t>NA</t>
        </is>
      </c>
      <c r="AB3" s="33" t="inlineStr">
        <is>
          <t>NA</t>
        </is>
      </c>
      <c r="AC3" s="33" t="inlineStr">
        <is>
          <t>NA</t>
        </is>
      </c>
      <c r="AD3" s="33" t="inlineStr">
        <is>
          <t>NA</t>
        </is>
      </c>
      <c r="AE3" s="33" t="inlineStr">
        <is>
          <t>NA</t>
        </is>
      </c>
      <c r="AF3" s="33" t="inlineStr">
        <is>
          <t>NA</t>
        </is>
      </c>
      <c r="AG3" s="820" t="n">
        <v>10000000</v>
      </c>
      <c r="AH3" s="820" t="n">
        <v>0</v>
      </c>
      <c r="AI3" s="33" t="inlineStr">
        <is>
          <t>NA</t>
        </is>
      </c>
      <c r="AJ3" s="33" t="inlineStr">
        <is>
          <t>NA</t>
        </is>
      </c>
      <c r="AK3" s="33" t="inlineStr">
        <is>
          <t>NA</t>
        </is>
      </c>
      <c r="AL3" s="33" t="inlineStr">
        <is>
          <t>NA</t>
        </is>
      </c>
      <c r="AM3" s="33" t="inlineStr">
        <is>
          <t>NA</t>
        </is>
      </c>
      <c r="AN3" s="33" t="inlineStr">
        <is>
          <t>NA</t>
        </is>
      </c>
      <c r="AO3" s="33" t="inlineStr">
        <is>
          <t>NA</t>
        </is>
      </c>
      <c r="AP3" s="33" t="inlineStr">
        <is>
          <t>NA</t>
        </is>
      </c>
      <c r="AQ3" s="33" t="inlineStr">
        <is>
          <t>NA</t>
        </is>
      </c>
      <c r="AR3" s="33" t="inlineStr">
        <is>
          <t>NA</t>
        </is>
      </c>
      <c r="AS3" s="33" t="inlineStr">
        <is>
          <t>NA</t>
        </is>
      </c>
      <c r="AT3" s="33" t="inlineStr">
        <is>
          <t>NA</t>
        </is>
      </c>
      <c r="AU3" s="33" t="inlineStr">
        <is>
          <t>NA</t>
        </is>
      </c>
      <c r="AV3" s="33" t="inlineStr">
        <is>
          <t>NA</t>
        </is>
      </c>
      <c r="AW3" s="33" t="inlineStr">
        <is>
          <t>NA</t>
        </is>
      </c>
      <c r="AX3" s="33" t="inlineStr">
        <is>
          <t>NA</t>
        </is>
      </c>
      <c r="AY3" s="33" t="inlineStr">
        <is>
          <t>NA</t>
        </is>
      </c>
      <c r="AZ3" s="33" t="inlineStr">
        <is>
          <t>NA</t>
        </is>
      </c>
      <c r="BA3" s="33" t="inlineStr">
        <is>
          <t>NA</t>
        </is>
      </c>
      <c r="BB3" s="33" t="inlineStr">
        <is>
          <t>NA</t>
        </is>
      </c>
      <c r="BC3" s="33" t="inlineStr">
        <is>
          <t>NA</t>
        </is>
      </c>
      <c r="BD3" s="33" t="inlineStr">
        <is>
          <t>NA</t>
        </is>
      </c>
      <c r="BE3" s="33" t="inlineStr">
        <is>
          <t>NA</t>
        </is>
      </c>
      <c r="BF3" s="33" t="inlineStr">
        <is>
          <t>NA</t>
        </is>
      </c>
      <c r="BG3" s="33" t="inlineStr">
        <is>
          <t>NA</t>
        </is>
      </c>
      <c r="BH3" s="175" t="inlineStr">
        <is>
          <t>A entidade estadual pretendia colocar 2 aceleradores em 2 unidades diferentes. Repasse feito dia 12/07/2023. o FAF valia por 24 meses, ainda querem prorrogar mas perderam o prazo.</t>
        </is>
      </c>
      <c r="BI3" s="33" t="inlineStr">
        <is>
          <t>NA</t>
        </is>
      </c>
      <c r="BJ3" s="33" t="inlineStr">
        <is>
          <t>NA</t>
        </is>
      </c>
      <c r="BK3" s="33" t="inlineStr">
        <is>
          <t>NA</t>
        </is>
      </c>
      <c r="BL3" s="33" t="inlineStr">
        <is>
          <t>NA</t>
        </is>
      </c>
      <c r="BM3" s="33" t="inlineStr">
        <is>
          <t>NA</t>
        </is>
      </c>
      <c r="BN3" s="33" t="inlineStr">
        <is>
          <t>NA</t>
        </is>
      </c>
      <c r="BO3" s="33" t="inlineStr">
        <is>
          <t>NA</t>
        </is>
      </c>
      <c r="BP3" s="33" t="inlineStr">
        <is>
          <t>NA</t>
        </is>
      </c>
      <c r="BQ3" s="33" t="inlineStr">
        <is>
          <t>NA</t>
        </is>
      </c>
      <c r="BR3" s="33" t="inlineStr">
        <is>
          <t>NA</t>
        </is>
      </c>
      <c r="BS3" s="33" t="inlineStr">
        <is>
          <t>NA</t>
        </is>
      </c>
      <c r="BT3" s="166" t="n">
        <v>45119</v>
      </c>
      <c r="BU3" s="820" t="n">
        <v>10000000</v>
      </c>
    </row>
    <row r="4" ht="39.75" customHeight="1">
      <c r="A4" s="34" t="inlineStr">
        <is>
          <t>NORDESTE</t>
        </is>
      </c>
      <c r="B4" s="34" t="inlineStr">
        <is>
          <t>BA</t>
        </is>
      </c>
      <c r="C4" s="34" t="inlineStr">
        <is>
          <t>SALVADOR</t>
        </is>
      </c>
      <c r="D4" s="34" t="inlineStr">
        <is>
          <t>MONTE TABOR CENTRO ITALO BRASILEIRO DE PROM SANITARIA</t>
        </is>
      </c>
      <c r="E4" s="35" t="inlineStr">
        <is>
          <t>13926639000144</t>
        </is>
      </c>
      <c r="F4" s="34" t="inlineStr">
        <is>
          <t>HOSPITAL SAO RAFAEL S A</t>
        </is>
      </c>
      <c r="G4" s="35" t="inlineStr">
        <is>
          <t>0003808</t>
        </is>
      </c>
      <c r="H4" s="125" t="n">
        <v>-129349054</v>
      </c>
      <c r="I4" s="125" t="n">
        <v>-384253685</v>
      </c>
      <c r="J4" s="33" t="inlineStr">
        <is>
          <t>Radioterapia - Aquisição de Equipamentos</t>
        </is>
      </c>
      <c r="K4" s="34" t="inlineStr">
        <is>
          <t>NA</t>
        </is>
      </c>
      <c r="L4" s="34" t="inlineStr">
        <is>
          <t>NA</t>
        </is>
      </c>
      <c r="M4" s="34" t="inlineStr">
        <is>
          <t>Convênio</t>
        </is>
      </c>
      <c r="N4" s="34" t="n">
        <v>2013</v>
      </c>
      <c r="O4" s="34" t="n">
        <v>798749</v>
      </c>
      <c r="P4" s="34" t="n">
        <v>91392613010</v>
      </c>
      <c r="Q4" s="34" t="inlineStr">
        <is>
          <t>25000.229864/2013-65</t>
        </is>
      </c>
      <c r="R4" s="33" t="inlineStr">
        <is>
          <t>ESTRUTURAÇÃO DE UNIDADE DE ATENÇÃO ESPECIALIZADA</t>
        </is>
      </c>
      <c r="S4" s="33" t="inlineStr">
        <is>
          <t>NA</t>
        </is>
      </c>
      <c r="T4" s="28" t="inlineStr">
        <is>
          <t>Acelerador Linear</t>
        </is>
      </c>
      <c r="U4" s="34" t="n">
        <v>2</v>
      </c>
      <c r="V4" s="34" t="n">
        <v>1</v>
      </c>
      <c r="W4" s="33" t="inlineStr">
        <is>
          <t>UND</t>
        </is>
      </c>
      <c r="X4" s="33" t="inlineStr">
        <is>
          <t>EQUIPAMENTO</t>
        </is>
      </c>
      <c r="Y4" s="33" t="inlineStr">
        <is>
          <t>NA</t>
        </is>
      </c>
      <c r="Z4" s="33" t="inlineStr">
        <is>
          <t>NA</t>
        </is>
      </c>
      <c r="AA4" s="33" t="inlineStr">
        <is>
          <t>NA</t>
        </is>
      </c>
      <c r="AB4" s="33" t="inlineStr">
        <is>
          <t>NA</t>
        </is>
      </c>
      <c r="AC4" s="33" t="inlineStr">
        <is>
          <t>NA</t>
        </is>
      </c>
      <c r="AD4" s="33" t="inlineStr">
        <is>
          <t>NA</t>
        </is>
      </c>
      <c r="AE4" s="33" t="inlineStr">
        <is>
          <t>NA</t>
        </is>
      </c>
      <c r="AF4" s="33" t="inlineStr">
        <is>
          <t>NA</t>
        </is>
      </c>
      <c r="AG4" s="820" t="n">
        <v>3000000</v>
      </c>
      <c r="AH4" s="820" t="n">
        <v>0</v>
      </c>
      <c r="AI4" s="33" t="inlineStr">
        <is>
          <t>NA</t>
        </is>
      </c>
      <c r="AJ4" s="33" t="inlineStr">
        <is>
          <t>NA</t>
        </is>
      </c>
      <c r="AK4" s="33" t="inlineStr">
        <is>
          <t>NA</t>
        </is>
      </c>
      <c r="AL4" s="33" t="inlineStr">
        <is>
          <t>NA</t>
        </is>
      </c>
      <c r="AM4" s="33" t="inlineStr">
        <is>
          <t>NA</t>
        </is>
      </c>
      <c r="AN4" s="33" t="inlineStr">
        <is>
          <t>NA</t>
        </is>
      </c>
      <c r="AO4" s="33" t="inlineStr">
        <is>
          <t>NA</t>
        </is>
      </c>
      <c r="AP4" s="33" t="inlineStr">
        <is>
          <t>NA</t>
        </is>
      </c>
      <c r="AQ4" s="33" t="inlineStr">
        <is>
          <t>NA</t>
        </is>
      </c>
      <c r="AR4" s="33" t="inlineStr">
        <is>
          <t>NA</t>
        </is>
      </c>
      <c r="AS4" s="33" t="inlineStr">
        <is>
          <t>NA</t>
        </is>
      </c>
      <c r="AT4" s="33" t="inlineStr">
        <is>
          <t>NA</t>
        </is>
      </c>
      <c r="AU4" s="33" t="inlineStr">
        <is>
          <t>NA</t>
        </is>
      </c>
      <c r="AV4" s="33" t="inlineStr">
        <is>
          <t>NA</t>
        </is>
      </c>
      <c r="AW4" s="33" t="inlineStr">
        <is>
          <t>NA</t>
        </is>
      </c>
      <c r="AX4" s="33" t="inlineStr">
        <is>
          <t>NA</t>
        </is>
      </c>
      <c r="AY4" s="33" t="inlineStr">
        <is>
          <t>NA</t>
        </is>
      </c>
      <c r="AZ4" s="33" t="inlineStr">
        <is>
          <t>NA</t>
        </is>
      </c>
      <c r="BA4" s="33" t="inlineStr">
        <is>
          <t>NA</t>
        </is>
      </c>
      <c r="BB4" s="33" t="inlineStr">
        <is>
          <t>NA</t>
        </is>
      </c>
      <c r="BC4" s="33" t="inlineStr">
        <is>
          <t>NA</t>
        </is>
      </c>
      <c r="BD4" s="33" t="inlineStr">
        <is>
          <t>NA</t>
        </is>
      </c>
      <c r="BE4" s="33" t="inlineStr">
        <is>
          <t>NA</t>
        </is>
      </c>
      <c r="BF4" s="33" t="inlineStr">
        <is>
          <t>NA</t>
        </is>
      </c>
      <c r="BG4" s="33" t="inlineStr">
        <is>
          <t>NA</t>
        </is>
      </c>
      <c r="BH4" s="175" t="inlineStr">
        <is>
          <t>Não executado, dinheiro devolvido com saldo de aplicação</t>
        </is>
      </c>
      <c r="BI4" s="33" t="inlineStr">
        <is>
          <t>NA</t>
        </is>
      </c>
      <c r="BJ4" s="33" t="inlineStr">
        <is>
          <t>NA</t>
        </is>
      </c>
      <c r="BK4" s="33" t="inlineStr">
        <is>
          <t>NA</t>
        </is>
      </c>
      <c r="BL4" s="33" t="inlineStr">
        <is>
          <t>NA</t>
        </is>
      </c>
      <c r="BM4" s="33" t="inlineStr">
        <is>
          <t>NA</t>
        </is>
      </c>
      <c r="BN4" s="33" t="inlineStr">
        <is>
          <t>NA</t>
        </is>
      </c>
      <c r="BO4" s="33" t="inlineStr">
        <is>
          <t>NA</t>
        </is>
      </c>
      <c r="BP4" s="33" t="inlineStr">
        <is>
          <t>NA</t>
        </is>
      </c>
      <c r="BQ4" s="33" t="inlineStr">
        <is>
          <t>NA</t>
        </is>
      </c>
      <c r="BR4" s="33" t="inlineStr">
        <is>
          <t>NA</t>
        </is>
      </c>
      <c r="BS4" s="33" t="inlineStr">
        <is>
          <t>NA</t>
        </is>
      </c>
      <c r="BT4" s="166" t="n">
        <v>41852</v>
      </c>
      <c r="BU4" s="820" t="n">
        <v>3000000</v>
      </c>
    </row>
    <row r="5" ht="39.75" customHeight="1">
      <c r="A5" s="74" t="inlineStr">
        <is>
          <t>SUL</t>
        </is>
      </c>
      <c r="B5" s="75" t="inlineStr">
        <is>
          <t>RS</t>
        </is>
      </c>
      <c r="C5" s="75" t="inlineStr">
        <is>
          <t>CAXIAS DO SUL</t>
        </is>
      </c>
      <c r="D5" s="73" t="inlineStr">
        <is>
          <t>FUNDACAO UNIVERSIDADE DE CAXIAS DO SUL</t>
        </is>
      </c>
      <c r="E5" s="76" t="inlineStr">
        <is>
          <t>88648761001843</t>
        </is>
      </c>
      <c r="F5" s="33" t="inlineStr">
        <is>
          <t>FUNDACAO UNIVERSIDADE DE CAXIAS DO SUL</t>
        </is>
      </c>
      <c r="G5" s="74" t="n">
        <v>2223538</v>
      </c>
      <c r="H5" s="126" t="n">
        <v>-2916110645</v>
      </c>
      <c r="I5" s="126" t="n">
        <v>-5115577745740380</v>
      </c>
      <c r="J5" s="33" t="inlineStr">
        <is>
          <t>Radioterapia - Aquisição de Equipamentos</t>
        </is>
      </c>
      <c r="K5" s="73" t="inlineStr">
        <is>
          <t>NA</t>
        </is>
      </c>
      <c r="L5" s="73" t="inlineStr">
        <is>
          <t>NA</t>
        </is>
      </c>
      <c r="M5" s="33" t="inlineStr">
        <is>
          <t>Convênio</t>
        </is>
      </c>
      <c r="N5" s="75" t="n">
        <v>2013</v>
      </c>
      <c r="O5" s="74" t="n">
        <v>802053</v>
      </c>
      <c r="P5" s="75" t="n">
        <v>98864813002</v>
      </c>
      <c r="Q5" s="74" t="inlineStr">
        <is>
          <t>25000.074182/2014-90</t>
        </is>
      </c>
      <c r="R5" s="33" t="inlineStr">
        <is>
          <t>CENTRO DE REFERENCIA DE ALTA COMPLEXIDADE EM ONCOLOGIA</t>
        </is>
      </c>
      <c r="S5" s="74" t="inlineStr">
        <is>
          <t>NA</t>
        </is>
      </c>
      <c r="T5" s="28" t="inlineStr">
        <is>
          <t>Acelerador Linear</t>
        </is>
      </c>
      <c r="U5" s="75" t="n">
        <v>1</v>
      </c>
      <c r="V5" s="74" t="inlineStr">
        <is>
          <t>NA</t>
        </is>
      </c>
      <c r="W5" s="33" t="inlineStr">
        <is>
          <t>UND</t>
        </is>
      </c>
      <c r="X5" s="33" t="inlineStr">
        <is>
          <t>EQUIPAMENTO</t>
        </is>
      </c>
      <c r="Y5" s="74" t="inlineStr">
        <is>
          <t>NA</t>
        </is>
      </c>
      <c r="Z5" s="74" t="inlineStr">
        <is>
          <t>NA</t>
        </is>
      </c>
      <c r="AA5" s="74" t="inlineStr">
        <is>
          <t>NA</t>
        </is>
      </c>
      <c r="AB5" s="74" t="inlineStr">
        <is>
          <t>NA</t>
        </is>
      </c>
      <c r="AC5" s="74" t="inlineStr">
        <is>
          <t>NA</t>
        </is>
      </c>
      <c r="AD5" s="74" t="inlineStr">
        <is>
          <t>NA</t>
        </is>
      </c>
      <c r="AE5" s="74" t="inlineStr">
        <is>
          <t>NA</t>
        </is>
      </c>
      <c r="AF5" s="74" t="inlineStr">
        <is>
          <t>NA</t>
        </is>
      </c>
      <c r="AG5" s="820" t="n">
        <v>2200000</v>
      </c>
      <c r="AH5" s="820" t="n">
        <v>0</v>
      </c>
      <c r="AI5" s="33" t="inlineStr">
        <is>
          <t>NA</t>
        </is>
      </c>
      <c r="AJ5" s="33" t="inlineStr">
        <is>
          <t>NA</t>
        </is>
      </c>
      <c r="AK5" s="33" t="inlineStr">
        <is>
          <t>NA</t>
        </is>
      </c>
      <c r="AL5" s="33" t="inlineStr">
        <is>
          <t>NA</t>
        </is>
      </c>
      <c r="AM5" s="33" t="inlineStr">
        <is>
          <t>NA</t>
        </is>
      </c>
      <c r="AN5" s="33" t="inlineStr">
        <is>
          <t>NA</t>
        </is>
      </c>
      <c r="AO5" s="33" t="inlineStr">
        <is>
          <t>NA</t>
        </is>
      </c>
      <c r="AP5" s="33" t="inlineStr">
        <is>
          <t>NA</t>
        </is>
      </c>
      <c r="AQ5" s="33" t="inlineStr">
        <is>
          <t>NA</t>
        </is>
      </c>
      <c r="AR5" s="33" t="inlineStr">
        <is>
          <t>NA</t>
        </is>
      </c>
      <c r="AS5" s="33" t="inlineStr">
        <is>
          <t>NA</t>
        </is>
      </c>
      <c r="AT5" s="33" t="inlineStr">
        <is>
          <t>NA</t>
        </is>
      </c>
      <c r="AU5" s="33" t="inlineStr">
        <is>
          <t>NA</t>
        </is>
      </c>
      <c r="AV5" s="33" t="inlineStr">
        <is>
          <t>NA</t>
        </is>
      </c>
      <c r="AW5" s="33" t="inlineStr">
        <is>
          <t>NA</t>
        </is>
      </c>
      <c r="AX5" s="33" t="inlineStr">
        <is>
          <t>NA</t>
        </is>
      </c>
      <c r="AY5" s="33" t="inlineStr">
        <is>
          <t>NA</t>
        </is>
      </c>
      <c r="AZ5" s="33" t="inlineStr">
        <is>
          <t>NA</t>
        </is>
      </c>
      <c r="BA5" s="33" t="inlineStr">
        <is>
          <t>NA</t>
        </is>
      </c>
      <c r="BB5" s="33" t="inlineStr">
        <is>
          <t>NA</t>
        </is>
      </c>
      <c r="BC5" s="33" t="inlineStr">
        <is>
          <t>NA</t>
        </is>
      </c>
      <c r="BD5" s="33" t="inlineStr">
        <is>
          <t>NA</t>
        </is>
      </c>
      <c r="BE5" s="33" t="inlineStr">
        <is>
          <t>NA</t>
        </is>
      </c>
      <c r="BF5" s="33" t="inlineStr">
        <is>
          <t>NA</t>
        </is>
      </c>
      <c r="BG5" s="33" t="inlineStr">
        <is>
          <t>NA</t>
        </is>
      </c>
      <c r="BH5" s="175" t="inlineStr">
        <is>
          <t>Foi licitado um Aparelho de Angiografia Digital em vez do Acelerador Linear</t>
        </is>
      </c>
      <c r="BI5" s="33" t="inlineStr">
        <is>
          <t>NA</t>
        </is>
      </c>
      <c r="BJ5" s="33" t="inlineStr">
        <is>
          <t>NA</t>
        </is>
      </c>
      <c r="BK5" s="33" t="inlineStr">
        <is>
          <t>NA</t>
        </is>
      </c>
      <c r="BL5" s="33" t="inlineStr">
        <is>
          <t>NA</t>
        </is>
      </c>
      <c r="BM5" s="33" t="inlineStr">
        <is>
          <t>NA</t>
        </is>
      </c>
      <c r="BN5" s="33" t="inlineStr">
        <is>
          <t>NA</t>
        </is>
      </c>
      <c r="BO5" s="33" t="inlineStr">
        <is>
          <t>NA</t>
        </is>
      </c>
      <c r="BP5" s="33" t="inlineStr">
        <is>
          <t>NA</t>
        </is>
      </c>
      <c r="BQ5" s="33" t="inlineStr">
        <is>
          <t>NA</t>
        </is>
      </c>
      <c r="BR5" s="33" t="inlineStr">
        <is>
          <t>NA</t>
        </is>
      </c>
      <c r="BS5" s="33" t="inlineStr">
        <is>
          <t>NA</t>
        </is>
      </c>
      <c r="BT5" s="166" t="n">
        <v>42713</v>
      </c>
      <c r="BU5" s="820" t="n">
        <v>2200000</v>
      </c>
    </row>
    <row r="6" ht="39.75" customHeight="1">
      <c r="A6" s="74" t="inlineStr">
        <is>
          <t>SUDESTE</t>
        </is>
      </c>
      <c r="B6" s="75" t="inlineStr">
        <is>
          <t>SP</t>
        </is>
      </c>
      <c r="C6" s="75" t="inlineStr">
        <is>
          <t>SAO PAULO</t>
        </is>
      </c>
      <c r="D6" s="73" t="inlineStr">
        <is>
          <t>INSTITUTO DO CANCER ARNALDO VIEIRA DE CARVALHO</t>
        </is>
      </c>
      <c r="E6" s="76" t="inlineStr">
        <is>
          <t>60945854000172</t>
        </is>
      </c>
      <c r="F6" s="33" t="inlineStr">
        <is>
          <t>INSTITUTO DO CANCER ARNALDO VIEIRA DE CARVALHO</t>
        </is>
      </c>
      <c r="G6" s="74" t="n">
        <v>2080125</v>
      </c>
      <c r="H6" s="126" t="n">
        <v>-235431724</v>
      </c>
      <c r="I6" s="126" t="n">
        <v>-4664990518769830</v>
      </c>
      <c r="J6" s="33" t="inlineStr">
        <is>
          <t>Radioterapia - Aquisição de Equipamentos</t>
        </is>
      </c>
      <c r="K6" s="73" t="inlineStr">
        <is>
          <t>NA</t>
        </is>
      </c>
      <c r="L6" s="73" t="inlineStr">
        <is>
          <t>NA</t>
        </is>
      </c>
      <c r="M6" s="33" t="inlineStr">
        <is>
          <t>Convênio</t>
        </is>
      </c>
      <c r="N6" s="75" t="n">
        <v>2018</v>
      </c>
      <c r="O6" s="74" t="n">
        <v>875921</v>
      </c>
      <c r="P6" s="75" t="n">
        <v>96094518001</v>
      </c>
      <c r="Q6" s="74" t="inlineStr">
        <is>
          <t>25000.082864/2018-08</t>
        </is>
      </c>
      <c r="R6" s="33" t="inlineStr">
        <is>
          <t>CENTRO DE REFERENCIA DE ALTA COMPLEXIDADE EM ONCOLOGIA</t>
        </is>
      </c>
      <c r="S6" s="74" t="inlineStr">
        <is>
          <t>NA</t>
        </is>
      </c>
      <c r="T6" s="28" t="inlineStr">
        <is>
          <t>Acelerador Linear</t>
        </is>
      </c>
      <c r="U6" s="75" t="n">
        <v>2</v>
      </c>
      <c r="V6" s="74" t="inlineStr">
        <is>
          <t>NA</t>
        </is>
      </c>
      <c r="W6" s="33" t="inlineStr">
        <is>
          <t>UND</t>
        </is>
      </c>
      <c r="X6" s="33" t="inlineStr">
        <is>
          <t>EQUIPAMENTO</t>
        </is>
      </c>
      <c r="Y6" s="74" t="inlineStr">
        <is>
          <t>NA</t>
        </is>
      </c>
      <c r="Z6" s="74" t="inlineStr">
        <is>
          <t>NA</t>
        </is>
      </c>
      <c r="AA6" s="74" t="inlineStr">
        <is>
          <t>NA</t>
        </is>
      </c>
      <c r="AB6" s="74" t="inlineStr">
        <is>
          <t>NA</t>
        </is>
      </c>
      <c r="AC6" s="74" t="inlineStr">
        <is>
          <t>NA</t>
        </is>
      </c>
      <c r="AD6" s="74" t="inlineStr">
        <is>
          <t>NA</t>
        </is>
      </c>
      <c r="AE6" s="74" t="inlineStr">
        <is>
          <t>NA</t>
        </is>
      </c>
      <c r="AF6" s="74" t="inlineStr">
        <is>
          <t>NA</t>
        </is>
      </c>
      <c r="AG6" s="821" t="n">
        <v>2830000</v>
      </c>
      <c r="AH6" s="821" t="n">
        <v>80000</v>
      </c>
      <c r="AI6" s="33" t="inlineStr">
        <is>
          <t>NA</t>
        </is>
      </c>
      <c r="AJ6" s="33" t="inlineStr">
        <is>
          <t>NA</t>
        </is>
      </c>
      <c r="AK6" s="33" t="inlineStr">
        <is>
          <t>NA</t>
        </is>
      </c>
      <c r="AL6" s="33" t="inlineStr">
        <is>
          <t>NA</t>
        </is>
      </c>
      <c r="AM6" s="33" t="inlineStr">
        <is>
          <t>NA</t>
        </is>
      </c>
      <c r="AN6" s="33" t="inlineStr">
        <is>
          <t>NA</t>
        </is>
      </c>
      <c r="AO6" s="33" t="inlineStr">
        <is>
          <t>NA</t>
        </is>
      </c>
      <c r="AP6" s="33" t="inlineStr">
        <is>
          <t>NA</t>
        </is>
      </c>
      <c r="AQ6" s="33" t="inlineStr">
        <is>
          <t>NA</t>
        </is>
      </c>
      <c r="AR6" s="33" t="inlineStr">
        <is>
          <t>NA</t>
        </is>
      </c>
      <c r="AS6" s="33" t="inlineStr">
        <is>
          <t>NA</t>
        </is>
      </c>
      <c r="AT6" s="33" t="inlineStr">
        <is>
          <t>NA</t>
        </is>
      </c>
      <c r="AU6" s="33" t="inlineStr">
        <is>
          <t>NA</t>
        </is>
      </c>
      <c r="AV6" s="33" t="inlineStr">
        <is>
          <t>NA</t>
        </is>
      </c>
      <c r="AW6" s="33" t="inlineStr">
        <is>
          <t>NA</t>
        </is>
      </c>
      <c r="AX6" s="33" t="inlineStr">
        <is>
          <t>NA</t>
        </is>
      </c>
      <c r="AY6" s="33" t="inlineStr">
        <is>
          <t>NA</t>
        </is>
      </c>
      <c r="AZ6" s="33" t="inlineStr">
        <is>
          <t>NA</t>
        </is>
      </c>
      <c r="BA6" s="33" t="inlineStr">
        <is>
          <t>NA</t>
        </is>
      </c>
      <c r="BB6" s="33" t="inlineStr">
        <is>
          <t>NA</t>
        </is>
      </c>
      <c r="BC6" s="33" t="inlineStr">
        <is>
          <t>NA</t>
        </is>
      </c>
      <c r="BD6" s="33" t="inlineStr">
        <is>
          <t>NA</t>
        </is>
      </c>
      <c r="BE6" s="33" t="inlineStr">
        <is>
          <t>NA</t>
        </is>
      </c>
      <c r="BF6" s="33" t="inlineStr">
        <is>
          <t>NA</t>
        </is>
      </c>
      <c r="BG6" s="33" t="inlineStr">
        <is>
          <t>NA</t>
        </is>
      </c>
      <c r="BH6" s="175" t="inlineStr">
        <is>
          <t>Foi licitado um Tomógrafo e um Mamógrafo em vez do Acelerador Linear</t>
        </is>
      </c>
      <c r="BI6" s="33" t="inlineStr">
        <is>
          <t>NA</t>
        </is>
      </c>
      <c r="BJ6" s="33" t="inlineStr">
        <is>
          <t>NA</t>
        </is>
      </c>
      <c r="BK6" s="33" t="inlineStr">
        <is>
          <t>NA</t>
        </is>
      </c>
      <c r="BL6" s="33" t="inlineStr">
        <is>
          <t>NA</t>
        </is>
      </c>
      <c r="BM6" s="33" t="inlineStr">
        <is>
          <t>NA</t>
        </is>
      </c>
      <c r="BN6" s="33" t="inlineStr">
        <is>
          <t>NA</t>
        </is>
      </c>
      <c r="BO6" s="33" t="inlineStr">
        <is>
          <t>NA</t>
        </is>
      </c>
      <c r="BP6" s="33" t="inlineStr">
        <is>
          <t>NA</t>
        </is>
      </c>
      <c r="BQ6" s="33" t="inlineStr">
        <is>
          <t>NA</t>
        </is>
      </c>
      <c r="BR6" s="33" t="inlineStr">
        <is>
          <t>NA</t>
        </is>
      </c>
      <c r="BS6" s="33" t="inlineStr">
        <is>
          <t>NA</t>
        </is>
      </c>
      <c r="BT6" s="167" t="n">
        <v>45411</v>
      </c>
      <c r="BU6" s="821" t="n">
        <v>2408922.26</v>
      </c>
    </row>
    <row r="7" ht="39.75" customHeight="1">
      <c r="A7" s="34" t="inlineStr">
        <is>
          <t>SUDESTE</t>
        </is>
      </c>
      <c r="B7" s="34" t="inlineStr">
        <is>
          <t>MG</t>
        </is>
      </c>
      <c r="C7" s="34" t="inlineStr">
        <is>
          <t>SETE LAGOAS</t>
        </is>
      </c>
      <c r="D7" s="34" t="inlineStr">
        <is>
          <t>IRMANDADE DE NOSSA SENHORA DAS GRACAS</t>
        </is>
      </c>
      <c r="E7" s="35" t="inlineStr">
        <is>
          <t>24993560000152</t>
        </is>
      </c>
      <c r="F7" s="34" t="inlineStr">
        <is>
          <t>IRMANDADE DE NOSSA SENHORA DAS GRACAS</t>
        </is>
      </c>
      <c r="G7" s="35" t="inlineStr">
        <is>
          <t>2206528</t>
        </is>
      </c>
      <c r="H7" s="125" t="n">
        <v>-19465734</v>
      </c>
      <c r="I7" s="125" t="n">
        <v>-44239792</v>
      </c>
      <c r="J7" s="33" t="inlineStr">
        <is>
          <t>Radioterapia - Aquisição de Equipamentos</t>
        </is>
      </c>
      <c r="K7" s="34" t="inlineStr">
        <is>
          <t>NA</t>
        </is>
      </c>
      <c r="L7" s="34" t="inlineStr">
        <is>
          <t>NA</t>
        </is>
      </c>
      <c r="M7" s="34" t="inlineStr">
        <is>
          <t>Convênio</t>
        </is>
      </c>
      <c r="N7" s="34" t="n">
        <v>2013</v>
      </c>
      <c r="O7" s="34" t="n">
        <v>799639</v>
      </c>
      <c r="P7" s="34" t="n">
        <v>92499313002</v>
      </c>
      <c r="Q7" s="34" t="inlineStr">
        <is>
          <t>25000.240801/2013-60</t>
        </is>
      </c>
      <c r="R7" s="33" t="inlineStr">
        <is>
          <t>CENTRO DE REFERENCIA DE ALTA COMPLEXIDADE EM ONCOLOGIA</t>
        </is>
      </c>
      <c r="S7" s="33" t="inlineStr">
        <is>
          <t>NA</t>
        </is>
      </c>
      <c r="T7" s="28" t="inlineStr">
        <is>
          <t>Acelerador Linear</t>
        </is>
      </c>
      <c r="U7" s="34" t="n">
        <v>1</v>
      </c>
      <c r="V7" s="34" t="n">
        <v>1</v>
      </c>
      <c r="W7" s="33" t="inlineStr">
        <is>
          <t>UND</t>
        </is>
      </c>
      <c r="X7" s="33" t="inlineStr">
        <is>
          <t>EQUIPAMENTO</t>
        </is>
      </c>
      <c r="Y7" s="33" t="inlineStr">
        <is>
          <t>NA</t>
        </is>
      </c>
      <c r="Z7" s="33" t="inlineStr">
        <is>
          <t>NA</t>
        </is>
      </c>
      <c r="AA7" s="33" t="inlineStr">
        <is>
          <t>NA</t>
        </is>
      </c>
      <c r="AB7" s="33" t="inlineStr">
        <is>
          <t>NA</t>
        </is>
      </c>
      <c r="AC7" s="33" t="inlineStr">
        <is>
          <t>NA</t>
        </is>
      </c>
      <c r="AD7" s="33" t="inlineStr">
        <is>
          <t>NA</t>
        </is>
      </c>
      <c r="AE7" s="33" t="inlineStr">
        <is>
          <t>NA</t>
        </is>
      </c>
      <c r="AF7" s="33" t="inlineStr">
        <is>
          <t>NA</t>
        </is>
      </c>
      <c r="AG7" s="820" t="n">
        <v>3300000</v>
      </c>
      <c r="AH7" s="820" t="n">
        <v>1300000</v>
      </c>
      <c r="AI7" s="33" t="inlineStr">
        <is>
          <t>NA</t>
        </is>
      </c>
      <c r="AJ7" s="33" t="inlineStr">
        <is>
          <t>NA</t>
        </is>
      </c>
      <c r="AK7" s="33" t="inlineStr">
        <is>
          <t>NA</t>
        </is>
      </c>
      <c r="AL7" s="33" t="inlineStr">
        <is>
          <t>NA</t>
        </is>
      </c>
      <c r="AM7" s="33" t="inlineStr">
        <is>
          <t>NA</t>
        </is>
      </c>
      <c r="AN7" s="33" t="inlineStr">
        <is>
          <t>NA</t>
        </is>
      </c>
      <c r="AO7" s="33" t="inlineStr">
        <is>
          <t>NA</t>
        </is>
      </c>
      <c r="AP7" s="33" t="inlineStr">
        <is>
          <t>NA</t>
        </is>
      </c>
      <c r="AQ7" s="33" t="inlineStr">
        <is>
          <t>NA</t>
        </is>
      </c>
      <c r="AR7" s="33" t="inlineStr">
        <is>
          <t>NA</t>
        </is>
      </c>
      <c r="AS7" s="33" t="inlineStr">
        <is>
          <t>NA</t>
        </is>
      </c>
      <c r="AT7" s="33" t="inlineStr">
        <is>
          <t>NA</t>
        </is>
      </c>
      <c r="AU7" s="33" t="inlineStr">
        <is>
          <t>NA</t>
        </is>
      </c>
      <c r="AV7" s="33" t="inlineStr">
        <is>
          <t>NA</t>
        </is>
      </c>
      <c r="AW7" s="33" t="inlineStr">
        <is>
          <t>NA</t>
        </is>
      </c>
      <c r="AX7" s="33" t="inlineStr">
        <is>
          <t>NA</t>
        </is>
      </c>
      <c r="AY7" s="33" t="inlineStr">
        <is>
          <t>NA</t>
        </is>
      </c>
      <c r="AZ7" s="33" t="inlineStr">
        <is>
          <t>NA</t>
        </is>
      </c>
      <c r="BA7" s="33" t="inlineStr">
        <is>
          <t>NA</t>
        </is>
      </c>
      <c r="BB7" s="33" t="inlineStr">
        <is>
          <t>NA</t>
        </is>
      </c>
      <c r="BC7" s="33" t="inlineStr">
        <is>
          <t>NA</t>
        </is>
      </c>
      <c r="BD7" s="33" t="inlineStr">
        <is>
          <t>NA</t>
        </is>
      </c>
      <c r="BE7" s="33" t="inlineStr">
        <is>
          <t>NA</t>
        </is>
      </c>
      <c r="BF7" s="33" t="inlineStr">
        <is>
          <t>NA</t>
        </is>
      </c>
      <c r="BG7" s="33" t="inlineStr">
        <is>
          <t>NA</t>
        </is>
      </c>
      <c r="BH7" s="175" t="inlineStr">
        <is>
          <t>Entidade não conseguiu nem executar o convênio nem devolver o dinheiro, situação de "Inadimplência Suspensa" no transferegov</t>
        </is>
      </c>
      <c r="BI7" s="33" t="inlineStr">
        <is>
          <t>NA</t>
        </is>
      </c>
      <c r="BJ7" s="33" t="inlineStr">
        <is>
          <t>NA</t>
        </is>
      </c>
      <c r="BK7" s="33" t="inlineStr">
        <is>
          <t>NA</t>
        </is>
      </c>
      <c r="BL7" s="33" t="inlineStr">
        <is>
          <t>NA</t>
        </is>
      </c>
      <c r="BM7" s="33" t="inlineStr">
        <is>
          <t>NA</t>
        </is>
      </c>
      <c r="BN7" s="33" t="inlineStr">
        <is>
          <t>NA</t>
        </is>
      </c>
      <c r="BO7" s="33" t="inlineStr">
        <is>
          <t>NA</t>
        </is>
      </c>
      <c r="BP7" s="33" t="inlineStr">
        <is>
          <t>NA</t>
        </is>
      </c>
      <c r="BQ7" s="33" t="inlineStr">
        <is>
          <t>NA</t>
        </is>
      </c>
      <c r="BR7" s="33" t="inlineStr">
        <is>
          <t>NA</t>
        </is>
      </c>
      <c r="BS7" s="33" t="inlineStr">
        <is>
          <t>NA</t>
        </is>
      </c>
      <c r="BT7" s="166" t="n">
        <v>42727</v>
      </c>
      <c r="BU7" s="820" t="n">
        <v>2000000</v>
      </c>
    </row>
    <row r="8" ht="39.75" customHeight="1">
      <c r="A8" s="34" t="inlineStr">
        <is>
          <t>CENTRO-OESTE</t>
        </is>
      </c>
      <c r="B8" s="34" t="inlineStr">
        <is>
          <t>MS</t>
        </is>
      </c>
      <c r="C8" s="34" t="inlineStr">
        <is>
          <t>TRES LAGOAS</t>
        </is>
      </c>
      <c r="D8" s="34" t="inlineStr">
        <is>
          <t>SOCIEDADE BENEFICIENTE DO HOSPITAL NOSSA SENHORA AUXILIADORA</t>
        </is>
      </c>
      <c r="E8" s="35" t="inlineStr">
        <is>
          <t>03873593000199</t>
        </is>
      </c>
      <c r="F8" s="34" t="inlineStr">
        <is>
          <t>SOCIEDADE BENEFICIENTE DO HOSPITAL NOSSA SENHORA AUXILIADORA</t>
        </is>
      </c>
      <c r="G8" s="35" t="inlineStr">
        <is>
          <t>2756951</t>
        </is>
      </c>
      <c r="H8" s="125" t="n">
        <v>-207872905</v>
      </c>
      <c r="I8" s="125" t="n">
        <v>-517191012</v>
      </c>
      <c r="J8" s="33" t="inlineStr">
        <is>
          <t>Radioterapia - Aquisição de Equipamentos</t>
        </is>
      </c>
      <c r="K8" s="34" t="inlineStr">
        <is>
          <t>NA</t>
        </is>
      </c>
      <c r="L8" s="34" t="inlineStr">
        <is>
          <t>NA</t>
        </is>
      </c>
      <c r="M8" s="34" t="inlineStr">
        <is>
          <t>Convênio</t>
        </is>
      </c>
      <c r="N8" s="34" t="n">
        <v>2013</v>
      </c>
      <c r="O8" s="34" t="n">
        <v>798397</v>
      </c>
      <c r="P8" s="34" t="n">
        <v>90387313025</v>
      </c>
      <c r="Q8" s="34" t="inlineStr">
        <is>
          <t>25000.235241/2013-21</t>
        </is>
      </c>
      <c r="R8" s="33" t="inlineStr">
        <is>
          <t>CENTRO DE REFERENCIA DE ALTA COMPLEXIDADE EM ONCOLOGIA</t>
        </is>
      </c>
      <c r="S8" s="33" t="inlineStr">
        <is>
          <t>NA</t>
        </is>
      </c>
      <c r="T8" s="28" t="inlineStr">
        <is>
          <t>Acelerador Linear</t>
        </is>
      </c>
      <c r="U8" s="34" t="n">
        <v>1</v>
      </c>
      <c r="V8" s="34" t="n">
        <v>1</v>
      </c>
      <c r="W8" s="33" t="inlineStr">
        <is>
          <t>UND</t>
        </is>
      </c>
      <c r="X8" s="33" t="inlineStr">
        <is>
          <t>EQUIPAMENTO</t>
        </is>
      </c>
      <c r="Y8" s="33" t="inlineStr">
        <is>
          <t>NA</t>
        </is>
      </c>
      <c r="Z8" s="33" t="inlineStr">
        <is>
          <t>NA</t>
        </is>
      </c>
      <c r="AA8" s="33" t="inlineStr">
        <is>
          <t>NA</t>
        </is>
      </c>
      <c r="AB8" s="33" t="inlineStr">
        <is>
          <t>NA</t>
        </is>
      </c>
      <c r="AC8" s="33" t="inlineStr">
        <is>
          <t>NA</t>
        </is>
      </c>
      <c r="AD8" s="33" t="inlineStr">
        <is>
          <t>NA</t>
        </is>
      </c>
      <c r="AE8" s="33" t="inlineStr">
        <is>
          <t>NA</t>
        </is>
      </c>
      <c r="AF8" s="33" t="inlineStr">
        <is>
          <t>NA</t>
        </is>
      </c>
      <c r="AG8" s="820" t="n">
        <v>3000000</v>
      </c>
      <c r="AH8" s="820" t="n">
        <v>0</v>
      </c>
      <c r="AI8" s="33" t="inlineStr">
        <is>
          <t>NA</t>
        </is>
      </c>
      <c r="AJ8" s="33" t="inlineStr">
        <is>
          <t>NA</t>
        </is>
      </c>
      <c r="AK8" s="33" t="inlineStr">
        <is>
          <t>NA</t>
        </is>
      </c>
      <c r="AL8" s="33" t="inlineStr">
        <is>
          <t>NA</t>
        </is>
      </c>
      <c r="AM8" s="33" t="inlineStr">
        <is>
          <t>NA</t>
        </is>
      </c>
      <c r="AN8" s="33" t="inlineStr">
        <is>
          <t>NA</t>
        </is>
      </c>
      <c r="AO8" s="33" t="inlineStr">
        <is>
          <t>NA</t>
        </is>
      </c>
      <c r="AP8" s="33" t="inlineStr">
        <is>
          <t>NA</t>
        </is>
      </c>
      <c r="AQ8" s="33" t="inlineStr">
        <is>
          <t>NA</t>
        </is>
      </c>
      <c r="AR8" s="33" t="inlineStr">
        <is>
          <t>NA</t>
        </is>
      </c>
      <c r="AS8" s="33" t="inlineStr">
        <is>
          <t>NA</t>
        </is>
      </c>
      <c r="AT8" s="33" t="inlineStr">
        <is>
          <t>NA</t>
        </is>
      </c>
      <c r="AU8" s="33" t="inlineStr">
        <is>
          <t>NA</t>
        </is>
      </c>
      <c r="AV8" s="33" t="inlineStr">
        <is>
          <t>NA</t>
        </is>
      </c>
      <c r="AW8" s="33" t="inlineStr">
        <is>
          <t>NA</t>
        </is>
      </c>
      <c r="AX8" s="33" t="inlineStr">
        <is>
          <t>NA</t>
        </is>
      </c>
      <c r="AY8" s="33" t="inlineStr">
        <is>
          <t>NA</t>
        </is>
      </c>
      <c r="AZ8" s="33" t="inlineStr">
        <is>
          <t>NA</t>
        </is>
      </c>
      <c r="BA8" s="33" t="inlineStr">
        <is>
          <t>NA</t>
        </is>
      </c>
      <c r="BB8" s="33" t="inlineStr">
        <is>
          <t>NA</t>
        </is>
      </c>
      <c r="BC8" s="33" t="inlineStr">
        <is>
          <t>NA</t>
        </is>
      </c>
      <c r="BD8" s="33" t="inlineStr">
        <is>
          <t>NA</t>
        </is>
      </c>
      <c r="BE8" s="33" t="inlineStr">
        <is>
          <t>NA</t>
        </is>
      </c>
      <c r="BF8" s="33" t="inlineStr">
        <is>
          <t>NA</t>
        </is>
      </c>
      <c r="BG8" s="33" t="inlineStr">
        <is>
          <t>NA</t>
        </is>
      </c>
      <c r="BH8" s="175" t="inlineStr">
        <is>
          <t>Não executado e dinheiro devolvido</t>
        </is>
      </c>
      <c r="BI8" s="33" t="inlineStr">
        <is>
          <t>NA</t>
        </is>
      </c>
      <c r="BJ8" s="33" t="inlineStr">
        <is>
          <t>NA</t>
        </is>
      </c>
      <c r="BK8" s="33" t="inlineStr">
        <is>
          <t>NA</t>
        </is>
      </c>
      <c r="BL8" s="33" t="inlineStr">
        <is>
          <t>NA</t>
        </is>
      </c>
      <c r="BM8" s="33" t="inlineStr">
        <is>
          <t>NA</t>
        </is>
      </c>
      <c r="BN8" s="33" t="inlineStr">
        <is>
          <t>NA</t>
        </is>
      </c>
      <c r="BO8" s="33" t="inlineStr">
        <is>
          <t>NA</t>
        </is>
      </c>
      <c r="BP8" s="33" t="inlineStr">
        <is>
          <t>NA</t>
        </is>
      </c>
      <c r="BQ8" s="33" t="inlineStr">
        <is>
          <t>NA</t>
        </is>
      </c>
      <c r="BR8" s="33" t="inlineStr">
        <is>
          <t>NA</t>
        </is>
      </c>
      <c r="BS8" s="33" t="inlineStr">
        <is>
          <t>NA</t>
        </is>
      </c>
      <c r="BT8" s="166" t="n">
        <v>41852</v>
      </c>
      <c r="BU8" s="820" t="n">
        <v>3000000</v>
      </c>
    </row>
    <row r="9" ht="39.75" customHeight="1">
      <c r="A9" s="34" t="inlineStr">
        <is>
          <t>SUL</t>
        </is>
      </c>
      <c r="B9" s="34" t="inlineStr">
        <is>
          <t>PR</t>
        </is>
      </c>
      <c r="C9" s="34" t="inlineStr">
        <is>
          <t>PONTA GROSSA</t>
        </is>
      </c>
      <c r="D9" s="34" t="inlineStr">
        <is>
          <t>SANTA CASA DE MISERICORDIA DE PONTA GROSSA</t>
        </is>
      </c>
      <c r="E9" s="35" t="inlineStr">
        <is>
          <t>80238926000159</t>
        </is>
      </c>
      <c r="F9" s="34" t="inlineStr">
        <is>
          <t>SANTA CASA DE MISERICORDIA DE PONTA GROSSA</t>
        </is>
      </c>
      <c r="G9" s="35" t="inlineStr">
        <is>
          <t>2686953</t>
        </is>
      </c>
      <c r="H9" s="125" t="n">
        <v>-25089</v>
      </c>
      <c r="I9" s="125" t="n">
        <v>-50162</v>
      </c>
      <c r="J9" s="33" t="inlineStr">
        <is>
          <t>Radioterapia - Aquisição de Equipamentos</t>
        </is>
      </c>
      <c r="K9" s="34" t="inlineStr">
        <is>
          <t>NA</t>
        </is>
      </c>
      <c r="L9" s="34" t="inlineStr">
        <is>
          <t>NA</t>
        </is>
      </c>
      <c r="M9" s="34" t="inlineStr">
        <is>
          <t>Convênio</t>
        </is>
      </c>
      <c r="N9" s="34" t="n">
        <v>2013</v>
      </c>
      <c r="O9" s="34" t="n">
        <v>797860</v>
      </c>
      <c r="P9" s="34" t="n">
        <v>98023813003</v>
      </c>
      <c r="Q9" s="34" t="inlineStr">
        <is>
          <t>25000.229886/2013-25</t>
        </is>
      </c>
      <c r="R9" s="33" t="inlineStr">
        <is>
          <t>CENTRO DE REFERENCIA DE ALTA COMPLEXIDADE EM ONCOLOGIA</t>
        </is>
      </c>
      <c r="S9" s="33" t="inlineStr">
        <is>
          <t>NA</t>
        </is>
      </c>
      <c r="T9" s="28" t="inlineStr">
        <is>
          <t>Acelerador Linear</t>
        </is>
      </c>
      <c r="U9" s="34" t="n">
        <v>1</v>
      </c>
      <c r="V9" s="34" t="n">
        <v>1</v>
      </c>
      <c r="W9" s="33" t="inlineStr">
        <is>
          <t>UND</t>
        </is>
      </c>
      <c r="X9" s="33" t="inlineStr">
        <is>
          <t>EQUIPAMENTO</t>
        </is>
      </c>
      <c r="Y9" s="33" t="inlineStr">
        <is>
          <t>NA</t>
        </is>
      </c>
      <c r="Z9" s="33" t="inlineStr">
        <is>
          <t>NA</t>
        </is>
      </c>
      <c r="AA9" s="33" t="inlineStr">
        <is>
          <t>NA</t>
        </is>
      </c>
      <c r="AB9" s="33" t="inlineStr">
        <is>
          <t>NA</t>
        </is>
      </c>
      <c r="AC9" s="33" t="inlineStr">
        <is>
          <t>NA</t>
        </is>
      </c>
      <c r="AD9" s="33" t="inlineStr">
        <is>
          <t>NA</t>
        </is>
      </c>
      <c r="AE9" s="33" t="inlineStr">
        <is>
          <t>NA</t>
        </is>
      </c>
      <c r="AF9" s="33" t="inlineStr">
        <is>
          <t>NA</t>
        </is>
      </c>
      <c r="AG9" s="820" t="n">
        <v>2500000</v>
      </c>
      <c r="AH9" s="820" t="n">
        <v>0</v>
      </c>
      <c r="AI9" s="33" t="inlineStr">
        <is>
          <t>NA</t>
        </is>
      </c>
      <c r="AJ9" s="33" t="inlineStr">
        <is>
          <t>NA</t>
        </is>
      </c>
      <c r="AK9" s="33" t="inlineStr">
        <is>
          <t>NA</t>
        </is>
      </c>
      <c r="AL9" s="33" t="inlineStr">
        <is>
          <t>NA</t>
        </is>
      </c>
      <c r="AM9" s="33" t="inlineStr">
        <is>
          <t>NA</t>
        </is>
      </c>
      <c r="AN9" s="33" t="inlineStr">
        <is>
          <t>NA</t>
        </is>
      </c>
      <c r="AO9" s="33" t="inlineStr">
        <is>
          <t>NA</t>
        </is>
      </c>
      <c r="AP9" s="33" t="inlineStr">
        <is>
          <t>NA</t>
        </is>
      </c>
      <c r="AQ9" s="33" t="inlineStr">
        <is>
          <t>NA</t>
        </is>
      </c>
      <c r="AR9" s="33" t="inlineStr">
        <is>
          <t>NA</t>
        </is>
      </c>
      <c r="AS9" s="33" t="inlineStr">
        <is>
          <t>NA</t>
        </is>
      </c>
      <c r="AT9" s="33" t="inlineStr">
        <is>
          <t>NA</t>
        </is>
      </c>
      <c r="AU9" s="33" t="inlineStr">
        <is>
          <t>NA</t>
        </is>
      </c>
      <c r="AV9" s="33" t="inlineStr">
        <is>
          <t>NA</t>
        </is>
      </c>
      <c r="AW9" s="33" t="inlineStr">
        <is>
          <t>NA</t>
        </is>
      </c>
      <c r="AX9" s="33" t="inlineStr">
        <is>
          <t>NA</t>
        </is>
      </c>
      <c r="AY9" s="33" t="inlineStr">
        <is>
          <t>NA</t>
        </is>
      </c>
      <c r="AZ9" s="33" t="inlineStr">
        <is>
          <t>NA</t>
        </is>
      </c>
      <c r="BA9" s="33" t="inlineStr">
        <is>
          <t>NA</t>
        </is>
      </c>
      <c r="BB9" s="33" t="inlineStr">
        <is>
          <t>NA</t>
        </is>
      </c>
      <c r="BC9" s="33" t="inlineStr">
        <is>
          <t>NA</t>
        </is>
      </c>
      <c r="BD9" s="33" t="inlineStr">
        <is>
          <t>NA</t>
        </is>
      </c>
      <c r="BE9" s="33" t="inlineStr">
        <is>
          <t>NA</t>
        </is>
      </c>
      <c r="BF9" s="33" t="inlineStr">
        <is>
          <t>NA</t>
        </is>
      </c>
      <c r="BG9" s="33" t="inlineStr">
        <is>
          <t>NA</t>
        </is>
      </c>
      <c r="BH9" s="175" t="inlineStr">
        <is>
          <t>Não executado e dinheiro devolvido</t>
        </is>
      </c>
      <c r="BI9" s="33" t="inlineStr">
        <is>
          <t>NA</t>
        </is>
      </c>
      <c r="BJ9" s="33" t="inlineStr">
        <is>
          <t>NA</t>
        </is>
      </c>
      <c r="BK9" s="33" t="inlineStr">
        <is>
          <t>NA</t>
        </is>
      </c>
      <c r="BL9" s="33" t="inlineStr">
        <is>
          <t>NA</t>
        </is>
      </c>
      <c r="BM9" s="33" t="inlineStr">
        <is>
          <t>NA</t>
        </is>
      </c>
      <c r="BN9" s="33" t="inlineStr">
        <is>
          <t>NA</t>
        </is>
      </c>
      <c r="BO9" s="33" t="inlineStr">
        <is>
          <t>NA</t>
        </is>
      </c>
      <c r="BP9" s="33" t="inlineStr">
        <is>
          <t>NA</t>
        </is>
      </c>
      <c r="BQ9" s="33" t="inlineStr">
        <is>
          <t>NA</t>
        </is>
      </c>
      <c r="BR9" s="33" t="inlineStr">
        <is>
          <t>NA</t>
        </is>
      </c>
      <c r="BS9" s="33" t="inlineStr">
        <is>
          <t>NA</t>
        </is>
      </c>
      <c r="BT9" s="166" t="n">
        <v>41933</v>
      </c>
      <c r="BU9" s="820" t="n">
        <v>2500000</v>
      </c>
    </row>
    <row r="10" ht="39.75" customHeight="1">
      <c r="A10" s="34" t="inlineStr">
        <is>
          <t>SUDESTE</t>
        </is>
      </c>
      <c r="B10" s="34" t="inlineStr">
        <is>
          <t>SP</t>
        </is>
      </c>
      <c r="C10" s="34" t="inlineStr">
        <is>
          <t>ARARAS</t>
        </is>
      </c>
      <c r="D10" s="34" t="inlineStr">
        <is>
          <t>IRMANDADE DA SANTA CASA DE MISERICORDIA DE ARARAS</t>
        </is>
      </c>
      <c r="E10" s="35" t="inlineStr">
        <is>
          <t>44215341000150</t>
        </is>
      </c>
      <c r="F10" s="34" t="inlineStr">
        <is>
          <t>IRMANDADE DA SANTA CASA DE MISERICORDIA DE ARARAS</t>
        </is>
      </c>
      <c r="G10" s="35" t="inlineStr">
        <is>
          <t>2081253</t>
        </is>
      </c>
      <c r="H10" s="125" t="n">
        <v>-2.23572597726434e+16</v>
      </c>
      <c r="I10" s="125" t="n">
        <v>-4738002061843870</v>
      </c>
      <c r="J10" s="33" t="inlineStr">
        <is>
          <t>Radioterapia - Aquisição de Equipamentos</t>
        </is>
      </c>
      <c r="K10" s="34" t="inlineStr">
        <is>
          <t>NA</t>
        </is>
      </c>
      <c r="L10" s="34" t="inlineStr">
        <is>
          <t>NA</t>
        </is>
      </c>
      <c r="M10" s="34" t="inlineStr">
        <is>
          <t>Convênio</t>
        </is>
      </c>
      <c r="N10" s="34" t="n">
        <v>2013</v>
      </c>
      <c r="O10" s="34" t="n">
        <v>797862</v>
      </c>
      <c r="P10" s="34" t="n">
        <v>94421513004</v>
      </c>
      <c r="Q10" s="34" t="inlineStr">
        <is>
          <t>25000.229869/2013-98</t>
        </is>
      </c>
      <c r="R10" s="33" t="inlineStr">
        <is>
          <t>CENTRO DE REFERENCIA DE ALTA COMPLEXIDADE EM ONCOLOGIA</t>
        </is>
      </c>
      <c r="S10" s="33" t="inlineStr">
        <is>
          <t>NA</t>
        </is>
      </c>
      <c r="T10" s="28" t="inlineStr">
        <is>
          <t>Acelerador Linear</t>
        </is>
      </c>
      <c r="U10" s="34" t="n">
        <v>1</v>
      </c>
      <c r="V10" s="34" t="n">
        <v>1</v>
      </c>
      <c r="W10" s="33" t="inlineStr">
        <is>
          <t>UND</t>
        </is>
      </c>
      <c r="X10" s="33" t="inlineStr">
        <is>
          <t>EQUIPAMENTO</t>
        </is>
      </c>
      <c r="Y10" s="33" t="inlineStr">
        <is>
          <t>NA</t>
        </is>
      </c>
      <c r="Z10" s="33" t="inlineStr">
        <is>
          <t>NA</t>
        </is>
      </c>
      <c r="AA10" s="33" t="inlineStr">
        <is>
          <t>NA</t>
        </is>
      </c>
      <c r="AB10" s="33" t="inlineStr">
        <is>
          <t>NA</t>
        </is>
      </c>
      <c r="AC10" s="33" t="inlineStr">
        <is>
          <t>NA</t>
        </is>
      </c>
      <c r="AD10" s="33" t="inlineStr">
        <is>
          <t>NA</t>
        </is>
      </c>
      <c r="AE10" s="33" t="inlineStr">
        <is>
          <t>NA</t>
        </is>
      </c>
      <c r="AF10" s="33" t="inlineStr">
        <is>
          <t>NA</t>
        </is>
      </c>
      <c r="AG10" s="820" t="n">
        <v>4086456</v>
      </c>
      <c r="AH10" s="820" t="n">
        <v>1086456</v>
      </c>
      <c r="AI10" s="33" t="inlineStr">
        <is>
          <t>NA</t>
        </is>
      </c>
      <c r="AJ10" s="33" t="inlineStr">
        <is>
          <t>NA</t>
        </is>
      </c>
      <c r="AK10" s="33" t="inlineStr">
        <is>
          <t>NA</t>
        </is>
      </c>
      <c r="AL10" s="33" t="inlineStr">
        <is>
          <t>NA</t>
        </is>
      </c>
      <c r="AM10" s="33" t="inlineStr">
        <is>
          <t>NA</t>
        </is>
      </c>
      <c r="AN10" s="33" t="inlineStr">
        <is>
          <t>NA</t>
        </is>
      </c>
      <c r="AO10" s="33" t="inlineStr">
        <is>
          <t>NA</t>
        </is>
      </c>
      <c r="AP10" s="33" t="inlineStr">
        <is>
          <t>NA</t>
        </is>
      </c>
      <c r="AQ10" s="33" t="inlineStr">
        <is>
          <t>NA</t>
        </is>
      </c>
      <c r="AR10" s="33" t="inlineStr">
        <is>
          <t>NA</t>
        </is>
      </c>
      <c r="AS10" s="33" t="inlineStr">
        <is>
          <t>NA</t>
        </is>
      </c>
      <c r="AT10" s="33" t="inlineStr">
        <is>
          <t>NA</t>
        </is>
      </c>
      <c r="AU10" s="33" t="inlineStr">
        <is>
          <t>NA</t>
        </is>
      </c>
      <c r="AV10" s="33" t="inlineStr">
        <is>
          <t>NA</t>
        </is>
      </c>
      <c r="AW10" s="33" t="inlineStr">
        <is>
          <t>NA</t>
        </is>
      </c>
      <c r="AX10" s="33" t="inlineStr">
        <is>
          <t>NA</t>
        </is>
      </c>
      <c r="AY10" s="33" t="inlineStr">
        <is>
          <t>NA</t>
        </is>
      </c>
      <c r="AZ10" s="33" t="inlineStr">
        <is>
          <t>NA</t>
        </is>
      </c>
      <c r="BA10" s="33" t="inlineStr">
        <is>
          <t>NA</t>
        </is>
      </c>
      <c r="BB10" s="33" t="inlineStr">
        <is>
          <t>NA</t>
        </is>
      </c>
      <c r="BC10" s="33" t="inlineStr">
        <is>
          <t>NA</t>
        </is>
      </c>
      <c r="BD10" s="33" t="inlineStr">
        <is>
          <t>NA</t>
        </is>
      </c>
      <c r="BE10" s="33" t="inlineStr">
        <is>
          <t>NA</t>
        </is>
      </c>
      <c r="BF10" s="33" t="inlineStr">
        <is>
          <t>NA</t>
        </is>
      </c>
      <c r="BG10" s="33" t="inlineStr">
        <is>
          <t>NA</t>
        </is>
      </c>
      <c r="BH10" s="175" t="inlineStr">
        <is>
          <t>Não executado e dinheiro devolvido</t>
        </is>
      </c>
      <c r="BI10" s="33" t="inlineStr">
        <is>
          <t>NA</t>
        </is>
      </c>
      <c r="BJ10" s="33" t="inlineStr">
        <is>
          <t>NA</t>
        </is>
      </c>
      <c r="BK10" s="33" t="inlineStr">
        <is>
          <t>NA</t>
        </is>
      </c>
      <c r="BL10" s="33" t="inlineStr">
        <is>
          <t>NA</t>
        </is>
      </c>
      <c r="BM10" s="33" t="inlineStr">
        <is>
          <t>NA</t>
        </is>
      </c>
      <c r="BN10" s="33" t="inlineStr">
        <is>
          <t>NA</t>
        </is>
      </c>
      <c r="BO10" s="33" t="inlineStr">
        <is>
          <t>NA</t>
        </is>
      </c>
      <c r="BP10" s="33" t="inlineStr">
        <is>
          <t>NA</t>
        </is>
      </c>
      <c r="BQ10" s="33" t="inlineStr">
        <is>
          <t>NA</t>
        </is>
      </c>
      <c r="BR10" s="33" t="inlineStr">
        <is>
          <t>NA</t>
        </is>
      </c>
      <c r="BS10" s="33" t="inlineStr">
        <is>
          <t>NA</t>
        </is>
      </c>
      <c r="BT10" s="166" t="n">
        <v>43410</v>
      </c>
      <c r="BU10" s="820" t="n">
        <v>3000000</v>
      </c>
    </row>
    <row r="11" ht="39.75" customHeight="1">
      <c r="A11" s="34" t="inlineStr">
        <is>
          <t>SUDESTE</t>
        </is>
      </c>
      <c r="B11" s="34" t="inlineStr">
        <is>
          <t>RJ</t>
        </is>
      </c>
      <c r="C11" s="34" t="inlineStr">
        <is>
          <t>RIO DE JANEIRO</t>
        </is>
      </c>
      <c r="D11" s="34" t="inlineStr">
        <is>
          <t>UNIVERSIDADE DO ESTADO DO RIO DE JANEIRO</t>
        </is>
      </c>
      <c r="E11" s="35" t="inlineStr">
        <is>
          <t>33540014000157</t>
        </is>
      </c>
      <c r="F11" s="34" t="inlineStr">
        <is>
          <t>UERJ HUPE HOSPITAL UNIVERSITARIO PEDRO ERNESTO</t>
        </is>
      </c>
      <c r="G11" s="35" t="inlineStr">
        <is>
          <t>2269783</t>
        </is>
      </c>
      <c r="H11" s="125" t="n">
        <v>-2.29141479822024e+16</v>
      </c>
      <c r="I11" s="125" t="n">
        <v>-4323744535446160</v>
      </c>
      <c r="J11" s="33" t="inlineStr">
        <is>
          <t>Radioterapia - Aquisição de Equipamentos</t>
        </is>
      </c>
      <c r="K11" s="34" t="inlineStr">
        <is>
          <t>NA</t>
        </is>
      </c>
      <c r="L11" s="34" t="inlineStr">
        <is>
          <t>NA</t>
        </is>
      </c>
      <c r="M11" s="28" t="inlineStr">
        <is>
          <t>Convênio</t>
        </is>
      </c>
      <c r="N11" s="34" t="n">
        <v>2015</v>
      </c>
      <c r="O11" s="34" t="n">
        <v>826995</v>
      </c>
      <c r="P11" s="34" t="n">
        <v>93354015003</v>
      </c>
      <c r="Q11" s="34" t="inlineStr">
        <is>
          <t>25000.037819/2016-29</t>
        </is>
      </c>
      <c r="R11" s="33" t="inlineStr">
        <is>
          <t>ESTRUTURAÇÃO DE UNIDADE DE ATENÇÃO ESPECIALIZADA</t>
        </is>
      </c>
      <c r="S11" s="33" t="inlineStr">
        <is>
          <t>NA</t>
        </is>
      </c>
      <c r="T11" s="28" t="inlineStr">
        <is>
          <t>Acelerador Linear</t>
        </is>
      </c>
      <c r="U11" s="34" t="n">
        <v>1</v>
      </c>
      <c r="V11" s="34" t="n">
        <v>1</v>
      </c>
      <c r="W11" s="33" t="inlineStr">
        <is>
          <t>UND</t>
        </is>
      </c>
      <c r="X11" s="33" t="inlineStr">
        <is>
          <t>EQUIPAMENTO</t>
        </is>
      </c>
      <c r="Y11" s="33" t="inlineStr">
        <is>
          <t>NA</t>
        </is>
      </c>
      <c r="Z11" s="33" t="inlineStr">
        <is>
          <t>NA</t>
        </is>
      </c>
      <c r="AA11" s="33" t="inlineStr">
        <is>
          <t>NA</t>
        </is>
      </c>
      <c r="AB11" s="33" t="inlineStr">
        <is>
          <t>NA</t>
        </is>
      </c>
      <c r="AC11" s="33" t="inlineStr">
        <is>
          <t>NA</t>
        </is>
      </c>
      <c r="AD11" s="33" t="inlineStr">
        <is>
          <t>NA</t>
        </is>
      </c>
      <c r="AE11" s="33" t="inlineStr">
        <is>
          <t>NA</t>
        </is>
      </c>
      <c r="AF11" s="33" t="inlineStr">
        <is>
          <t>NA</t>
        </is>
      </c>
      <c r="AG11" s="820" t="n">
        <v>3400000</v>
      </c>
      <c r="AH11" s="820" t="n">
        <v>0</v>
      </c>
      <c r="AI11" s="33" t="inlineStr">
        <is>
          <t>NA</t>
        </is>
      </c>
      <c r="AJ11" s="33" t="inlineStr">
        <is>
          <t>NA</t>
        </is>
      </c>
      <c r="AK11" s="33" t="inlineStr">
        <is>
          <t>NA</t>
        </is>
      </c>
      <c r="AL11" s="33" t="inlineStr">
        <is>
          <t>NA</t>
        </is>
      </c>
      <c r="AM11" s="33" t="inlineStr">
        <is>
          <t>NA</t>
        </is>
      </c>
      <c r="AN11" s="33" t="inlineStr">
        <is>
          <t>NA</t>
        </is>
      </c>
      <c r="AO11" s="33" t="inlineStr">
        <is>
          <t>NA</t>
        </is>
      </c>
      <c r="AP11" s="33" t="inlineStr">
        <is>
          <t>NA</t>
        </is>
      </c>
      <c r="AQ11" s="33" t="inlineStr">
        <is>
          <t>NA</t>
        </is>
      </c>
      <c r="AR11" s="33" t="inlineStr">
        <is>
          <t>NA</t>
        </is>
      </c>
      <c r="AS11" s="33" t="inlineStr">
        <is>
          <t>NA</t>
        </is>
      </c>
      <c r="AT11" s="33" t="inlineStr">
        <is>
          <t>NA</t>
        </is>
      </c>
      <c r="AU11" s="33" t="inlineStr">
        <is>
          <t>NA</t>
        </is>
      </c>
      <c r="AV11" s="33" t="inlineStr">
        <is>
          <t>NA</t>
        </is>
      </c>
      <c r="AW11" s="33" t="inlineStr">
        <is>
          <t>NA</t>
        </is>
      </c>
      <c r="AX11" s="33" t="inlineStr">
        <is>
          <t>NA</t>
        </is>
      </c>
      <c r="AY11" s="33" t="inlineStr">
        <is>
          <t>NA</t>
        </is>
      </c>
      <c r="AZ11" s="33" t="inlineStr">
        <is>
          <t>NA</t>
        </is>
      </c>
      <c r="BA11" s="33" t="inlineStr">
        <is>
          <t>NA</t>
        </is>
      </c>
      <c r="BB11" s="33" t="inlineStr">
        <is>
          <t>NA</t>
        </is>
      </c>
      <c r="BC11" s="33" t="inlineStr">
        <is>
          <t>NA</t>
        </is>
      </c>
      <c r="BD11" s="33" t="inlineStr">
        <is>
          <t>NA</t>
        </is>
      </c>
      <c r="BE11" s="33" t="inlineStr">
        <is>
          <t>NA</t>
        </is>
      </c>
      <c r="BF11" s="33" t="inlineStr">
        <is>
          <t>NA</t>
        </is>
      </c>
      <c r="BG11" s="33" t="inlineStr">
        <is>
          <t>NA</t>
        </is>
      </c>
      <c r="BH11" s="175" t="inlineStr">
        <is>
          <t>Não executado e dinheiro devolvido</t>
        </is>
      </c>
      <c r="BI11" s="33" t="inlineStr">
        <is>
          <t>NA</t>
        </is>
      </c>
      <c r="BJ11" s="33" t="inlineStr">
        <is>
          <t>NA</t>
        </is>
      </c>
      <c r="BK11" s="33" t="inlineStr">
        <is>
          <t>NA</t>
        </is>
      </c>
      <c r="BL11" s="33" t="inlineStr">
        <is>
          <t>NA</t>
        </is>
      </c>
      <c r="BM11" s="33" t="inlineStr">
        <is>
          <t>NA</t>
        </is>
      </c>
      <c r="BN11" s="33" t="inlineStr">
        <is>
          <t>NA</t>
        </is>
      </c>
      <c r="BO11" s="33" t="inlineStr">
        <is>
          <t>NA</t>
        </is>
      </c>
      <c r="BP11" s="33" t="inlineStr">
        <is>
          <t>NA</t>
        </is>
      </c>
      <c r="BQ11" s="33" t="inlineStr">
        <is>
          <t>NA</t>
        </is>
      </c>
      <c r="BR11" s="33" t="inlineStr">
        <is>
          <t>NA</t>
        </is>
      </c>
      <c r="BS11" s="33" t="inlineStr">
        <is>
          <t>NA</t>
        </is>
      </c>
      <c r="BT11" s="166" t="n">
        <v>42730</v>
      </c>
      <c r="BU11" s="820" t="n">
        <v>3400000</v>
      </c>
    </row>
    <row r="12" ht="39.75" customHeight="1">
      <c r="A12" s="28" t="inlineStr">
        <is>
          <t>CENTRO-OESTE</t>
        </is>
      </c>
      <c r="B12" s="28" t="inlineStr">
        <is>
          <t>GO</t>
        </is>
      </c>
      <c r="C12" s="28" t="inlineStr">
        <is>
          <t>GOIANIA</t>
        </is>
      </c>
      <c r="D12" s="28" t="inlineStr">
        <is>
          <t>ASSOCIACAO DE COMBATE AO CANCER EM GOIAS</t>
        </is>
      </c>
      <c r="E12" s="85" t="inlineStr">
        <is>
          <t>1585595000157</t>
        </is>
      </c>
      <c r="F12" s="28" t="inlineStr">
        <is>
          <t>HOSPITAL DO CANCER - HOSPITAL ARAUJO JORGE</t>
        </is>
      </c>
      <c r="G12" s="28" t="n">
        <v>2506815</v>
      </c>
      <c r="H12" s="127" t="n">
        <v>-1667692335</v>
      </c>
      <c r="I12" s="127" t="n">
        <v>-4924687768345400</v>
      </c>
      <c r="J12" s="33" t="inlineStr">
        <is>
          <t>Radioterapia - Aquisição de Equipamentos</t>
        </is>
      </c>
      <c r="K12" s="73" t="inlineStr">
        <is>
          <t>NA</t>
        </is>
      </c>
      <c r="L12" s="73" t="inlineStr">
        <is>
          <t>NA</t>
        </is>
      </c>
      <c r="M12" s="28" t="inlineStr">
        <is>
          <t>Convênio</t>
        </is>
      </c>
      <c r="N12" s="28" t="n">
        <v>2009</v>
      </c>
      <c r="O12" s="28" t="n">
        <v>730663</v>
      </c>
      <c r="P12" s="28" t="inlineStr">
        <is>
          <t>NA</t>
        </is>
      </c>
      <c r="Q12" s="28" t="inlineStr">
        <is>
          <t>25000.665686/2009-56</t>
        </is>
      </c>
      <c r="R12" s="28" t="inlineStr">
        <is>
          <t>NA</t>
        </is>
      </c>
      <c r="S12" s="33" t="inlineStr">
        <is>
          <t>NA</t>
        </is>
      </c>
      <c r="T12" s="28" t="inlineStr">
        <is>
          <t>Acelerador Linear</t>
        </is>
      </c>
      <c r="U12" s="28" t="n">
        <v>3</v>
      </c>
      <c r="V12" s="28" t="n">
        <v>2</v>
      </c>
      <c r="W12" s="33" t="inlineStr">
        <is>
          <t>UND</t>
        </is>
      </c>
      <c r="X12" s="33" t="inlineStr">
        <is>
          <t>EQUIPAMENTO</t>
        </is>
      </c>
      <c r="Y12" s="33" t="inlineStr">
        <is>
          <t>NA</t>
        </is>
      </c>
      <c r="Z12" s="33" t="inlineStr">
        <is>
          <t>NA</t>
        </is>
      </c>
      <c r="AA12" s="33" t="inlineStr">
        <is>
          <t>NA</t>
        </is>
      </c>
      <c r="AB12" s="33" t="inlineStr">
        <is>
          <t>NA</t>
        </is>
      </c>
      <c r="AC12" s="33" t="inlineStr">
        <is>
          <t>NA</t>
        </is>
      </c>
      <c r="AD12" s="33" t="inlineStr">
        <is>
          <t>NA</t>
        </is>
      </c>
      <c r="AE12" s="33" t="inlineStr">
        <is>
          <t>NA</t>
        </is>
      </c>
      <c r="AF12" s="33" t="inlineStr">
        <is>
          <t>NA</t>
        </is>
      </c>
      <c r="AG12" s="822" t="n">
        <v>3762000</v>
      </c>
      <c r="AH12" s="822" t="n">
        <v>0</v>
      </c>
      <c r="AI12" s="33" t="inlineStr">
        <is>
          <t>NA</t>
        </is>
      </c>
      <c r="AJ12" s="33" t="inlineStr">
        <is>
          <t>NA</t>
        </is>
      </c>
      <c r="AK12" s="33" t="inlineStr">
        <is>
          <t>NA</t>
        </is>
      </c>
      <c r="AL12" s="33" t="inlineStr">
        <is>
          <t>NA</t>
        </is>
      </c>
      <c r="AM12" s="33" t="inlineStr">
        <is>
          <t>NA</t>
        </is>
      </c>
      <c r="AN12" s="33" t="inlineStr">
        <is>
          <t>NA</t>
        </is>
      </c>
      <c r="AO12" s="33" t="inlineStr">
        <is>
          <t>NA</t>
        </is>
      </c>
      <c r="AP12" s="33" t="inlineStr">
        <is>
          <t>NA</t>
        </is>
      </c>
      <c r="AQ12" s="33" t="inlineStr">
        <is>
          <t>NA</t>
        </is>
      </c>
      <c r="AR12" s="33" t="inlineStr">
        <is>
          <t>NA</t>
        </is>
      </c>
      <c r="AS12" s="33" t="inlineStr">
        <is>
          <t>NA</t>
        </is>
      </c>
      <c r="AT12" s="33" t="inlineStr">
        <is>
          <t>NA</t>
        </is>
      </c>
      <c r="AU12" s="33" t="inlineStr">
        <is>
          <t>NA</t>
        </is>
      </c>
      <c r="AV12" s="33" t="inlineStr">
        <is>
          <t>NA</t>
        </is>
      </c>
      <c r="AW12" s="33" t="inlineStr">
        <is>
          <t>NA</t>
        </is>
      </c>
      <c r="AX12" s="33" t="inlineStr">
        <is>
          <t>NA</t>
        </is>
      </c>
      <c r="AY12" s="33" t="inlineStr">
        <is>
          <t>NA</t>
        </is>
      </c>
      <c r="AZ12" s="33" t="inlineStr">
        <is>
          <t>NA</t>
        </is>
      </c>
      <c r="BA12" s="33" t="inlineStr">
        <is>
          <t>NA</t>
        </is>
      </c>
      <c r="BB12" s="33" t="inlineStr">
        <is>
          <t>NA</t>
        </is>
      </c>
      <c r="BC12" s="33" t="inlineStr">
        <is>
          <t>NA</t>
        </is>
      </c>
      <c r="BD12" s="33" t="inlineStr">
        <is>
          <t>NA</t>
        </is>
      </c>
      <c r="BE12" s="33" t="inlineStr">
        <is>
          <t>NA</t>
        </is>
      </c>
      <c r="BF12" s="33" t="inlineStr">
        <is>
          <t>NA</t>
        </is>
      </c>
      <c r="BG12" s="33" t="inlineStr">
        <is>
          <t>NA</t>
        </is>
      </c>
      <c r="BH12" s="175" t="inlineStr">
        <is>
          <t>Não executado e em TCE - Tomada de Contas Especial. Não tem casamata para colocar os 2 aceleradores, não tem recurso para construir. Reanálise da prestação de contas de devolução valor. Apenas o Simulador foi executado</t>
        </is>
      </c>
      <c r="BI12" s="33" t="inlineStr">
        <is>
          <t>NA</t>
        </is>
      </c>
      <c r="BJ12" s="33" t="inlineStr">
        <is>
          <t>NA</t>
        </is>
      </c>
      <c r="BK12" s="33" t="inlineStr">
        <is>
          <t>NA</t>
        </is>
      </c>
      <c r="BL12" s="33" t="inlineStr">
        <is>
          <t>NA</t>
        </is>
      </c>
      <c r="BM12" s="33" t="inlineStr">
        <is>
          <t>NA</t>
        </is>
      </c>
      <c r="BN12" s="33" t="inlineStr">
        <is>
          <t>NA</t>
        </is>
      </c>
      <c r="BO12" s="33" t="inlineStr">
        <is>
          <t>NA</t>
        </is>
      </c>
      <c r="BP12" s="33" t="inlineStr">
        <is>
          <t>NA</t>
        </is>
      </c>
      <c r="BQ12" s="33" t="inlineStr">
        <is>
          <t>NA</t>
        </is>
      </c>
      <c r="BR12" s="33" t="inlineStr">
        <is>
          <t>NA</t>
        </is>
      </c>
      <c r="BS12" s="33" t="inlineStr">
        <is>
          <t>NA</t>
        </is>
      </c>
      <c r="BT12" s="168" t="n">
        <v>40501</v>
      </c>
      <c r="BU12" s="822" t="n">
        <v>3762000</v>
      </c>
    </row>
    <row r="13" ht="39.75" customHeight="1">
      <c r="A13" s="28" t="inlineStr">
        <is>
          <t>SUDESTE</t>
        </is>
      </c>
      <c r="B13" s="28" t="inlineStr">
        <is>
          <t>SP</t>
        </is>
      </c>
      <c r="C13" s="28" t="inlineStr">
        <is>
          <t>BOTUCATU</t>
        </is>
      </c>
      <c r="D13" s="28" t="inlineStr">
        <is>
          <t>HOSPITAL DAS CLÍNICAS DA FACULDADE DE MEDICINA DE BOTUCATU</t>
        </is>
      </c>
      <c r="E13" s="85" t="inlineStr">
        <is>
          <t>12474705000120</t>
        </is>
      </c>
      <c r="F13" s="28" t="inlineStr">
        <is>
          <t>HOSPITAL DAS CLÍNICAS DA FACULDADE DE MEDICINA DE BOTUCATU</t>
        </is>
      </c>
      <c r="G13" s="28" t="n">
        <v>2748223</v>
      </c>
      <c r="H13" s="127" t="n">
        <v>-2289026</v>
      </c>
      <c r="I13" s="127" t="n">
        <v>-4849560</v>
      </c>
      <c r="J13" s="33" t="inlineStr">
        <is>
          <t>Radioterapia - Aquisição de Equipamentos</t>
        </is>
      </c>
      <c r="K13" s="73" t="inlineStr">
        <is>
          <t>NA</t>
        </is>
      </c>
      <c r="L13" s="73" t="inlineStr">
        <is>
          <t>NA</t>
        </is>
      </c>
      <c r="M13" s="28" t="inlineStr">
        <is>
          <t>Convênio</t>
        </is>
      </c>
      <c r="N13" s="28" t="n">
        <v>2013</v>
      </c>
      <c r="O13" s="28" t="n">
        <v>797270</v>
      </c>
      <c r="P13" s="28" t="inlineStr">
        <is>
          <t>NA</t>
        </is>
      </c>
      <c r="Q13" s="28" t="inlineStr">
        <is>
          <t>25000.229889/2013-69</t>
        </is>
      </c>
      <c r="R13" s="28" t="inlineStr">
        <is>
          <t>NA</t>
        </is>
      </c>
      <c r="S13" s="33" t="inlineStr">
        <is>
          <t>NA</t>
        </is>
      </c>
      <c r="T13" s="28" t="inlineStr">
        <is>
          <t>Acelerador Linear</t>
        </is>
      </c>
      <c r="U13" s="28" t="n">
        <v>10</v>
      </c>
      <c r="V13" s="28" t="n">
        <v>1</v>
      </c>
      <c r="W13" s="28" t="inlineStr">
        <is>
          <t>UND</t>
        </is>
      </c>
      <c r="X13" s="28" t="inlineStr">
        <is>
          <t>EQUIPAMENTO</t>
        </is>
      </c>
      <c r="Y13" s="33" t="inlineStr">
        <is>
          <t>NA</t>
        </is>
      </c>
      <c r="Z13" s="28" t="inlineStr">
        <is>
          <t>NA</t>
        </is>
      </c>
      <c r="AA13" s="28" t="inlineStr">
        <is>
          <t>NA</t>
        </is>
      </c>
      <c r="AB13" s="28" t="inlineStr">
        <is>
          <t>NA</t>
        </is>
      </c>
      <c r="AC13" s="28" t="inlineStr">
        <is>
          <t>NA</t>
        </is>
      </c>
      <c r="AD13" s="28" t="inlineStr">
        <is>
          <t>NA</t>
        </is>
      </c>
      <c r="AE13" s="28" t="inlineStr">
        <is>
          <t>NA</t>
        </is>
      </c>
      <c r="AF13" s="28" t="inlineStr">
        <is>
          <t>NA</t>
        </is>
      </c>
      <c r="AG13" s="822" t="n">
        <v>8325701.87</v>
      </c>
      <c r="AH13" s="822" t="n">
        <v>1269829.85</v>
      </c>
      <c r="AI13" s="33" t="inlineStr">
        <is>
          <t>NA</t>
        </is>
      </c>
      <c r="AJ13" s="33" t="inlineStr">
        <is>
          <t>NA</t>
        </is>
      </c>
      <c r="AK13" s="33" t="inlineStr">
        <is>
          <t>NA</t>
        </is>
      </c>
      <c r="AL13" s="33" t="inlineStr">
        <is>
          <t>NA</t>
        </is>
      </c>
      <c r="AM13" s="33" t="inlineStr">
        <is>
          <t>NA</t>
        </is>
      </c>
      <c r="AN13" s="33" t="inlineStr">
        <is>
          <t>NA</t>
        </is>
      </c>
      <c r="AO13" s="33" t="inlineStr">
        <is>
          <t>NA</t>
        </is>
      </c>
      <c r="AP13" s="33" t="inlineStr">
        <is>
          <t>NA</t>
        </is>
      </c>
      <c r="AQ13" s="33" t="inlineStr">
        <is>
          <t>NA</t>
        </is>
      </c>
      <c r="AR13" s="33" t="inlineStr">
        <is>
          <t>NA</t>
        </is>
      </c>
      <c r="AS13" s="33" t="inlineStr">
        <is>
          <t>NA</t>
        </is>
      </c>
      <c r="AT13" s="33" t="inlineStr">
        <is>
          <t>NA</t>
        </is>
      </c>
      <c r="AU13" s="33" t="inlineStr">
        <is>
          <t>NA</t>
        </is>
      </c>
      <c r="AV13" s="33" t="inlineStr">
        <is>
          <t>NA</t>
        </is>
      </c>
      <c r="AW13" s="33" t="inlineStr">
        <is>
          <t>NA</t>
        </is>
      </c>
      <c r="AX13" s="33" t="inlineStr">
        <is>
          <t>NA</t>
        </is>
      </c>
      <c r="AY13" s="33" t="inlineStr">
        <is>
          <t>NA</t>
        </is>
      </c>
      <c r="AZ13" s="33" t="inlineStr">
        <is>
          <t>NA</t>
        </is>
      </c>
      <c r="BA13" s="33" t="inlineStr">
        <is>
          <t>NA</t>
        </is>
      </c>
      <c r="BB13" s="33" t="inlineStr">
        <is>
          <t>NA</t>
        </is>
      </c>
      <c r="BC13" s="33" t="inlineStr">
        <is>
          <t>NA</t>
        </is>
      </c>
      <c r="BD13" s="33" t="inlineStr">
        <is>
          <t>NA</t>
        </is>
      </c>
      <c r="BE13" s="33" t="inlineStr">
        <is>
          <t>NA</t>
        </is>
      </c>
      <c r="BF13" s="33" t="inlineStr">
        <is>
          <t>NA</t>
        </is>
      </c>
      <c r="BG13" s="33" t="inlineStr">
        <is>
          <t>NA</t>
        </is>
      </c>
      <c r="BH13" s="175" t="inlineStr">
        <is>
          <t>O Acelerador Linear não foi adquirido por meio desse convênio. Foi feito outro convênio, o 925320/2021 para contemplar o ACL. Os outros 9 equipamentos foram adquiridos. Recursos remanescentes foram devolvidos</t>
        </is>
      </c>
      <c r="BI13" s="33" t="inlineStr">
        <is>
          <t>NA</t>
        </is>
      </c>
      <c r="BJ13" s="33" t="inlineStr">
        <is>
          <t>NA</t>
        </is>
      </c>
      <c r="BK13" s="33" t="inlineStr">
        <is>
          <t>NA</t>
        </is>
      </c>
      <c r="BL13" s="33" t="inlineStr">
        <is>
          <t>NA</t>
        </is>
      </c>
      <c r="BM13" s="33" t="inlineStr">
        <is>
          <t>NA</t>
        </is>
      </c>
      <c r="BN13" s="33" t="inlineStr">
        <is>
          <t>NA</t>
        </is>
      </c>
      <c r="BO13" s="33" t="inlineStr">
        <is>
          <t>NA</t>
        </is>
      </c>
      <c r="BP13" s="33" t="inlineStr">
        <is>
          <t>NA</t>
        </is>
      </c>
      <c r="BQ13" s="33" t="inlineStr">
        <is>
          <t>NA</t>
        </is>
      </c>
      <c r="BR13" s="33" t="inlineStr">
        <is>
          <t>NA</t>
        </is>
      </c>
      <c r="BS13" s="33" t="inlineStr">
        <is>
          <t>NA</t>
        </is>
      </c>
      <c r="BT13" s="168" t="n">
        <v>41695</v>
      </c>
      <c r="BU13" s="822" t="n">
        <v>5411758.99</v>
      </c>
    </row>
    <row r="14" ht="39.75" customFormat="1" customHeight="1" s="139">
      <c r="A14" s="28" t="inlineStr">
        <is>
          <t>NORTE</t>
        </is>
      </c>
      <c r="B14" s="28" t="inlineStr">
        <is>
          <t>PA</t>
        </is>
      </c>
      <c r="C14" s="28" t="inlineStr">
        <is>
          <t>BELEM</t>
        </is>
      </c>
      <c r="D14" s="28" t="inlineStr">
        <is>
          <t>HOSPITAL OPHIR LOYOLA</t>
        </is>
      </c>
      <c r="E14" s="85" t="inlineStr">
        <is>
          <t>08109444000171</t>
        </is>
      </c>
      <c r="F14" s="28" t="inlineStr">
        <is>
          <t>HOSPITAL OPHIR LOYOLA</t>
        </is>
      </c>
      <c r="G14" s="28" t="n">
        <v>2334321</v>
      </c>
      <c r="H14" s="127" t="n">
        <v>-1452778</v>
      </c>
      <c r="I14" s="127" t="n">
        <v>-48472222</v>
      </c>
      <c r="J14" s="33" t="inlineStr">
        <is>
          <t>Radioterapia - Aquisição de Equipamentos</t>
        </is>
      </c>
      <c r="K14" s="73" t="inlineStr">
        <is>
          <t>NA</t>
        </is>
      </c>
      <c r="L14" s="73" t="inlineStr">
        <is>
          <t>NA</t>
        </is>
      </c>
      <c r="M14" s="28" t="inlineStr">
        <is>
          <t>Convênio</t>
        </is>
      </c>
      <c r="N14" s="28" t="n">
        <v>2012</v>
      </c>
      <c r="O14" s="28" t="n">
        <v>780111</v>
      </c>
      <c r="P14" s="28" t="inlineStr">
        <is>
          <t>NA</t>
        </is>
      </c>
      <c r="Q14" s="28" t="inlineStr">
        <is>
          <t>25000.220813/2012-97</t>
        </is>
      </c>
      <c r="R14" s="28" t="inlineStr">
        <is>
          <t>NA</t>
        </is>
      </c>
      <c r="S14" s="33" t="inlineStr">
        <is>
          <t>NA</t>
        </is>
      </c>
      <c r="T14" s="28" t="inlineStr">
        <is>
          <t>Acelerador Linear</t>
        </is>
      </c>
      <c r="U14" s="28" t="n">
        <v>2</v>
      </c>
      <c r="V14" s="28" t="n">
        <v>2</v>
      </c>
      <c r="W14" s="28" t="inlineStr">
        <is>
          <t>UND</t>
        </is>
      </c>
      <c r="X14" s="28" t="inlineStr">
        <is>
          <t>EQUIPAMENTO</t>
        </is>
      </c>
      <c r="Y14" s="28" t="inlineStr">
        <is>
          <t>NA</t>
        </is>
      </c>
      <c r="Z14" s="28" t="inlineStr">
        <is>
          <t>NA</t>
        </is>
      </c>
      <c r="AA14" s="28" t="inlineStr">
        <is>
          <t>NA</t>
        </is>
      </c>
      <c r="AB14" s="28" t="inlineStr">
        <is>
          <t>NA</t>
        </is>
      </c>
      <c r="AC14" s="28" t="inlineStr">
        <is>
          <t>NA</t>
        </is>
      </c>
      <c r="AD14" s="28" t="inlineStr">
        <is>
          <t>NA</t>
        </is>
      </c>
      <c r="AE14" s="28" t="inlineStr">
        <is>
          <t>NA</t>
        </is>
      </c>
      <c r="AF14" s="28" t="inlineStr">
        <is>
          <t>NA</t>
        </is>
      </c>
      <c r="AG14" s="822" t="n">
        <v>8000000</v>
      </c>
      <c r="AH14" s="822" t="n">
        <v>400000</v>
      </c>
      <c r="AI14" s="33" t="inlineStr">
        <is>
          <t>NA</t>
        </is>
      </c>
      <c r="AJ14" s="33" t="inlineStr">
        <is>
          <t>NA</t>
        </is>
      </c>
      <c r="AK14" s="33" t="inlineStr">
        <is>
          <t>NA</t>
        </is>
      </c>
      <c r="AL14" s="33" t="inlineStr">
        <is>
          <t>NA</t>
        </is>
      </c>
      <c r="AM14" s="33" t="inlineStr">
        <is>
          <t>NA</t>
        </is>
      </c>
      <c r="AN14" s="33" t="inlineStr">
        <is>
          <t>NA</t>
        </is>
      </c>
      <c r="AO14" s="33" t="inlineStr">
        <is>
          <t>NA</t>
        </is>
      </c>
      <c r="AP14" s="33" t="inlineStr">
        <is>
          <t>NA</t>
        </is>
      </c>
      <c r="AQ14" s="33" t="inlineStr">
        <is>
          <t>NA</t>
        </is>
      </c>
      <c r="AR14" s="33" t="inlineStr">
        <is>
          <t>NA</t>
        </is>
      </c>
      <c r="AS14" s="33" t="inlineStr">
        <is>
          <t>NA</t>
        </is>
      </c>
      <c r="AT14" s="33" t="inlineStr">
        <is>
          <t>NA</t>
        </is>
      </c>
      <c r="AU14" s="33" t="inlineStr">
        <is>
          <t>NA</t>
        </is>
      </c>
      <c r="AV14" s="33" t="inlineStr">
        <is>
          <t>NA</t>
        </is>
      </c>
      <c r="AW14" s="33" t="inlineStr">
        <is>
          <t>NA</t>
        </is>
      </c>
      <c r="AX14" s="33" t="inlineStr">
        <is>
          <t>NA</t>
        </is>
      </c>
      <c r="AY14" s="33" t="inlineStr">
        <is>
          <t>NA</t>
        </is>
      </c>
      <c r="AZ14" s="33" t="inlineStr">
        <is>
          <t>NA</t>
        </is>
      </c>
      <c r="BA14" s="33" t="inlineStr">
        <is>
          <t>NA</t>
        </is>
      </c>
      <c r="BB14" s="33" t="inlineStr">
        <is>
          <t>NA</t>
        </is>
      </c>
      <c r="BC14" s="33" t="inlineStr">
        <is>
          <t>NA</t>
        </is>
      </c>
      <c r="BD14" s="33" t="inlineStr">
        <is>
          <t>NA</t>
        </is>
      </c>
      <c r="BE14" s="33" t="inlineStr">
        <is>
          <t>NA</t>
        </is>
      </c>
      <c r="BF14" s="33" t="inlineStr">
        <is>
          <t>NA</t>
        </is>
      </c>
      <c r="BG14" s="33" t="inlineStr">
        <is>
          <t>NA</t>
        </is>
      </c>
      <c r="BH14" s="175" t="inlineStr">
        <is>
          <t>Dificuldades financeiras por causa do aumento do dolar, devolução do dinheiro.</t>
        </is>
      </c>
      <c r="BI14" s="33" t="inlineStr">
        <is>
          <t>NA</t>
        </is>
      </c>
      <c r="BJ14" s="33" t="inlineStr">
        <is>
          <t>NA</t>
        </is>
      </c>
      <c r="BK14" s="33" t="inlineStr">
        <is>
          <t>NA</t>
        </is>
      </c>
      <c r="BL14" s="33" t="inlineStr">
        <is>
          <t>NA</t>
        </is>
      </c>
      <c r="BM14" s="33" t="inlineStr">
        <is>
          <t>NA</t>
        </is>
      </c>
      <c r="BN14" s="33" t="inlineStr">
        <is>
          <t>NA</t>
        </is>
      </c>
      <c r="BO14" s="33" t="inlineStr">
        <is>
          <t>NA</t>
        </is>
      </c>
      <c r="BP14" s="33" t="inlineStr">
        <is>
          <t>NA</t>
        </is>
      </c>
      <c r="BQ14" s="33" t="inlineStr">
        <is>
          <t>NA</t>
        </is>
      </c>
      <c r="BR14" s="33" t="inlineStr">
        <is>
          <t>NA</t>
        </is>
      </c>
      <c r="BS14" s="33" t="inlineStr">
        <is>
          <t>NA</t>
        </is>
      </c>
      <c r="BT14" s="168" t="n">
        <v>43404</v>
      </c>
      <c r="BU14" s="822" t="n">
        <v>7600000</v>
      </c>
    </row>
  </sheetData>
  <autoFilter ref="A1:BN14"/>
  <conditionalFormatting sqref="BB1">
    <cfRule type="expression" priority="6" dxfId="5">
      <formula>$AY1="Concluído"</formula>
    </cfRule>
    <cfRule type="expression" priority="5" dxfId="4">
      <formula>$AY1="Em execução"</formula>
    </cfRule>
    <cfRule type="expression" priority="4" dxfId="3">
      <formula>$AY1="Em licitação"</formula>
    </cfRule>
    <cfRule type="expression" priority="3" dxfId="2">
      <formula>$AY1="Em ação preparatória"</formula>
    </cfRule>
    <cfRule type="expression" priority="2" dxfId="1">
      <formula>$AY1="Em andamento"</formula>
    </cfRule>
    <cfRule type="expression" priority="1" dxfId="0">
      <formula>$AY1="Instrumento formalizado"</formula>
    </cfRule>
  </conditionalFormatting>
  <dataValidations count="2">
    <dataValidation sqref="AY1" showDropDown="0" showInputMessage="1" showErrorMessage="1" allowBlank="1" type="list">
      <formula1>"Concluído, Em execução, Em andamento, Em ação preparatória, Em licitação, Instrumento formalizado, Não iniciado"</formula1>
    </dataValidation>
    <dataValidation sqref="AZ1" showDropDown="0" showInputMessage="1" showErrorMessage="1" allowBlank="1" type="list">
      <formula1>DV_Fase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268"/>
  <sheetViews>
    <sheetView topLeftCell="A201" workbookViewId="0">
      <selection activeCell="H146" sqref="H146"/>
    </sheetView>
  </sheetViews>
  <sheetFormatPr baseColWidth="8" defaultRowHeight="15"/>
  <cols>
    <col width="4.28515625" bestFit="1" customWidth="1" min="1" max="1"/>
    <col width="26.42578125" bestFit="1" customWidth="1" min="2" max="2"/>
    <col width="85.7109375" bestFit="1" customWidth="1" min="3" max="3"/>
    <col width="14.140625" customWidth="1" min="4" max="4"/>
    <col width="13.5703125" customWidth="1" min="5" max="5"/>
    <col width="21.7109375" customWidth="1" style="286" min="6" max="6"/>
    <col width="23.7109375" customWidth="1" style="286" min="7" max="7"/>
    <col width="22.7109375" customWidth="1" min="8" max="8"/>
    <col width="9.140625" bestFit="1" customWidth="1" min="16" max="16"/>
  </cols>
  <sheetData>
    <row r="1" ht="30" customFormat="1" customHeight="1" s="138">
      <c r="A1" s="287" t="inlineStr">
        <is>
          <t>UF</t>
        </is>
      </c>
      <c r="B1" s="287" t="inlineStr">
        <is>
          <t>MUNICIPIO</t>
        </is>
      </c>
      <c r="C1" s="287" t="inlineStr">
        <is>
          <t>PROPONENTE / ENTIDADE</t>
        </is>
      </c>
      <c r="D1" s="287" t="inlineStr">
        <is>
          <t>TIPO DE CONTRATAÇÃO</t>
        </is>
      </c>
      <c r="E1" s="287" t="inlineStr">
        <is>
          <t>ANO DO INSTRUMENTO</t>
        </is>
      </c>
      <c r="F1" s="288" t="inlineStr">
        <is>
          <t>REGISTRO/CÓDIGO NO SISTEMA</t>
        </is>
      </c>
      <c r="G1" s="288" t="inlineStr">
        <is>
          <t>N° PROPOSTA SISPRO</t>
        </is>
      </c>
      <c r="H1" s="287" t="inlineStr">
        <is>
          <t>STATUS DO INTRUMENTO</t>
        </is>
      </c>
    </row>
    <row r="2">
      <c r="A2" t="inlineStr">
        <is>
          <t>SP</t>
        </is>
      </c>
      <c r="B2" t="inlineStr">
        <is>
          <t>FRANCA</t>
        </is>
      </c>
      <c r="C2" t="inlineStr">
        <is>
          <t>FUNDACAO SANTA CASA DE MISERICORDIA DE FRANCA</t>
        </is>
      </c>
      <c r="D2" t="inlineStr">
        <is>
          <t>Convênio</t>
        </is>
      </c>
      <c r="E2" t="n">
        <v>2022</v>
      </c>
      <c r="F2" s="286" t="inlineStr">
        <is>
          <t>937610</t>
        </is>
      </c>
      <c r="G2" s="286" t="inlineStr">
        <is>
          <t>94796922005</t>
        </is>
      </c>
      <c r="H2" t="inlineStr">
        <is>
          <t>ACL concluídos</t>
        </is>
      </c>
    </row>
    <row r="3">
      <c r="A3" t="inlineStr">
        <is>
          <t>PB</t>
        </is>
      </c>
      <c r="B3" t="inlineStr">
        <is>
          <t>JOAO PESSOA</t>
        </is>
      </c>
      <c r="C3" t="inlineStr">
        <is>
          <t>FUNDACAO NAPOLEAO LAUREANO</t>
        </is>
      </c>
      <c r="D3" t="inlineStr">
        <is>
          <t>Convênio</t>
        </is>
      </c>
      <c r="E3" t="n">
        <v>2021</v>
      </c>
      <c r="F3" s="286" t="inlineStr">
        <is>
          <t>924066</t>
        </is>
      </c>
      <c r="G3" s="286" t="inlineStr">
        <is>
          <t>90911221003</t>
        </is>
      </c>
      <c r="H3" t="inlineStr">
        <is>
          <t>ACL concluídos</t>
        </is>
      </c>
    </row>
    <row r="4">
      <c r="A4" t="inlineStr">
        <is>
          <t>SP</t>
        </is>
      </c>
      <c r="B4" t="inlineStr">
        <is>
          <t>BARRETOS</t>
        </is>
      </c>
      <c r="C4" t="inlineStr">
        <is>
          <t>FUNDACAO PIO XII BARRETOS</t>
        </is>
      </c>
      <c r="D4" t="inlineStr">
        <is>
          <t>Convênio</t>
        </is>
      </c>
      <c r="E4" t="n">
        <v>2021</v>
      </c>
      <c r="F4" s="286" t="inlineStr">
        <is>
          <t>922590</t>
        </is>
      </c>
      <c r="G4" s="286" t="inlineStr">
        <is>
          <t>94915021009</t>
        </is>
      </c>
      <c r="H4" t="inlineStr">
        <is>
          <t>ACL concluídos</t>
        </is>
      </c>
    </row>
    <row r="5">
      <c r="A5" t="inlineStr">
        <is>
          <t>RO</t>
        </is>
      </c>
      <c r="B5" t="inlineStr">
        <is>
          <t>PORTO VELHO</t>
        </is>
      </c>
      <c r="C5" t="inlineStr">
        <is>
          <t>FUNDACAO PIO XII PORTO VELHO</t>
        </is>
      </c>
      <c r="D5" t="inlineStr">
        <is>
          <t>Convênio</t>
        </is>
      </c>
      <c r="E5" t="n">
        <v>2021</v>
      </c>
      <c r="F5" s="286" t="inlineStr">
        <is>
          <t>922620</t>
        </is>
      </c>
      <c r="G5" s="286" t="inlineStr">
        <is>
          <t>94915021013</t>
        </is>
      </c>
      <c r="H5" t="inlineStr">
        <is>
          <t>ACL concluídos</t>
        </is>
      </c>
    </row>
    <row r="6">
      <c r="A6" t="inlineStr">
        <is>
          <t>SP</t>
        </is>
      </c>
      <c r="B6" t="inlineStr">
        <is>
          <t>SAO JOSE DO RIO PRETO</t>
        </is>
      </c>
      <c r="C6" t="inlineStr">
        <is>
          <t>FUNDACAO FACULDADE REGIONAL DE MEDICINA DE SAO JOSE DO RIO PRETO</t>
        </is>
      </c>
      <c r="D6" t="inlineStr">
        <is>
          <t>Convênio</t>
        </is>
      </c>
      <c r="E6" t="n">
        <v>2021</v>
      </c>
      <c r="F6" s="286" t="inlineStr">
        <is>
          <t>924078</t>
        </is>
      </c>
      <c r="G6" s="286" t="inlineStr">
        <is>
          <t>96000321003</t>
        </is>
      </c>
      <c r="H6" t="inlineStr">
        <is>
          <t>ACL concluídos</t>
        </is>
      </c>
    </row>
    <row r="7">
      <c r="A7" t="inlineStr">
        <is>
          <t>PR</t>
        </is>
      </c>
      <c r="B7" t="inlineStr">
        <is>
          <t>CURITIBA</t>
        </is>
      </c>
      <c r="C7" t="inlineStr">
        <is>
          <t>LIGA PARANAENSE DE COMBATE AO CANCER</t>
        </is>
      </c>
      <c r="D7" t="inlineStr">
        <is>
          <t>Convênio</t>
        </is>
      </c>
      <c r="E7" t="n">
        <v>2021</v>
      </c>
      <c r="F7" s="286" t="inlineStr">
        <is>
          <t>925324</t>
        </is>
      </c>
      <c r="G7" s="286" t="inlineStr">
        <is>
          <t>97659121021</t>
        </is>
      </c>
      <c r="H7" t="inlineStr">
        <is>
          <t>ACL concluídos</t>
        </is>
      </c>
    </row>
    <row r="8">
      <c r="A8" t="inlineStr">
        <is>
          <t>PE</t>
        </is>
      </c>
      <c r="B8" t="inlineStr">
        <is>
          <t>RECIFE</t>
        </is>
      </c>
      <c r="C8" t="inlineStr">
        <is>
          <t>SOCIEDADE PERNAMBUCANA DO COMBATE AO CANCER</t>
        </is>
      </c>
      <c r="D8" t="inlineStr">
        <is>
          <t>Convênio</t>
        </is>
      </c>
      <c r="E8" t="n">
        <v>2019</v>
      </c>
      <c r="F8" s="286" t="inlineStr">
        <is>
          <t>886284</t>
        </is>
      </c>
      <c r="G8" s="286" t="inlineStr">
        <is>
          <t>91089419003</t>
        </is>
      </c>
      <c r="H8" t="inlineStr">
        <is>
          <t>ACL concluídos</t>
        </is>
      </c>
    </row>
    <row r="9">
      <c r="A9" t="inlineStr">
        <is>
          <t>SP</t>
        </is>
      </c>
      <c r="B9" t="inlineStr">
        <is>
          <t>JAU</t>
        </is>
      </c>
      <c r="C9" t="inlineStr">
        <is>
          <t>FUNDACAO DR AMARAL CARVALHO</t>
        </is>
      </c>
      <c r="D9" t="inlineStr">
        <is>
          <t>Convênio</t>
        </is>
      </c>
      <c r="E9" t="n">
        <v>2019</v>
      </c>
      <c r="F9" s="286" t="inlineStr">
        <is>
          <t>892022</t>
        </is>
      </c>
      <c r="G9" s="286" t="inlineStr">
        <is>
          <t>95075319013</t>
        </is>
      </c>
      <c r="H9" t="inlineStr">
        <is>
          <t>ACL concluídos</t>
        </is>
      </c>
    </row>
    <row r="10">
      <c r="A10" t="inlineStr">
        <is>
          <t>SC</t>
        </is>
      </c>
      <c r="B10" t="inlineStr">
        <is>
          <t>CHAPECO</t>
        </is>
      </c>
      <c r="C10" t="inlineStr">
        <is>
          <t>ASSOCIACAO HOSPITALAR LENOIR VARGAS FERREIRA</t>
        </is>
      </c>
      <c r="D10" t="inlineStr">
        <is>
          <t>Convênio</t>
        </is>
      </c>
      <c r="E10" t="n">
        <v>2016</v>
      </c>
      <c r="F10" s="286" t="inlineStr">
        <is>
          <t>835093</t>
        </is>
      </c>
      <c r="G10" s="286" t="inlineStr">
        <is>
          <t>90212216001</t>
        </is>
      </c>
      <c r="H10" t="inlineStr">
        <is>
          <t>ACL concluídos</t>
        </is>
      </c>
    </row>
    <row r="11">
      <c r="A11" t="inlineStr">
        <is>
          <t>MG</t>
        </is>
      </c>
      <c r="B11" t="inlineStr">
        <is>
          <t>MURIAE</t>
        </is>
      </c>
      <c r="C11" t="inlineStr">
        <is>
          <t>FUNDACAO CRISTIANO VARELLA</t>
        </is>
      </c>
      <c r="D11" t="inlineStr">
        <is>
          <t>Convênio</t>
        </is>
      </c>
      <c r="E11" t="n">
        <v>2015</v>
      </c>
      <c r="F11" s="286" t="inlineStr">
        <is>
          <t>824464</t>
        </is>
      </c>
      <c r="G11" s="286" t="inlineStr">
        <is>
          <t>90096115001</t>
        </is>
      </c>
      <c r="H11" t="inlineStr">
        <is>
          <t>ACL concluídos</t>
        </is>
      </c>
    </row>
    <row r="12">
      <c r="A12" t="inlineStr">
        <is>
          <t>MA</t>
        </is>
      </c>
      <c r="B12" t="inlineStr">
        <is>
          <t>SAO LUIS</t>
        </is>
      </c>
      <c r="C12" t="inlineStr">
        <is>
          <t>FUNDACAO ANTONIO JORGE DINO</t>
        </is>
      </c>
      <c r="D12" t="inlineStr">
        <is>
          <t>Convênio</t>
        </is>
      </c>
      <c r="E12" t="n">
        <v>2015</v>
      </c>
      <c r="F12" s="286" t="inlineStr">
        <is>
          <t>824843</t>
        </is>
      </c>
      <c r="G12" s="286" t="inlineStr">
        <is>
          <t>90529215009</t>
        </is>
      </c>
      <c r="H12" t="inlineStr">
        <is>
          <t>ACL concluídos</t>
        </is>
      </c>
    </row>
    <row r="13">
      <c r="A13" t="inlineStr">
        <is>
          <t>MG</t>
        </is>
      </c>
      <c r="B13" t="inlineStr">
        <is>
          <t>GOVERNADOR VALADARES</t>
        </is>
      </c>
      <c r="C13" t="inlineStr">
        <is>
          <t>BENEFICENCIA SOCIAL BOM SAMARITANO</t>
        </is>
      </c>
      <c r="D13" t="inlineStr">
        <is>
          <t>Convênio</t>
        </is>
      </c>
      <c r="E13" t="n">
        <v>2014</v>
      </c>
      <c r="F13" s="286" t="inlineStr">
        <is>
          <t>812878</t>
        </is>
      </c>
      <c r="G13" s="286" t="inlineStr">
        <is>
          <t>92270914005</t>
        </is>
      </c>
      <c r="H13" t="inlineStr">
        <is>
          <t>ACL concluídos</t>
        </is>
      </c>
    </row>
    <row r="14">
      <c r="A14" t="inlineStr">
        <is>
          <t>ES</t>
        </is>
      </c>
      <c r="B14" t="inlineStr">
        <is>
          <t>VITORIA</t>
        </is>
      </c>
      <c r="C14" t="inlineStr">
        <is>
          <t>ASSOCIACAO FEMININA DE EDUCACAO E COMBATE AO CANCER</t>
        </is>
      </c>
      <c r="D14" t="inlineStr">
        <is>
          <t>Convênio</t>
        </is>
      </c>
      <c r="E14" t="n">
        <v>2014</v>
      </c>
      <c r="F14" s="286" t="inlineStr">
        <is>
          <t>811353</t>
        </is>
      </c>
      <c r="G14" s="286" t="inlineStr">
        <is>
          <t>92813714003</t>
        </is>
      </c>
      <c r="H14" t="inlineStr">
        <is>
          <t>ACL concluídos</t>
        </is>
      </c>
    </row>
    <row r="15">
      <c r="A15" t="inlineStr">
        <is>
          <t>SP</t>
        </is>
      </c>
      <c r="B15" t="inlineStr">
        <is>
          <t>SAO PAULO</t>
        </is>
      </c>
      <c r="C15" t="inlineStr">
        <is>
          <t>INSTITUTO DO CANCER ARNALDO VIEIRA DE CARVALHO</t>
        </is>
      </c>
      <c r="D15" t="inlineStr">
        <is>
          <t>Convênio</t>
        </is>
      </c>
      <c r="E15" t="n">
        <v>2014</v>
      </c>
      <c r="F15" s="286" t="inlineStr">
        <is>
          <t>811818</t>
        </is>
      </c>
      <c r="G15" s="286" t="inlineStr">
        <is>
          <t>96094514004</t>
        </is>
      </c>
      <c r="H15" t="inlineStr">
        <is>
          <t>ACL concluídos</t>
        </is>
      </c>
    </row>
    <row r="16">
      <c r="A16" t="inlineStr">
        <is>
          <t>RS</t>
        </is>
      </c>
      <c r="B16" t="inlineStr">
        <is>
          <t>PORTO ALEGRE</t>
        </is>
      </c>
      <c r="C16" t="inlineStr">
        <is>
          <t>IRMANDADE DA SANTA CASA DE MISERICORDIA DE PORTO ALEGRE</t>
        </is>
      </c>
      <c r="D16" t="inlineStr">
        <is>
          <t>Convênio</t>
        </is>
      </c>
      <c r="E16" t="n">
        <v>2014</v>
      </c>
      <c r="F16" s="286" t="inlineStr">
        <is>
          <t>812943</t>
        </is>
      </c>
      <c r="G16" s="286" t="inlineStr">
        <is>
          <t>99281514010</t>
        </is>
      </c>
      <c r="H16" t="inlineStr">
        <is>
          <t>ACL concluídos</t>
        </is>
      </c>
    </row>
    <row r="17">
      <c r="A17" t="inlineStr">
        <is>
          <t>MG</t>
        </is>
      </c>
      <c r="B17" t="inlineStr">
        <is>
          <t>PONTE NOVA</t>
        </is>
      </c>
      <c r="C17" t="inlineStr">
        <is>
          <t>IRMANDADE DO HOSPITAL NOSSA SENHORA DAS DORES</t>
        </is>
      </c>
      <c r="D17" t="inlineStr">
        <is>
          <t>Convênio</t>
        </is>
      </c>
      <c r="E17" t="n">
        <v>2014</v>
      </c>
      <c r="F17" s="286" t="inlineStr">
        <is>
          <t>801974</t>
        </is>
      </c>
      <c r="G17" s="286" t="inlineStr">
        <is>
          <t>NA</t>
        </is>
      </c>
      <c r="H17" t="inlineStr">
        <is>
          <t>ACL concluídos</t>
        </is>
      </c>
    </row>
    <row r="18">
      <c r="A18" t="inlineStr">
        <is>
          <t>PI</t>
        </is>
      </c>
      <c r="B18" t="inlineStr">
        <is>
          <t>TERESINA</t>
        </is>
      </c>
      <c r="C18" t="inlineStr">
        <is>
          <t>ASSOCIACAO PIAUIENSE DE COMBATE AO CANCER ALCENOR ALMEIDA</t>
        </is>
      </c>
      <c r="D18" t="inlineStr">
        <is>
          <t>Convênio</t>
        </is>
      </c>
      <c r="E18" t="n">
        <v>2013</v>
      </c>
      <c r="F18" s="286" t="inlineStr">
        <is>
          <t>797861</t>
        </is>
      </c>
      <c r="G18" s="286" t="inlineStr">
        <is>
          <t>90687013001</t>
        </is>
      </c>
      <c r="H18" t="inlineStr">
        <is>
          <t>ACL concluídos</t>
        </is>
      </c>
    </row>
    <row r="19">
      <c r="A19" t="inlineStr">
        <is>
          <t>MG</t>
        </is>
      </c>
      <c r="B19" t="inlineStr">
        <is>
          <t>IPATINGA</t>
        </is>
      </c>
      <c r="C19" t="inlineStr">
        <is>
          <t>FUNDACAO SAO FRANCISCO XAVIER</t>
        </is>
      </c>
      <c r="D19" t="inlineStr">
        <is>
          <t>Convênio</t>
        </is>
      </c>
      <c r="E19" t="n">
        <v>2013</v>
      </c>
      <c r="F19" s="286" t="inlineStr">
        <is>
          <t>798406</t>
        </is>
      </c>
      <c r="G19" s="286" t="inlineStr">
        <is>
          <t>91987813008</t>
        </is>
      </c>
      <c r="H19" t="inlineStr">
        <is>
          <t>ACL concluídos</t>
        </is>
      </c>
    </row>
    <row r="20">
      <c r="A20" t="inlineStr">
        <is>
          <t>MG</t>
        </is>
      </c>
      <c r="B20" t="inlineStr">
        <is>
          <t>UBERABA</t>
        </is>
      </c>
      <c r="C20" t="inlineStr">
        <is>
          <t>ASSOCIACAO DE COMBATE AO CANCER DO BRASIL CENTRAL</t>
        </is>
      </c>
      <c r="D20" t="inlineStr">
        <is>
          <t>Convênio</t>
        </is>
      </c>
      <c r="E20" t="n">
        <v>2013</v>
      </c>
      <c r="F20" s="286" t="inlineStr">
        <is>
          <t>793057</t>
        </is>
      </c>
      <c r="G20" s="286" t="inlineStr">
        <is>
          <t>92543813002</t>
        </is>
      </c>
      <c r="H20" t="inlineStr">
        <is>
          <t>ACL concluídos</t>
        </is>
      </c>
    </row>
    <row r="21">
      <c r="A21" t="inlineStr">
        <is>
          <t>RS</t>
        </is>
      </c>
      <c r="B21" t="inlineStr">
        <is>
          <t>PASSO FUNDO</t>
        </is>
      </c>
      <c r="C21" t="inlineStr">
        <is>
          <t>ASSOCIACAO HOSPITALAR BENEFICENTE SAO VICENTE DE PAULO</t>
        </is>
      </c>
      <c r="D21" t="inlineStr">
        <is>
          <t>Convênio</t>
        </is>
      </c>
      <c r="E21" t="n">
        <v>2013</v>
      </c>
      <c r="F21" s="286" t="inlineStr">
        <is>
          <t>804520</t>
        </is>
      </c>
      <c r="G21" s="286" t="inlineStr">
        <is>
          <t>99202113002</t>
        </is>
      </c>
      <c r="H21" t="inlineStr">
        <is>
          <t>ACL concluídos</t>
        </is>
      </c>
    </row>
    <row r="22">
      <c r="A22" t="inlineStr">
        <is>
          <t>MG</t>
        </is>
      </c>
      <c r="B22" t="inlineStr">
        <is>
          <t>SAO JOAO DEL REI</t>
        </is>
      </c>
      <c r="C22" t="inlineStr">
        <is>
          <t>SANTA CASA DA MISERICORDIA DE SAO JOAO DEL REI</t>
        </is>
      </c>
      <c r="D22" t="inlineStr">
        <is>
          <t>Convênio</t>
        </is>
      </c>
      <c r="E22" t="n">
        <v>2013</v>
      </c>
      <c r="F22" s="286" t="inlineStr">
        <is>
          <t>797863</t>
        </is>
      </c>
      <c r="G22" s="286" t="inlineStr">
        <is>
          <t>NA</t>
        </is>
      </c>
      <c r="H22" t="inlineStr">
        <is>
          <t>ACL concluídos</t>
        </is>
      </c>
    </row>
    <row r="23">
      <c r="A23" t="inlineStr">
        <is>
          <t>SP</t>
        </is>
      </c>
      <c r="B23" t="inlineStr">
        <is>
          <t>CAMPINAS</t>
        </is>
      </c>
      <c r="C23" t="inlineStr">
        <is>
          <t>UNIVERSIDADE ESTADUAL DE CAMPINAS</t>
        </is>
      </c>
      <c r="D23" t="inlineStr">
        <is>
          <t>Convênio</t>
        </is>
      </c>
      <c r="E23" t="n">
        <v>2013</v>
      </c>
      <c r="F23" s="286" t="inlineStr">
        <is>
          <t>792992</t>
        </is>
      </c>
      <c r="G23" s="286" t="inlineStr">
        <is>
          <t>NA</t>
        </is>
      </c>
      <c r="H23" t="inlineStr">
        <is>
          <t>ACL concluídos</t>
        </is>
      </c>
    </row>
    <row r="24">
      <c r="A24" t="inlineStr">
        <is>
          <t>SP</t>
        </is>
      </c>
      <c r="B24" t="inlineStr">
        <is>
          <t>SAO JOSE DO RIO PRETO</t>
        </is>
      </c>
      <c r="C24" t="inlineStr">
        <is>
          <t>FUNDACAO FACULDADE REGIONAL DE MEDICINA DE SAO JOSE DO RIO PRETO</t>
        </is>
      </c>
      <c r="D24" t="inlineStr">
        <is>
          <t>Convênio</t>
        </is>
      </c>
      <c r="E24" t="n">
        <v>2012</v>
      </c>
      <c r="F24" s="286" t="inlineStr">
        <is>
          <t>775494</t>
        </is>
      </c>
      <c r="G24" s="286" t="inlineStr">
        <is>
          <t>NA</t>
        </is>
      </c>
      <c r="H24" t="inlineStr">
        <is>
          <t>ACL concluídos</t>
        </is>
      </c>
    </row>
    <row r="25">
      <c r="A25" t="inlineStr">
        <is>
          <t>MG</t>
        </is>
      </c>
      <c r="B25" t="inlineStr">
        <is>
          <t>IPATINGA</t>
        </is>
      </c>
      <c r="C25" t="inlineStr">
        <is>
          <t>FUNDACAO SAO FRANCISCO XAVIER</t>
        </is>
      </c>
      <c r="D25" t="inlineStr">
        <is>
          <t>Convênio</t>
        </is>
      </c>
      <c r="E25" t="n">
        <v>2012</v>
      </c>
      <c r="F25" s="286" t="inlineStr">
        <is>
          <t>775501</t>
        </is>
      </c>
      <c r="G25" s="286" t="inlineStr">
        <is>
          <t>NA</t>
        </is>
      </c>
      <c r="H25" t="inlineStr">
        <is>
          <t>ACL concluídos</t>
        </is>
      </c>
    </row>
    <row r="26">
      <c r="A26" t="inlineStr">
        <is>
          <t>MG</t>
        </is>
      </c>
      <c r="B26" t="inlineStr">
        <is>
          <t>MONTES CLAROS</t>
        </is>
      </c>
      <c r="C26" t="inlineStr">
        <is>
          <t>FUNDACAO DE SAUDE DILSON DE QUADROS GODINHO</t>
        </is>
      </c>
      <c r="D26" t="inlineStr">
        <is>
          <t>Convênio</t>
        </is>
      </c>
      <c r="E26" t="n">
        <v>2012</v>
      </c>
      <c r="F26" s="286" t="inlineStr">
        <is>
          <t>775526</t>
        </is>
      </c>
      <c r="G26" s="286" t="inlineStr">
        <is>
          <t>NA</t>
        </is>
      </c>
      <c r="H26" t="inlineStr">
        <is>
          <t>ACL concluídos</t>
        </is>
      </c>
    </row>
    <row r="27">
      <c r="A27" t="inlineStr">
        <is>
          <t>SP</t>
        </is>
      </c>
      <c r="B27" t="inlineStr">
        <is>
          <t>SAO PAULO</t>
        </is>
      </c>
      <c r="C27" t="inlineStr">
        <is>
          <t>INSTITUTO DO CANCER ARNALDO VIEIRA DE CARVALHO</t>
        </is>
      </c>
      <c r="D27" t="inlineStr">
        <is>
          <t>Convênio</t>
        </is>
      </c>
      <c r="E27" t="n">
        <v>2012</v>
      </c>
      <c r="F27" s="286" t="inlineStr">
        <is>
          <t>777928</t>
        </is>
      </c>
      <c r="G27" s="286" t="inlineStr">
        <is>
          <t>NA</t>
        </is>
      </c>
      <c r="H27" t="inlineStr">
        <is>
          <t>ACL concluídos</t>
        </is>
      </c>
    </row>
    <row r="28">
      <c r="A28" t="inlineStr">
        <is>
          <t>BA</t>
        </is>
      </c>
      <c r="B28" t="inlineStr">
        <is>
          <t>SALVADOR</t>
        </is>
      </c>
      <c r="C28" t="inlineStr">
        <is>
          <t>ASSOCIACAO OBRAS SOCIAIS IRMA DULCE</t>
        </is>
      </c>
      <c r="D28" t="inlineStr">
        <is>
          <t>Convênio</t>
        </is>
      </c>
      <c r="E28" t="n">
        <v>2012</v>
      </c>
      <c r="F28" s="286" t="inlineStr">
        <is>
          <t>778082</t>
        </is>
      </c>
      <c r="G28" s="286" t="inlineStr">
        <is>
          <t>NA</t>
        </is>
      </c>
      <c r="H28" t="inlineStr">
        <is>
          <t>ACL concluídos</t>
        </is>
      </c>
    </row>
    <row r="29">
      <c r="A29" t="inlineStr">
        <is>
          <t>RJ</t>
        </is>
      </c>
      <c r="B29" t="inlineStr">
        <is>
          <t>RIO DE JANEIRO</t>
        </is>
      </c>
      <c r="C29" t="inlineStr">
        <is>
          <t>ASSOCIACAO BRASILEIRA DE ASSISTENCIA AOS CANCEROSOS</t>
        </is>
      </c>
      <c r="D29" t="inlineStr">
        <is>
          <t>Convênio</t>
        </is>
      </c>
      <c r="E29" t="n">
        <v>2012</v>
      </c>
      <c r="F29" s="286" t="inlineStr">
        <is>
          <t>781906</t>
        </is>
      </c>
      <c r="G29" s="286" t="inlineStr">
        <is>
          <t>NA</t>
        </is>
      </c>
      <c r="H29" t="inlineStr">
        <is>
          <t>ACL concluídos</t>
        </is>
      </c>
    </row>
    <row r="30">
      <c r="A30" t="inlineStr">
        <is>
          <t>MG</t>
        </is>
      </c>
      <c r="B30" t="inlineStr">
        <is>
          <t>MONTES CLAROS</t>
        </is>
      </c>
      <c r="C30" t="inlineStr">
        <is>
          <t xml:space="preserve">IRMANDADE NOSSA SENHORA DAS MERCES DE MONTES CLAROS </t>
        </is>
      </c>
      <c r="D30" t="inlineStr">
        <is>
          <t>Convênio</t>
        </is>
      </c>
      <c r="E30" t="n">
        <v>2012</v>
      </c>
      <c r="F30" s="286" t="inlineStr">
        <is>
          <t>780603</t>
        </is>
      </c>
      <c r="G30" s="286" t="inlineStr">
        <is>
          <t>NA</t>
        </is>
      </c>
      <c r="H30" t="inlineStr">
        <is>
          <t>ACL concluídos</t>
        </is>
      </c>
    </row>
    <row r="31">
      <c r="A31" t="inlineStr">
        <is>
          <t>AL</t>
        </is>
      </c>
      <c r="B31" t="inlineStr">
        <is>
          <t>MACEIO</t>
        </is>
      </c>
      <c r="C31" t="inlineStr">
        <is>
          <t>SANTA CASA DE MISERICORDIA DE MACEIO</t>
        </is>
      </c>
      <c r="D31" t="inlineStr">
        <is>
          <t>Convênio</t>
        </is>
      </c>
      <c r="E31" t="n">
        <v>2012</v>
      </c>
      <c r="F31" s="286" t="inlineStr">
        <is>
          <t>777371</t>
        </is>
      </c>
      <c r="G31" s="286" t="inlineStr">
        <is>
          <t>NA</t>
        </is>
      </c>
      <c r="H31" t="inlineStr">
        <is>
          <t>ACL concluídos</t>
        </is>
      </c>
    </row>
    <row r="32">
      <c r="A32" t="inlineStr">
        <is>
          <t>PR</t>
        </is>
      </c>
      <c r="B32" t="inlineStr">
        <is>
          <t>CURITIBA</t>
        </is>
      </c>
      <c r="C32" t="inlineStr">
        <is>
          <t>LIGA PARANAENSE DE COMBATE AO CANCER</t>
        </is>
      </c>
      <c r="D32" t="inlineStr">
        <is>
          <t>Convênio</t>
        </is>
      </c>
      <c r="E32" t="n">
        <v>2012</v>
      </c>
      <c r="F32" s="286" t="inlineStr">
        <is>
          <t>780609</t>
        </is>
      </c>
      <c r="G32" s="286" t="inlineStr">
        <is>
          <t>NA</t>
        </is>
      </c>
      <c r="H32" t="inlineStr">
        <is>
          <t>ACL concluídos</t>
        </is>
      </c>
    </row>
    <row r="33">
      <c r="A33" t="inlineStr">
        <is>
          <t>SC</t>
        </is>
      </c>
      <c r="B33" t="inlineStr">
        <is>
          <t>CRICIUMA</t>
        </is>
      </c>
      <c r="C33" t="inlineStr">
        <is>
          <t>SOCIEDADE LITERARIA E CARITATIVA SANTO AGOSTINHO</t>
        </is>
      </c>
      <c r="D33" t="inlineStr">
        <is>
          <t>Convênio</t>
        </is>
      </c>
      <c r="E33" t="n">
        <v>2011</v>
      </c>
      <c r="F33" s="286" t="inlineStr">
        <is>
          <t>760124</t>
        </is>
      </c>
      <c r="G33" s="286" t="inlineStr">
        <is>
          <t>NA</t>
        </is>
      </c>
      <c r="H33" t="inlineStr">
        <is>
          <t>ACL concluídos</t>
        </is>
      </c>
    </row>
    <row r="34">
      <c r="A34" t="inlineStr">
        <is>
          <t>RS</t>
        </is>
      </c>
      <c r="B34" t="inlineStr">
        <is>
          <t>PORTO ALEGRE</t>
        </is>
      </c>
      <c r="C34" t="inlineStr">
        <is>
          <t>UNIAO BRASILEIRA DE EDUCACAO E ASSISTENCIA</t>
        </is>
      </c>
      <c r="D34" t="inlineStr">
        <is>
          <t>Convênio</t>
        </is>
      </c>
      <c r="E34" t="n">
        <v>2011</v>
      </c>
      <c r="F34" s="286" t="inlineStr">
        <is>
          <t>762109</t>
        </is>
      </c>
      <c r="G34" s="286" t="inlineStr">
        <is>
          <t>NA</t>
        </is>
      </c>
      <c r="H34" t="inlineStr">
        <is>
          <t>ACL concluídos</t>
        </is>
      </c>
    </row>
    <row r="35">
      <c r="A35" t="inlineStr">
        <is>
          <t>MG</t>
        </is>
      </c>
      <c r="B35" t="inlineStr">
        <is>
          <t>PASSOS</t>
        </is>
      </c>
      <c r="C35" t="inlineStr">
        <is>
          <t>IRMANDADE DA SANTA CASA DE MISERICORDIA DE PASSOS</t>
        </is>
      </c>
      <c r="D35" t="inlineStr">
        <is>
          <t>Convênio</t>
        </is>
      </c>
      <c r="E35" t="n">
        <v>2011</v>
      </c>
      <c r="F35" s="286" t="inlineStr">
        <is>
          <t>762122</t>
        </is>
      </c>
      <c r="G35" s="286" t="inlineStr">
        <is>
          <t>NA</t>
        </is>
      </c>
      <c r="H35" t="inlineStr">
        <is>
          <t>ACL concluídos</t>
        </is>
      </c>
    </row>
    <row r="36">
      <c r="A36" t="inlineStr">
        <is>
          <t>SP</t>
        </is>
      </c>
      <c r="B36" t="inlineStr">
        <is>
          <t>SAO PAULO</t>
        </is>
      </c>
      <c r="C36" t="inlineStr">
        <is>
          <t>INSTITUTO BRASILEIRO DE CONTROLE DO CANCER</t>
        </is>
      </c>
      <c r="D36" t="inlineStr">
        <is>
          <t>Convênio</t>
        </is>
      </c>
      <c r="E36" t="n">
        <v>2011</v>
      </c>
      <c r="F36" s="286" t="inlineStr">
        <is>
          <t>765389</t>
        </is>
      </c>
      <c r="G36" s="286" t="inlineStr">
        <is>
          <t>NA</t>
        </is>
      </c>
      <c r="H36" t="inlineStr">
        <is>
          <t>ACL concluídos</t>
        </is>
      </c>
    </row>
    <row r="37">
      <c r="A37" t="inlineStr">
        <is>
          <t>RS</t>
        </is>
      </c>
      <c r="B37" t="inlineStr">
        <is>
          <t>SANTA ROSA</t>
        </is>
      </c>
      <c r="C37" t="inlineStr">
        <is>
          <t>ASSOCIACAO HOSPITALAR SANTA ROSA</t>
        </is>
      </c>
      <c r="D37" t="inlineStr">
        <is>
          <t>Convênio</t>
        </is>
      </c>
      <c r="E37" t="n">
        <v>2011</v>
      </c>
      <c r="F37" s="286" t="inlineStr">
        <is>
          <t>765400</t>
        </is>
      </c>
      <c r="G37" s="286" t="inlineStr">
        <is>
          <t>NA</t>
        </is>
      </c>
      <c r="H37" t="inlineStr">
        <is>
          <t>ACL concluídos</t>
        </is>
      </c>
    </row>
    <row r="38">
      <c r="A38" t="inlineStr">
        <is>
          <t>RJ</t>
        </is>
      </c>
      <c r="B38" t="inlineStr">
        <is>
          <t>CAMPO DOS GOYTACAZES</t>
        </is>
      </c>
      <c r="C38" t="inlineStr">
        <is>
          <t>FUNDACAO BENEDITO PEREIRA NUNES</t>
        </is>
      </c>
      <c r="D38" t="inlineStr">
        <is>
          <t>Convênio</t>
        </is>
      </c>
      <c r="E38" t="n">
        <v>2011</v>
      </c>
      <c r="F38" s="286" t="inlineStr">
        <is>
          <t>765414</t>
        </is>
      </c>
      <c r="G38" s="286" t="inlineStr">
        <is>
          <t>NA</t>
        </is>
      </c>
      <c r="H38" t="inlineStr">
        <is>
          <t>ACL concluídos</t>
        </is>
      </c>
    </row>
    <row r="39">
      <c r="A39" t="inlineStr">
        <is>
          <t>MG</t>
        </is>
      </c>
      <c r="B39" t="inlineStr">
        <is>
          <t>BELO HORIZONTE</t>
        </is>
      </c>
      <c r="C39" t="inlineStr">
        <is>
          <t>ASSOCIACAO MARIO PENNA</t>
        </is>
      </c>
      <c r="D39" t="inlineStr">
        <is>
          <t>Convênio</t>
        </is>
      </c>
      <c r="E39" t="n">
        <v>2011</v>
      </c>
      <c r="F39" s="286" t="inlineStr">
        <is>
          <t>765426</t>
        </is>
      </c>
      <c r="G39" s="286" t="inlineStr">
        <is>
          <t>NA</t>
        </is>
      </c>
      <c r="H39" t="inlineStr">
        <is>
          <t>ACL concluídos</t>
        </is>
      </c>
    </row>
    <row r="40">
      <c r="A40" t="inlineStr">
        <is>
          <t>SP</t>
        </is>
      </c>
      <c r="B40" t="inlineStr">
        <is>
          <t>CATANDUVA</t>
        </is>
      </c>
      <c r="C40" t="inlineStr">
        <is>
          <t>FUNDACAO PADRE ALBINO</t>
        </is>
      </c>
      <c r="D40" t="inlineStr">
        <is>
          <t>Convênio</t>
        </is>
      </c>
      <c r="E40" t="n">
        <v>2011</v>
      </c>
      <c r="F40" s="286" t="inlineStr">
        <is>
          <t>765405</t>
        </is>
      </c>
      <c r="G40" s="286" t="inlineStr">
        <is>
          <t>NA</t>
        </is>
      </c>
      <c r="H40" t="inlineStr">
        <is>
          <t>ACL concluídos</t>
        </is>
      </c>
    </row>
    <row r="41">
      <c r="A41" t="inlineStr">
        <is>
          <t>MG</t>
        </is>
      </c>
      <c r="B41" t="inlineStr">
        <is>
          <t>BARBACENA</t>
        </is>
      </c>
      <c r="C41" t="inlineStr">
        <is>
          <t>CENTRO BARBACENENSE DE ASSISTENCIA MEDICA E SOCIAL</t>
        </is>
      </c>
      <c r="D41" t="inlineStr">
        <is>
          <t>Convênio</t>
        </is>
      </c>
      <c r="E41" t="n">
        <v>2011</v>
      </c>
      <c r="F41" s="286" t="inlineStr">
        <is>
          <t>762119</t>
        </is>
      </c>
      <c r="G41" s="286" t="inlineStr">
        <is>
          <t>NA</t>
        </is>
      </c>
      <c r="H41" t="inlineStr">
        <is>
          <t>ACL concluídos</t>
        </is>
      </c>
    </row>
    <row r="42">
      <c r="A42" t="inlineStr">
        <is>
          <t>SP</t>
        </is>
      </c>
      <c r="B42" t="inlineStr">
        <is>
          <t>SANTOS</t>
        </is>
      </c>
      <c r="C42" t="inlineStr">
        <is>
          <t>IRMANDADE DA SANTA CASA DA MISERICORDIA DE SANTOS</t>
        </is>
      </c>
      <c r="D42" t="inlineStr">
        <is>
          <t>Convênio</t>
        </is>
      </c>
      <c r="E42" t="n">
        <v>2011</v>
      </c>
      <c r="F42" s="286" t="inlineStr">
        <is>
          <t>765399</t>
        </is>
      </c>
      <c r="G42" s="286" t="inlineStr">
        <is>
          <t>NA</t>
        </is>
      </c>
      <c r="H42" t="inlineStr">
        <is>
          <t>ACL concluídos</t>
        </is>
      </c>
    </row>
    <row r="43">
      <c r="A43" t="inlineStr">
        <is>
          <t>SE</t>
        </is>
      </c>
      <c r="B43" t="inlineStr">
        <is>
          <t>ARACAJU</t>
        </is>
      </c>
      <c r="C43" t="inlineStr">
        <is>
          <t>FUNDACAO DE BENEFICENCIA HOSPITAL DE CIRURGIA</t>
        </is>
      </c>
      <c r="D43" t="inlineStr">
        <is>
          <t>Convênio</t>
        </is>
      </c>
      <c r="E43" t="n">
        <v>2011</v>
      </c>
      <c r="F43" s="286" t="inlineStr">
        <is>
          <t>765777</t>
        </is>
      </c>
      <c r="G43" s="286" t="inlineStr">
        <is>
          <t>NA</t>
        </is>
      </c>
      <c r="H43" t="inlineStr">
        <is>
          <t>ACL concluídos</t>
        </is>
      </c>
    </row>
    <row r="44">
      <c r="A44" t="inlineStr">
        <is>
          <t>MG</t>
        </is>
      </c>
      <c r="B44" t="inlineStr">
        <is>
          <t>DIVINOPOLIS</t>
        </is>
      </c>
      <c r="C44" t="inlineStr">
        <is>
          <t>FUNDACAO GERALDO CORREA</t>
        </is>
      </c>
      <c r="D44" t="inlineStr">
        <is>
          <t>Convênio</t>
        </is>
      </c>
      <c r="E44" t="n">
        <v>2010</v>
      </c>
      <c r="F44" s="286" t="inlineStr">
        <is>
          <t>751043</t>
        </is>
      </c>
      <c r="G44" s="286" t="inlineStr">
        <is>
          <t>NA</t>
        </is>
      </c>
      <c r="H44" t="inlineStr">
        <is>
          <t>ACL concluídos</t>
        </is>
      </c>
    </row>
    <row r="45">
      <c r="A45" t="inlineStr">
        <is>
          <t>SP</t>
        </is>
      </c>
      <c r="B45" t="inlineStr">
        <is>
          <t>BARRETOS</t>
        </is>
      </c>
      <c r="C45" t="inlineStr">
        <is>
          <t>FUNDACAO PIO XII BARRETOS</t>
        </is>
      </c>
      <c r="D45" t="inlineStr">
        <is>
          <t>Convênio</t>
        </is>
      </c>
      <c r="E45" t="n">
        <v>2010</v>
      </c>
      <c r="F45" s="286" t="inlineStr">
        <is>
          <t>752397</t>
        </is>
      </c>
      <c r="G45" s="286" t="inlineStr">
        <is>
          <t>NA</t>
        </is>
      </c>
      <c r="H45" t="inlineStr">
        <is>
          <t>ACL concluídos</t>
        </is>
      </c>
    </row>
    <row r="46">
      <c r="A46" t="inlineStr">
        <is>
          <t>RS</t>
        </is>
      </c>
      <c r="B46" t="inlineStr">
        <is>
          <t>IJUI</t>
        </is>
      </c>
      <c r="C46" t="inlineStr">
        <is>
          <t>ASSOCIACAO HOSPITAL DE CARIDADE IJUI</t>
        </is>
      </c>
      <c r="D46" t="inlineStr">
        <is>
          <t>Convênio</t>
        </is>
      </c>
      <c r="E46" t="n">
        <v>2010</v>
      </c>
      <c r="F46" s="286" t="inlineStr">
        <is>
          <t>752772</t>
        </is>
      </c>
      <c r="G46" s="286" t="inlineStr">
        <is>
          <t>NA</t>
        </is>
      </c>
      <c r="H46" t="inlineStr">
        <is>
          <t>ACL concluídos</t>
        </is>
      </c>
    </row>
    <row r="47">
      <c r="A47" t="inlineStr">
        <is>
          <t>BA</t>
        </is>
      </c>
      <c r="B47" t="inlineStr">
        <is>
          <t>SALVADOR</t>
        </is>
      </c>
      <c r="C47" t="inlineStr">
        <is>
          <t>LIGA BAIANA CONTRA O CANCER</t>
        </is>
      </c>
      <c r="D47" t="inlineStr">
        <is>
          <t>Convênio</t>
        </is>
      </c>
      <c r="E47" t="n">
        <v>2010</v>
      </c>
      <c r="F47" s="286" t="inlineStr">
        <is>
          <t>753902</t>
        </is>
      </c>
      <c r="G47" s="286" t="inlineStr">
        <is>
          <t>NA</t>
        </is>
      </c>
      <c r="H47" t="inlineStr">
        <is>
          <t>ACL concluídos</t>
        </is>
      </c>
    </row>
    <row r="48">
      <c r="A48" t="inlineStr">
        <is>
          <t>SP</t>
        </is>
      </c>
      <c r="B48" t="inlineStr">
        <is>
          <t>JAU</t>
        </is>
      </c>
      <c r="C48" t="inlineStr">
        <is>
          <t>FUNDACAO DR AMARAL CARVALHO</t>
        </is>
      </c>
      <c r="D48" t="inlineStr">
        <is>
          <t>Convênio</t>
        </is>
      </c>
      <c r="E48" t="n">
        <v>2010</v>
      </c>
      <c r="F48" s="286" t="inlineStr">
        <is>
          <t>755217</t>
        </is>
      </c>
      <c r="G48" s="286" t="inlineStr">
        <is>
          <t>NA</t>
        </is>
      </c>
      <c r="H48" t="inlineStr">
        <is>
          <t>ACL concluídos</t>
        </is>
      </c>
    </row>
    <row r="49">
      <c r="A49" t="inlineStr">
        <is>
          <t>PR</t>
        </is>
      </c>
      <c r="B49" t="inlineStr">
        <is>
          <t>CASCAVEL</t>
        </is>
      </c>
      <c r="C49" t="inlineStr">
        <is>
          <t>UNIAO OESTE PARANAENSE DE ESTUDOS E COMBATE AO CANCER</t>
        </is>
      </c>
      <c r="D49" t="inlineStr">
        <is>
          <t>Convênio</t>
        </is>
      </c>
      <c r="E49" t="n">
        <v>2009</v>
      </c>
      <c r="F49" s="286" t="inlineStr">
        <is>
          <t>731675</t>
        </is>
      </c>
      <c r="G49" s="286" t="inlineStr">
        <is>
          <t>NA</t>
        </is>
      </c>
      <c r="H49" t="inlineStr">
        <is>
          <t>ACL concluídos</t>
        </is>
      </c>
    </row>
    <row r="50">
      <c r="A50" t="inlineStr">
        <is>
          <t>MS</t>
        </is>
      </c>
      <c r="B50" t="inlineStr">
        <is>
          <t>CAMPO GRANDE</t>
        </is>
      </c>
      <c r="C50" t="inlineStr">
        <is>
          <t>FUNDACAO CARMEM PRUDENTE DE MATO GROSSO DO SUL</t>
        </is>
      </c>
      <c r="D50" t="inlineStr">
        <is>
          <t>Convênio</t>
        </is>
      </c>
      <c r="E50" t="n">
        <v>2024</v>
      </c>
      <c r="F50" s="286" t="inlineStr">
        <is>
          <t>961247</t>
        </is>
      </c>
      <c r="G50" s="286" t="inlineStr">
        <is>
          <t>90322124002</t>
        </is>
      </c>
      <c r="H50" t="inlineStr">
        <is>
          <t>EM EXECUÇÃO</t>
        </is>
      </c>
    </row>
    <row r="51">
      <c r="A51" t="inlineStr">
        <is>
          <t>BA</t>
        </is>
      </c>
      <c r="B51" t="inlineStr">
        <is>
          <t>IRECÊ</t>
        </is>
      </c>
      <c r="C51" t="inlineStr">
        <is>
          <t>FUNDO ESTADUAL DE SAUDE DO ESTADO DA BAHIA</t>
        </is>
      </c>
      <c r="D51" t="inlineStr">
        <is>
          <t>Convênio</t>
        </is>
      </c>
      <c r="E51" t="n">
        <v>2024</v>
      </c>
      <c r="F51" s="286" t="inlineStr">
        <is>
          <t>973049</t>
        </is>
      </c>
      <c r="G51" s="286" t="inlineStr">
        <is>
          <t>90581624017</t>
        </is>
      </c>
      <c r="H51" t="inlineStr">
        <is>
          <t>EM EXECUÇÃO</t>
        </is>
      </c>
    </row>
    <row r="52">
      <c r="A52" t="inlineStr">
        <is>
          <t>SP</t>
        </is>
      </c>
      <c r="B52" t="inlineStr">
        <is>
          <t>CAMPINAS</t>
        </is>
      </c>
      <c r="C52" t="inlineStr">
        <is>
          <t>FUNDO ESTADUAL DE SAUDE - FUNDES</t>
        </is>
      </c>
      <c r="D52" t="inlineStr">
        <is>
          <t>Convênio</t>
        </is>
      </c>
      <c r="E52" t="n">
        <v>2024</v>
      </c>
      <c r="F52" s="286" t="inlineStr">
        <is>
          <t>968527</t>
        </is>
      </c>
      <c r="G52" s="286" t="inlineStr">
        <is>
          <t>91385124002</t>
        </is>
      </c>
      <c r="H52" t="inlineStr">
        <is>
          <t>EM EXECUÇÃO</t>
        </is>
      </c>
    </row>
    <row r="53">
      <c r="A53" t="inlineStr">
        <is>
          <t>SP</t>
        </is>
      </c>
      <c r="B53" t="inlineStr">
        <is>
          <t>SANTOS</t>
        </is>
      </c>
      <c r="C53" t="inlineStr">
        <is>
          <t>IRMANDADE DA SANTA CASA DE MISERICORDIA DE SANTOS</t>
        </is>
      </c>
      <c r="D53" t="inlineStr">
        <is>
          <t>Convênio</t>
        </is>
      </c>
      <c r="E53" t="n">
        <v>2024</v>
      </c>
      <c r="F53" s="286" t="inlineStr">
        <is>
          <t>971195</t>
        </is>
      </c>
      <c r="G53" s="286" t="inlineStr">
        <is>
          <t>95819824004</t>
        </is>
      </c>
      <c r="H53" t="inlineStr">
        <is>
          <t>EM EXECUÇÃO</t>
        </is>
      </c>
    </row>
    <row r="54">
      <c r="A54" t="inlineStr">
        <is>
          <t>SP</t>
        </is>
      </c>
      <c r="B54" t="inlineStr">
        <is>
          <t>SAO CARLOS</t>
        </is>
      </c>
      <c r="C54" t="inlineStr">
        <is>
          <t>IRMANDADE DA SANTA CASA DE MISERICORDIA DE SAO CARLOS</t>
        </is>
      </c>
      <c r="D54" t="inlineStr">
        <is>
          <t>Convênio</t>
        </is>
      </c>
      <c r="E54" t="n">
        <v>2024</v>
      </c>
      <c r="F54" s="286" t="inlineStr">
        <is>
          <t>970621</t>
        </is>
      </c>
      <c r="G54" s="286" t="inlineStr">
        <is>
          <t>95961024001</t>
        </is>
      </c>
      <c r="H54" t="inlineStr">
        <is>
          <t>EM EXECUÇÃO</t>
        </is>
      </c>
    </row>
    <row r="55">
      <c r="A55" t="inlineStr">
        <is>
          <t>CE</t>
        </is>
      </c>
      <c r="B55" t="inlineStr">
        <is>
          <t>BARBALHA</t>
        </is>
      </c>
      <c r="C55" t="inlineStr">
        <is>
          <t>HOSPITAL MATERNIDADE SAO VICENTE DE PAULO</t>
        </is>
      </c>
      <c r="D55" t="inlineStr">
        <is>
          <t>Convênio</t>
        </is>
      </c>
      <c r="E55" t="n">
        <v>2023</v>
      </c>
      <c r="F55" s="286" t="inlineStr">
        <is>
          <t>947524</t>
        </is>
      </c>
      <c r="G55" s="286" t="inlineStr">
        <is>
          <t>90328423002</t>
        </is>
      </c>
      <c r="H55" t="inlineStr">
        <is>
          <t>EM EXECUÇÃO</t>
        </is>
      </c>
    </row>
    <row r="56">
      <c r="A56" t="inlineStr">
        <is>
          <t>PI</t>
        </is>
      </c>
      <c r="B56" t="inlineStr">
        <is>
          <t>TERESINA</t>
        </is>
      </c>
      <c r="C56" t="inlineStr">
        <is>
          <t>ASSOCIACAO PIAUIENSE DE COMBATE AO CANCER</t>
        </is>
      </c>
      <c r="D56" t="inlineStr">
        <is>
          <t>Convênio</t>
        </is>
      </c>
      <c r="E56" t="n">
        <v>2023</v>
      </c>
      <c r="F56" s="286" t="inlineStr">
        <is>
          <t>947527</t>
        </is>
      </c>
      <c r="G56" s="286" t="inlineStr">
        <is>
          <t>90687023002</t>
        </is>
      </c>
      <c r="H56" t="inlineStr">
        <is>
          <t>EM EXECUÇÃO</t>
        </is>
      </c>
    </row>
    <row r="57">
      <c r="A57" t="inlineStr">
        <is>
          <t>CE</t>
        </is>
      </c>
      <c r="B57" t="inlineStr">
        <is>
          <t>FORTALEZA</t>
        </is>
      </c>
      <c r="C57" t="inlineStr">
        <is>
          <t>INSTITUTO DO CANCER DO CEARA</t>
        </is>
      </c>
      <c r="D57" t="inlineStr">
        <is>
          <t>Convênio</t>
        </is>
      </c>
      <c r="E57" t="n">
        <v>2023</v>
      </c>
      <c r="F57" s="286" t="inlineStr">
        <is>
          <t>954391</t>
        </is>
      </c>
      <c r="G57" s="286" t="inlineStr">
        <is>
          <t>90726523003</t>
        </is>
      </c>
      <c r="H57" t="inlineStr">
        <is>
          <t>EM EXECUÇÃO</t>
        </is>
      </c>
    </row>
    <row r="58">
      <c r="A58" t="inlineStr">
        <is>
          <t>CE</t>
        </is>
      </c>
      <c r="B58" t="inlineStr">
        <is>
          <t>FORTALEZA</t>
        </is>
      </c>
      <c r="C58" t="inlineStr">
        <is>
          <t>INSTITUTO DO CANCER DO CEARA</t>
        </is>
      </c>
      <c r="D58" t="inlineStr">
        <is>
          <t>Convênio</t>
        </is>
      </c>
      <c r="E58" t="n">
        <v>2023</v>
      </c>
      <c r="F58" s="286" t="inlineStr">
        <is>
          <t>948685</t>
        </is>
      </c>
      <c r="G58" s="286" t="inlineStr">
        <is>
          <t>90726523004</t>
        </is>
      </c>
      <c r="H58" t="inlineStr">
        <is>
          <t>EM EXECUÇÃO</t>
        </is>
      </c>
    </row>
    <row r="59">
      <c r="A59" t="inlineStr">
        <is>
          <t>CE</t>
        </is>
      </c>
      <c r="B59" t="inlineStr">
        <is>
          <t>SOBRAL</t>
        </is>
      </c>
      <c r="C59" t="inlineStr">
        <is>
          <t>SANTA CASA DE MISERICORDIA DE SOBRAL</t>
        </is>
      </c>
      <c r="D59" t="inlineStr">
        <is>
          <t>Convênio</t>
        </is>
      </c>
      <c r="E59" t="n">
        <v>2023</v>
      </c>
      <c r="F59" s="286" t="inlineStr">
        <is>
          <t>954392</t>
        </is>
      </c>
      <c r="G59" s="286" t="inlineStr">
        <is>
          <t>90781823003</t>
        </is>
      </c>
      <c r="H59" t="inlineStr">
        <is>
          <t>EM EXECUÇÃO</t>
        </is>
      </c>
    </row>
    <row r="60">
      <c r="A60" t="inlineStr">
        <is>
          <t>RN</t>
        </is>
      </c>
      <c r="B60" t="inlineStr">
        <is>
          <t>NATAL</t>
        </is>
      </c>
      <c r="C60" t="inlineStr">
        <is>
          <t>LIGA NORTE RIOGRANDENSE CONTRA O CANCER</t>
        </is>
      </c>
      <c r="D60" t="inlineStr">
        <is>
          <t>Convênio</t>
        </is>
      </c>
      <c r="E60" t="n">
        <v>2023</v>
      </c>
      <c r="F60" s="286" t="inlineStr">
        <is>
          <t>953716</t>
        </is>
      </c>
      <c r="G60" s="286" t="inlineStr">
        <is>
          <t>90842823010</t>
        </is>
      </c>
      <c r="H60" t="inlineStr">
        <is>
          <t>EM EXECUÇÃO</t>
        </is>
      </c>
    </row>
    <row r="61">
      <c r="A61" t="inlineStr">
        <is>
          <t>PB</t>
        </is>
      </c>
      <c r="B61" t="inlineStr">
        <is>
          <t>CAMPINA GRANDE</t>
        </is>
      </c>
      <c r="C61" t="inlineStr">
        <is>
          <t>FUNDACAO ASSISTENCIAL DA PARAIBA- FAP</t>
        </is>
      </c>
      <c r="D61" t="inlineStr">
        <is>
          <t>Convênio</t>
        </is>
      </c>
      <c r="E61" t="n">
        <v>2023</v>
      </c>
      <c r="F61" s="286" t="inlineStr">
        <is>
          <t>954404</t>
        </is>
      </c>
      <c r="G61" s="286" t="inlineStr">
        <is>
          <t>90884123001</t>
        </is>
      </c>
      <c r="H61" t="inlineStr">
        <is>
          <t>EM EXECUÇÃO</t>
        </is>
      </c>
    </row>
    <row r="62">
      <c r="A62" t="inlineStr">
        <is>
          <t>SC</t>
        </is>
      </c>
      <c r="B62" t="inlineStr">
        <is>
          <t>JARAGUA DO SUL</t>
        </is>
      </c>
      <c r="C62" t="inlineStr">
        <is>
          <t>ASSOCIACAO HOSPITALAR SAO JOSE DE JARAGUA DO SUL</t>
        </is>
      </c>
      <c r="D62" t="inlineStr">
        <is>
          <t>Convênio</t>
        </is>
      </c>
      <c r="E62" t="n">
        <v>2023</v>
      </c>
      <c r="F62" s="286" t="inlineStr">
        <is>
          <t>954413</t>
        </is>
      </c>
      <c r="G62" s="286" t="inlineStr">
        <is>
          <t>91284623003</t>
        </is>
      </c>
      <c r="H62" t="inlineStr">
        <is>
          <t>PRESTAÇÃO DE CONTAS EM ANÁLISE</t>
        </is>
      </c>
    </row>
    <row r="63">
      <c r="A63" t="inlineStr">
        <is>
          <t>BA</t>
        </is>
      </c>
      <c r="B63" t="inlineStr">
        <is>
          <t>ITABUNA</t>
        </is>
      </c>
      <c r="C63" t="inlineStr">
        <is>
          <t>SANTA CASA DE MISERICORDIA DE ITABUNA</t>
        </is>
      </c>
      <c r="D63" t="inlineStr">
        <is>
          <t>Convênio</t>
        </is>
      </c>
      <c r="E63" t="n">
        <v>2023</v>
      </c>
      <c r="F63" s="286" t="inlineStr">
        <is>
          <t>954390</t>
        </is>
      </c>
      <c r="G63" s="286" t="inlineStr">
        <is>
          <t>91434923001</t>
        </is>
      </c>
      <c r="H63" t="inlineStr">
        <is>
          <t>EM EXECUÇÃO</t>
        </is>
      </c>
    </row>
    <row r="64">
      <c r="A64" t="inlineStr">
        <is>
          <t>BA</t>
        </is>
      </c>
      <c r="B64" t="inlineStr">
        <is>
          <t>SALVADOR</t>
        </is>
      </c>
      <c r="C64" t="inlineStr">
        <is>
          <t>LIGA BAHIANA CONTRA O CANCER</t>
        </is>
      </c>
      <c r="D64" t="inlineStr">
        <is>
          <t>Convênio</t>
        </is>
      </c>
      <c r="E64" t="n">
        <v>2023</v>
      </c>
      <c r="F64" s="286" t="inlineStr">
        <is>
          <t>948684</t>
        </is>
      </c>
      <c r="G64" s="286" t="inlineStr">
        <is>
          <t>91518023004</t>
        </is>
      </c>
      <c r="H64" t="inlineStr">
        <is>
          <t>EM EXECUÇÃO</t>
        </is>
      </c>
    </row>
    <row r="65">
      <c r="A65" t="inlineStr">
        <is>
          <t>MG</t>
        </is>
      </c>
      <c r="B65" t="inlineStr">
        <is>
          <t>BELO HORIZONTE</t>
        </is>
      </c>
      <c r="C65" t="inlineStr">
        <is>
          <t>ASSOCIACAO MARIO PENNA</t>
        </is>
      </c>
      <c r="D65" t="inlineStr">
        <is>
          <t>Convênio</t>
        </is>
      </c>
      <c r="E65" t="n">
        <v>2023</v>
      </c>
      <c r="F65" s="286" t="inlineStr">
        <is>
          <t>949775</t>
        </is>
      </c>
      <c r="G65" s="286" t="inlineStr">
        <is>
          <t>91751323002</t>
        </is>
      </c>
      <c r="H65" t="inlineStr">
        <is>
          <t>EM EXECUÇÃO</t>
        </is>
      </c>
    </row>
    <row r="66">
      <c r="A66" t="inlineStr">
        <is>
          <t>MG</t>
        </is>
      </c>
      <c r="B66" t="inlineStr">
        <is>
          <t>DIVINOPOLIS</t>
        </is>
      </c>
      <c r="C66" t="inlineStr">
        <is>
          <t>FUNDACAO GERALDO CORREA</t>
        </is>
      </c>
      <c r="D66" t="inlineStr">
        <is>
          <t>Convênio</t>
        </is>
      </c>
      <c r="E66" t="n">
        <v>2023</v>
      </c>
      <c r="F66" s="286" t="inlineStr">
        <is>
          <t>954398</t>
        </is>
      </c>
      <c r="G66" s="286" t="inlineStr">
        <is>
          <t>92014623002</t>
        </is>
      </c>
      <c r="H66" t="inlineStr">
        <is>
          <t>EM EXECUÇÃO</t>
        </is>
      </c>
    </row>
    <row r="67">
      <c r="A67" t="inlineStr">
        <is>
          <t>MG</t>
        </is>
      </c>
      <c r="B67" t="inlineStr">
        <is>
          <t>PASSOS</t>
        </is>
      </c>
      <c r="C67" t="inlineStr">
        <is>
          <t>IRMANDADE DA SANTA CASA DE MISERICORDIA DE PASSOS</t>
        </is>
      </c>
      <c r="D67" t="inlineStr">
        <is>
          <t>Convênio</t>
        </is>
      </c>
      <c r="E67" t="n">
        <v>2023</v>
      </c>
      <c r="F67" s="286" t="inlineStr">
        <is>
          <t>953726</t>
        </is>
      </c>
      <c r="G67" s="286" t="inlineStr">
        <is>
          <t>92327823001</t>
        </is>
      </c>
      <c r="H67" t="inlineStr">
        <is>
          <t>EM EXECUÇÃO</t>
        </is>
      </c>
    </row>
    <row r="68">
      <c r="A68" t="inlineStr">
        <is>
          <t>ES</t>
        </is>
      </c>
      <c r="B68" t="inlineStr">
        <is>
          <t>CACHOEIRO DE ITAPEMIRIM</t>
        </is>
      </c>
      <c r="C68" t="inlineStr">
        <is>
          <t>HOSPITAL EVANGELICO DE CACHOEIRO DE ITAPEMIRIM</t>
        </is>
      </c>
      <c r="D68" t="inlineStr">
        <is>
          <t>Convênio</t>
        </is>
      </c>
      <c r="E68" t="n">
        <v>2023</v>
      </c>
      <c r="F68" s="286" t="inlineStr">
        <is>
          <t>948687</t>
        </is>
      </c>
      <c r="G68" s="286" t="inlineStr">
        <is>
          <t>92719323007</t>
        </is>
      </c>
      <c r="H68" t="inlineStr">
        <is>
          <t>EM EXECUÇÃO</t>
        </is>
      </c>
    </row>
    <row r="69">
      <c r="A69" t="inlineStr">
        <is>
          <t>DF</t>
        </is>
      </c>
      <c r="B69" t="inlineStr">
        <is>
          <t>BRASILIA</t>
        </is>
      </c>
      <c r="C69" t="inlineStr">
        <is>
          <t>INSTITUTO DE GESTAO ESTRATEGICA DE SAUDE DO DISTRITO FEDERAL - IGESDF</t>
        </is>
      </c>
      <c r="D69" t="inlineStr">
        <is>
          <t>Convênio</t>
        </is>
      </c>
      <c r="E69" t="n">
        <v>2023</v>
      </c>
      <c r="F69" s="286" t="inlineStr">
        <is>
          <t>948686</t>
        </is>
      </c>
      <c r="G69" s="286" t="inlineStr">
        <is>
          <t>92848123019</t>
        </is>
      </c>
      <c r="H69" t="inlineStr">
        <is>
          <t>EM EXECUÇÃO</t>
        </is>
      </c>
    </row>
    <row r="70">
      <c r="A70" t="inlineStr">
        <is>
          <t>SP</t>
        </is>
      </c>
      <c r="B70" t="inlineStr">
        <is>
          <t>JALES</t>
        </is>
      </c>
      <c r="C70" t="inlineStr">
        <is>
          <t>FUNDACAO PIO XII</t>
        </is>
      </c>
      <c r="D70" t="inlineStr">
        <is>
          <t>Convênio</t>
        </is>
      </c>
      <c r="E70" t="n">
        <v>2023</v>
      </c>
      <c r="F70" s="286" t="inlineStr">
        <is>
          <t>953746</t>
        </is>
      </c>
      <c r="G70" s="286" t="inlineStr">
        <is>
          <t>94915023012</t>
        </is>
      </c>
      <c r="H70" t="inlineStr">
        <is>
          <t>EM EXECUÇÃO</t>
        </is>
      </c>
    </row>
    <row r="71">
      <c r="A71" t="inlineStr">
        <is>
          <t>SP</t>
        </is>
      </c>
      <c r="B71" t="inlineStr">
        <is>
          <t>CAMPINAS</t>
        </is>
      </c>
      <c r="C71" t="inlineStr">
        <is>
          <t>CENTRO INF DE INVEST HEMAT DR DOMINGOS A BOLDRINI</t>
        </is>
      </c>
      <c r="D71" t="inlineStr">
        <is>
          <t>Convênio</t>
        </is>
      </c>
      <c r="E71" t="n">
        <v>2023</v>
      </c>
      <c r="F71" s="286" t="inlineStr">
        <is>
          <t>953741</t>
        </is>
      </c>
      <c r="G71" s="286" t="inlineStr">
        <is>
          <t>95004623004</t>
        </is>
      </c>
      <c r="H71" t="inlineStr">
        <is>
          <t>EM EXECUÇÃO</t>
        </is>
      </c>
    </row>
    <row r="72">
      <c r="A72" t="inlineStr">
        <is>
          <t>SP</t>
        </is>
      </c>
      <c r="B72" t="inlineStr">
        <is>
          <t>JAU</t>
        </is>
      </c>
      <c r="C72" t="inlineStr">
        <is>
          <t>FUNDACAO DOUTOR AMARAL CARVALHO</t>
        </is>
      </c>
      <c r="D72" t="inlineStr">
        <is>
          <t>Convênio</t>
        </is>
      </c>
      <c r="E72" t="n">
        <v>2023</v>
      </c>
      <c r="F72" s="286" t="inlineStr">
        <is>
          <t>953401</t>
        </is>
      </c>
      <c r="G72" s="286" t="inlineStr">
        <is>
          <t>95075323006</t>
        </is>
      </c>
      <c r="H72" t="inlineStr">
        <is>
          <t>EM EXECUÇÃO</t>
        </is>
      </c>
    </row>
    <row r="73">
      <c r="A73" t="inlineStr">
        <is>
          <t>SP</t>
        </is>
      </c>
      <c r="B73" t="inlineStr">
        <is>
          <t>JUNDIAI</t>
        </is>
      </c>
      <c r="C73" t="inlineStr">
        <is>
          <t>HOSPITAL DE CARIDADE SAO VICENTE DE PAULO</t>
        </is>
      </c>
      <c r="D73" t="inlineStr">
        <is>
          <t>Convênio</t>
        </is>
      </c>
      <c r="E73" t="n">
        <v>2023</v>
      </c>
      <c r="F73" s="286" t="inlineStr">
        <is>
          <t>953749</t>
        </is>
      </c>
      <c r="G73" s="286" t="inlineStr">
        <is>
          <t>95094423002</t>
        </is>
      </c>
      <c r="H73" t="inlineStr">
        <is>
          <t>PRESTAÇÃO DE CONTAS ENVIADA PARA ANÁLISE</t>
        </is>
      </c>
    </row>
    <row r="74">
      <c r="A74" t="inlineStr">
        <is>
          <t>SP</t>
        </is>
      </c>
      <c r="B74" t="inlineStr">
        <is>
          <t>PIRACICABA</t>
        </is>
      </c>
      <c r="C74" t="inlineStr">
        <is>
          <t>IRMANDADE DA SANTA CASA DE MISERICORDIA DE PIRACICABA</t>
        </is>
      </c>
      <c r="D74" t="inlineStr">
        <is>
          <t>Convênio</t>
        </is>
      </c>
      <c r="E74" t="n">
        <v>2023</v>
      </c>
      <c r="F74" s="286" t="inlineStr">
        <is>
          <t>954420</t>
        </is>
      </c>
      <c r="G74" s="286" t="inlineStr">
        <is>
          <t>95437023002</t>
        </is>
      </c>
      <c r="H74" t="inlineStr">
        <is>
          <t>PRESTAÇÃO DE CONTAS INICIADA POR ANTECIPAÇÃO</t>
        </is>
      </c>
    </row>
    <row r="75">
      <c r="A75" t="inlineStr">
        <is>
          <t>SP</t>
        </is>
      </c>
      <c r="B75" t="inlineStr">
        <is>
          <t>SAO PAULO</t>
        </is>
      </c>
      <c r="C75" t="inlineStr">
        <is>
          <t>FUNDACAO FACULDADE DE MEDICINA</t>
        </is>
      </c>
      <c r="D75" t="inlineStr">
        <is>
          <t>Convênio</t>
        </is>
      </c>
      <c r="E75" t="n">
        <v>2023</v>
      </c>
      <c r="F75" s="286" t="inlineStr">
        <is>
          <t>948698</t>
        </is>
      </c>
      <c r="G75" s="286" t="inlineStr">
        <is>
          <t>95657723009</t>
        </is>
      </c>
      <c r="H75" t="inlineStr">
        <is>
          <t>EM EXECUÇÃO</t>
        </is>
      </c>
    </row>
    <row r="76">
      <c r="A76" t="inlineStr">
        <is>
          <t>SP</t>
        </is>
      </c>
      <c r="B76" t="inlineStr">
        <is>
          <t>RIBEIRAO PRETO</t>
        </is>
      </c>
      <c r="C76" t="inlineStr">
        <is>
          <t>FUND DE APOIO AO ENSINO PESQ E ASSISTENCIA HCFMRPUSP</t>
        </is>
      </c>
      <c r="D76" t="inlineStr">
        <is>
          <t>Convênio</t>
        </is>
      </c>
      <c r="E76" t="n">
        <v>2023</v>
      </c>
      <c r="F76" s="286" t="inlineStr">
        <is>
          <t>953743</t>
        </is>
      </c>
      <c r="G76" s="286" t="inlineStr">
        <is>
          <t>95772223003</t>
        </is>
      </c>
      <c r="H76" t="inlineStr">
        <is>
          <t>PRESTAÇÃO DE CONTAS ENVIADA PARA ANÁLISE</t>
        </is>
      </c>
    </row>
    <row r="77">
      <c r="A77" t="inlineStr">
        <is>
          <t>SP</t>
        </is>
      </c>
      <c r="B77" t="inlineStr">
        <is>
          <t>SANTOS</t>
        </is>
      </c>
      <c r="C77" t="inlineStr">
        <is>
          <t>SOCIEDADE PORTUGUESA DE BENEFICENCIA</t>
        </is>
      </c>
      <c r="D77" t="inlineStr">
        <is>
          <t>Convênio</t>
        </is>
      </c>
      <c r="E77" t="n">
        <v>2023</v>
      </c>
      <c r="F77" s="286" t="inlineStr">
        <is>
          <t>953750</t>
        </is>
      </c>
      <c r="G77" s="286" t="inlineStr">
        <is>
          <t>95819423002</t>
        </is>
      </c>
      <c r="H77" t="inlineStr">
        <is>
          <t>EM EXECUÇÃO</t>
        </is>
      </c>
    </row>
    <row r="78">
      <c r="A78" t="inlineStr">
        <is>
          <t>SP</t>
        </is>
      </c>
      <c r="B78" t="inlineStr">
        <is>
          <t>SAO PAULO</t>
        </is>
      </c>
      <c r="C78" t="inlineStr">
        <is>
          <t>CASA DE SAUDE SANTA MARCELINA</t>
        </is>
      </c>
      <c r="D78" t="inlineStr">
        <is>
          <t>Convênio</t>
        </is>
      </c>
      <c r="E78" t="n">
        <v>2023</v>
      </c>
      <c r="F78" s="286" t="inlineStr">
        <is>
          <t>953739</t>
        </is>
      </c>
      <c r="G78" s="286" t="inlineStr">
        <is>
          <t>96074223005</t>
        </is>
      </c>
      <c r="H78" t="inlineStr">
        <is>
          <t>EM EXECUÇÃO</t>
        </is>
      </c>
    </row>
    <row r="79">
      <c r="A79" t="inlineStr">
        <is>
          <t>SP</t>
        </is>
      </c>
      <c r="B79" t="inlineStr">
        <is>
          <t>SAO PAULO</t>
        </is>
      </c>
      <c r="C79" t="inlineStr">
        <is>
          <t>GRUPO DE APOIO AO ADOLESCENTE E A CRIANCA COM C GRAACC</t>
        </is>
      </c>
      <c r="D79" t="inlineStr">
        <is>
          <t>Convênio</t>
        </is>
      </c>
      <c r="E79" t="n">
        <v>2023</v>
      </c>
      <c r="F79" s="286" t="inlineStr">
        <is>
          <t>954006</t>
        </is>
      </c>
      <c r="G79" s="286" t="inlineStr">
        <is>
          <t>96718523002</t>
        </is>
      </c>
      <c r="H79" t="inlineStr">
        <is>
          <t>PRESTAÇÃO DE CONTAS ENVIADA PARA ANÁLISE</t>
        </is>
      </c>
    </row>
    <row r="80">
      <c r="A80" t="inlineStr">
        <is>
          <t>PR</t>
        </is>
      </c>
      <c r="B80" t="inlineStr">
        <is>
          <t>CURITIBA</t>
        </is>
      </c>
      <c r="C80" t="inlineStr">
        <is>
          <t>LIGA PARANAENSE DE COMBATE AO CANCER</t>
        </is>
      </c>
      <c r="D80" t="inlineStr">
        <is>
          <t>Convênio</t>
        </is>
      </c>
      <c r="E80" t="n">
        <v>2023</v>
      </c>
      <c r="F80" s="286" t="inlineStr">
        <is>
          <t>948692</t>
        </is>
      </c>
      <c r="G80" s="286" t="inlineStr">
        <is>
          <t>97659123017</t>
        </is>
      </c>
      <c r="H80" t="inlineStr">
        <is>
          <t>EM EXECUÇÃO</t>
        </is>
      </c>
    </row>
    <row r="81">
      <c r="A81" t="inlineStr">
        <is>
          <t>PR</t>
        </is>
      </c>
      <c r="B81" t="inlineStr">
        <is>
          <t>LONDRINA</t>
        </is>
      </c>
      <c r="C81" t="inlineStr">
        <is>
          <t>INSTITUTO DE CANCER DE LONDRINA</t>
        </is>
      </c>
      <c r="D81" t="inlineStr">
        <is>
          <t>Convênio</t>
        </is>
      </c>
      <c r="E81" t="n">
        <v>2023</v>
      </c>
      <c r="F81" s="286" t="inlineStr">
        <is>
          <t>948691</t>
        </is>
      </c>
      <c r="G81" s="286" t="inlineStr">
        <is>
          <t>97863323009</t>
        </is>
      </c>
      <c r="H81" t="inlineStr">
        <is>
          <t>EM EXECUÇÃO</t>
        </is>
      </c>
    </row>
    <row r="82">
      <c r="A82" t="inlineStr">
        <is>
          <t>SC</t>
        </is>
      </c>
      <c r="B82" t="inlineStr">
        <is>
          <t>BLUMENAU</t>
        </is>
      </c>
      <c r="C82" t="inlineStr">
        <is>
          <t>FUNDACAO HOSPITALAR DE BLUMENAU</t>
        </is>
      </c>
      <c r="D82" t="inlineStr">
        <is>
          <t>Convênio</t>
        </is>
      </c>
      <c r="E82" t="n">
        <v>2023</v>
      </c>
      <c r="F82" s="286" t="inlineStr">
        <is>
          <t>948696</t>
        </is>
      </c>
      <c r="G82" s="286" t="inlineStr">
        <is>
          <t>98265423003</t>
        </is>
      </c>
      <c r="H82" t="inlineStr">
        <is>
          <t>NORMAL</t>
        </is>
      </c>
    </row>
    <row r="83">
      <c r="A83" t="inlineStr">
        <is>
          <t>RS</t>
        </is>
      </c>
      <c r="B83" t="inlineStr">
        <is>
          <t>IJUI</t>
        </is>
      </c>
      <c r="C83" t="inlineStr">
        <is>
          <t>ASSOCIACAO HOSPITAL DE CARIDADE IJUI</t>
        </is>
      </c>
      <c r="D83" t="inlineStr">
        <is>
          <t>Convênio</t>
        </is>
      </c>
      <c r="E83" t="n">
        <v>2023</v>
      </c>
      <c r="F83" s="286" t="inlineStr">
        <is>
          <t>948694</t>
        </is>
      </c>
      <c r="G83" s="286" t="inlineStr">
        <is>
          <t>99073023004</t>
        </is>
      </c>
      <c r="H83" t="inlineStr">
        <is>
          <t>PRESTAÇÃO DE CONTAS ENVIADA PARA ANÁLISE</t>
        </is>
      </c>
    </row>
    <row r="84">
      <c r="A84" t="inlineStr">
        <is>
          <t>RS</t>
        </is>
      </c>
      <c r="B84" t="inlineStr">
        <is>
          <t>LAJEADO</t>
        </is>
      </c>
      <c r="C84" t="inlineStr">
        <is>
          <t>SOCIEDADE BENEFICENCIA E CARIDADE DE LAJEADO</t>
        </is>
      </c>
      <c r="D84" t="inlineStr">
        <is>
          <t>Convênio</t>
        </is>
      </c>
      <c r="E84" t="n">
        <v>2023</v>
      </c>
      <c r="F84" s="286" t="inlineStr">
        <is>
          <t>953718</t>
        </is>
      </c>
      <c r="G84" s="286" t="inlineStr">
        <is>
          <t>99116223004</t>
        </is>
      </c>
      <c r="H84" t="inlineStr">
        <is>
          <t>PRESTAÇÃO DE CONTAS ENVIADA PARA ANÁLISE</t>
        </is>
      </c>
    </row>
    <row r="85">
      <c r="A85" t="inlineStr">
        <is>
          <t>RS</t>
        </is>
      </c>
      <c r="B85" t="inlineStr">
        <is>
          <t>PASSO FUNDO</t>
        </is>
      </c>
      <c r="C85" t="inlineStr">
        <is>
          <t>ASSOCIACAO HOSPITALAR BENEFICENTE SAO VICENTE DE PAULO</t>
        </is>
      </c>
      <c r="D85" t="inlineStr">
        <is>
          <t>Convênio</t>
        </is>
      </c>
      <c r="E85" t="n">
        <v>2023</v>
      </c>
      <c r="F85" s="286" t="inlineStr">
        <is>
          <t>948695</t>
        </is>
      </c>
      <c r="G85" s="286" t="inlineStr">
        <is>
          <t>99202123008</t>
        </is>
      </c>
      <c r="H85" t="inlineStr">
        <is>
          <t>EM EXECUÇÃO</t>
        </is>
      </c>
    </row>
    <row r="86">
      <c r="A86" t="inlineStr">
        <is>
          <t>SP</t>
        </is>
      </c>
      <c r="B86" t="inlineStr">
        <is>
          <t>BOTUCATU</t>
        </is>
      </c>
      <c r="C86" t="inlineStr">
        <is>
          <t>FUNDACAO PARA O DESENVOLVIMENTO MEDICO E HOSPITALAR</t>
        </is>
      </c>
      <c r="D86" t="inlineStr">
        <is>
          <t>Convênio</t>
        </is>
      </c>
      <c r="E86" t="n">
        <v>2021</v>
      </c>
      <c r="F86" s="286" t="inlineStr">
        <is>
          <t>925320</t>
        </is>
      </c>
      <c r="G86" s="286" t="inlineStr">
        <is>
          <t>94623021002</t>
        </is>
      </c>
      <c r="H86" t="inlineStr">
        <is>
          <t>EM EXECUÇÃO</t>
        </is>
      </c>
    </row>
    <row r="87">
      <c r="A87" t="inlineStr">
        <is>
          <t>SP</t>
        </is>
      </c>
      <c r="B87" t="inlineStr">
        <is>
          <t>LIMEIRA</t>
        </is>
      </c>
      <c r="C87" t="inlineStr">
        <is>
          <t>IRMANDADE DA SANTA CASA DE MISERICORDIA DE LIMEIRA</t>
        </is>
      </c>
      <c r="D87" t="inlineStr">
        <is>
          <t>Convênio</t>
        </is>
      </c>
      <c r="E87" t="n">
        <v>2020</v>
      </c>
      <c r="F87" s="286" t="inlineStr">
        <is>
          <t>904824</t>
        </is>
      </c>
      <c r="G87" s="286" t="inlineStr">
        <is>
          <t>95147320001</t>
        </is>
      </c>
      <c r="H87" t="inlineStr">
        <is>
          <t>PRESTAÇÃO DE CONTAS ENVIADA PARA ANÁLISE</t>
        </is>
      </c>
    </row>
    <row r="88">
      <c r="A88" t="inlineStr">
        <is>
          <t>MG</t>
        </is>
      </c>
      <c r="B88" t="inlineStr">
        <is>
          <t>VARGINHA</t>
        </is>
      </c>
      <c r="C88" t="inlineStr">
        <is>
          <t>FUNDO MUNICIPAL DE SAUDE</t>
        </is>
      </c>
      <c r="D88" t="inlineStr">
        <is>
          <t>FAF</t>
        </is>
      </c>
      <c r="E88" t="n">
        <v>2023</v>
      </c>
      <c r="F88" s="286" t="inlineStr">
        <is>
          <t>25000198305202459</t>
        </is>
      </c>
      <c r="G88" s="286" t="inlineStr">
        <is>
          <t>11234223000123029</t>
        </is>
      </c>
      <c r="H88" t="inlineStr">
        <is>
          <t>ACL em monitoramento</t>
        </is>
      </c>
    </row>
    <row r="89">
      <c r="A89" t="inlineStr">
        <is>
          <t>SP</t>
        </is>
      </c>
      <c r="B89" t="inlineStr">
        <is>
          <t>CAMPINAS</t>
        </is>
      </c>
      <c r="C89" t="inlineStr">
        <is>
          <t>FUNDAÇÃO ESTADUAL DE SAÚDE - FUNDES</t>
        </is>
      </c>
      <c r="D89" t="inlineStr">
        <is>
          <t>FAF</t>
        </is>
      </c>
      <c r="E89" t="n">
        <v>2023</v>
      </c>
      <c r="F89" s="286" t="inlineStr">
        <is>
          <t>25000000157202522</t>
        </is>
      </c>
      <c r="G89" s="286" t="inlineStr">
        <is>
          <t>13851748000123041</t>
        </is>
      </c>
      <c r="H89" t="inlineStr">
        <is>
          <t>ACL em monitoramento</t>
        </is>
      </c>
    </row>
    <row r="90">
      <c r="A90" t="inlineStr">
        <is>
          <t>RJ</t>
        </is>
      </c>
      <c r="B90" t="inlineStr">
        <is>
          <t>RIO DE JANEIRO</t>
        </is>
      </c>
      <c r="C90" t="inlineStr">
        <is>
          <t>FUNDO ESTADUAL DE SAUDE FES</t>
        </is>
      </c>
      <c r="D90" t="inlineStr">
        <is>
          <t>FAF</t>
        </is>
      </c>
      <c r="E90" t="n">
        <v>2023</v>
      </c>
      <c r="F90" s="286" t="inlineStr">
        <is>
          <t>25000000145202506</t>
        </is>
      </c>
      <c r="G90" s="286" t="inlineStr">
        <is>
          <t>35949791000123006</t>
        </is>
      </c>
      <c r="H90" t="inlineStr">
        <is>
          <t>ACL em monitoramento</t>
        </is>
      </c>
    </row>
    <row r="91">
      <c r="A91" t="inlineStr">
        <is>
          <t>RS</t>
        </is>
      </c>
      <c r="B91" t="inlineStr">
        <is>
          <t>PORTO ALEGRE</t>
        </is>
      </c>
      <c r="C91" t="inlineStr">
        <is>
          <t>HOSPITAL DE CLINICAS DE PORTO ALEGRE</t>
        </is>
      </c>
      <c r="D91" t="inlineStr">
        <is>
          <t>TED</t>
        </is>
      </c>
      <c r="E91" t="n">
        <v>2023</v>
      </c>
      <c r="F91" s="286" t="inlineStr">
        <is>
          <t>144</t>
        </is>
      </c>
      <c r="G91" s="286" t="inlineStr">
        <is>
          <t>00030420230100002025</t>
        </is>
      </c>
      <c r="H91" t="inlineStr">
        <is>
          <t>ACL em monitoramento</t>
        </is>
      </c>
    </row>
    <row r="92">
      <c r="A92" t="inlineStr">
        <is>
          <t>SP</t>
        </is>
      </c>
      <c r="B92" t="inlineStr">
        <is>
          <t>SAO PAULO</t>
        </is>
      </c>
      <c r="C92" t="inlineStr">
        <is>
          <t>CASA DE SAUDE SANTA MARCELINA</t>
        </is>
      </c>
      <c r="D92" t="inlineStr">
        <is>
          <t>Convênio</t>
        </is>
      </c>
      <c r="E92" t="n">
        <v>2023</v>
      </c>
      <c r="F92" s="286" t="inlineStr">
        <is>
          <t>949415</t>
        </is>
      </c>
      <c r="G92" s="286" t="inlineStr">
        <is>
          <t>96074223008</t>
        </is>
      </c>
      <c r="H92" t="inlineStr">
        <is>
          <t>EM EXECUÇÃO</t>
        </is>
      </c>
    </row>
    <row r="93">
      <c r="A93" t="inlineStr">
        <is>
          <t>MG</t>
        </is>
      </c>
      <c r="B93" t="inlineStr">
        <is>
          <t>MONTES CLAROS</t>
        </is>
      </c>
      <c r="C93" t="inlineStr">
        <is>
          <t>FUNDACAO DE SAUDE DILSON DE QUADROS GODINHO</t>
        </is>
      </c>
      <c r="D93" t="inlineStr">
        <is>
          <t>Convênio</t>
        </is>
      </c>
      <c r="E93" t="n">
        <v>2024</v>
      </c>
      <c r="F93" s="286" t="inlineStr">
        <is>
          <t>970350</t>
        </is>
      </c>
      <c r="G93" s="286" t="inlineStr">
        <is>
          <t>90099124001</t>
        </is>
      </c>
      <c r="H93" t="inlineStr">
        <is>
          <t>EM EXECUÇÃO</t>
        </is>
      </c>
    </row>
    <row r="94">
      <c r="A94" t="inlineStr">
        <is>
          <t>TO</t>
        </is>
      </c>
      <c r="B94" t="inlineStr">
        <is>
          <t>ARAGUAINA</t>
        </is>
      </c>
      <c r="C94" t="inlineStr">
        <is>
          <t>CASA DE CARIDADE DOM ORIONE</t>
        </is>
      </c>
      <c r="D94" t="inlineStr">
        <is>
          <t>Convênio</t>
        </is>
      </c>
      <c r="E94" t="n">
        <v>2024</v>
      </c>
      <c r="F94" s="286" t="inlineStr">
        <is>
          <t>971355</t>
        </is>
      </c>
      <c r="G94" s="286" t="inlineStr">
        <is>
          <t>90136824006</t>
        </is>
      </c>
      <c r="H94" t="inlineStr">
        <is>
          <t>NORMAL</t>
        </is>
      </c>
    </row>
    <row r="95">
      <c r="A95" t="inlineStr">
        <is>
          <t>MS</t>
        </is>
      </c>
      <c r="B95" t="inlineStr">
        <is>
          <t>CAMPO GRANDE</t>
        </is>
      </c>
      <c r="C95" t="inlineStr">
        <is>
          <t>FUNDACAO CARMEM PRUDENTE DE MATO GROSSO DO SUL</t>
        </is>
      </c>
      <c r="D95" t="inlineStr">
        <is>
          <t>Convênio</t>
        </is>
      </c>
      <c r="E95" t="n">
        <v>2024</v>
      </c>
      <c r="F95" s="286" t="inlineStr">
        <is>
          <t>959453</t>
        </is>
      </c>
      <c r="G95" s="286" t="inlineStr">
        <is>
          <t>90322124003</t>
        </is>
      </c>
      <c r="H95" t="inlineStr">
        <is>
          <t>PRESTAÇÃO DE CONTAS APROVADA</t>
        </is>
      </c>
    </row>
    <row r="96">
      <c r="A96" t="inlineStr">
        <is>
          <t>RN</t>
        </is>
      </c>
      <c r="B96" t="inlineStr">
        <is>
          <t>MOSSORO</t>
        </is>
      </c>
      <c r="C96" t="inlineStr">
        <is>
          <t>LIGA MOSSOROENSE DE ESTUDOS E COMBATE AO CANCER</t>
        </is>
      </c>
      <c r="D96" t="inlineStr">
        <is>
          <t>Convênio</t>
        </is>
      </c>
      <c r="E96" t="n">
        <v>2024</v>
      </c>
      <c r="F96" s="286" t="inlineStr">
        <is>
          <t>971398</t>
        </is>
      </c>
      <c r="G96" s="286" t="inlineStr">
        <is>
          <t>90402624002</t>
        </is>
      </c>
      <c r="H96" t="inlineStr">
        <is>
          <t>EM EXECUÇÃO</t>
        </is>
      </c>
    </row>
    <row r="97">
      <c r="A97" t="inlineStr">
        <is>
          <t>RN</t>
        </is>
      </c>
      <c r="B97" t="inlineStr">
        <is>
          <t>MOSSORO</t>
        </is>
      </c>
      <c r="C97" t="inlineStr">
        <is>
          <t>LIGA MOSSOROENSE DE ESTUDOS E COMBATE AO CANCER</t>
        </is>
      </c>
      <c r="D97" t="inlineStr">
        <is>
          <t>Convênio</t>
        </is>
      </c>
      <c r="E97" t="n">
        <v>2024</v>
      </c>
      <c r="F97" s="286" t="inlineStr">
        <is>
          <t>970514</t>
        </is>
      </c>
      <c r="G97" s="286" t="inlineStr">
        <is>
          <t>90402624003</t>
        </is>
      </c>
      <c r="H97" t="inlineStr">
        <is>
          <t>EM EXECUÇÃO</t>
        </is>
      </c>
    </row>
    <row r="98">
      <c r="A98" t="inlineStr">
        <is>
          <t>RN</t>
        </is>
      </c>
      <c r="B98" t="inlineStr">
        <is>
          <t>MOSSORO</t>
        </is>
      </c>
      <c r="C98" t="inlineStr">
        <is>
          <t>LIGA MOSSOROENSE DE ESTUDOS E COMBATE AO CANCER</t>
        </is>
      </c>
      <c r="D98" t="inlineStr">
        <is>
          <t>Convênio</t>
        </is>
      </c>
      <c r="E98" t="n">
        <v>2024</v>
      </c>
      <c r="F98" s="286" t="inlineStr">
        <is>
          <t>970517</t>
        </is>
      </c>
      <c r="G98" s="286" t="inlineStr">
        <is>
          <t>90402624005</t>
        </is>
      </c>
      <c r="H98" t="inlineStr">
        <is>
          <t>EM EXECUÇÃO</t>
        </is>
      </c>
    </row>
    <row r="99">
      <c r="A99" t="inlineStr">
        <is>
          <t>RS</t>
        </is>
      </c>
      <c r="B99" t="inlineStr">
        <is>
          <t>PORTO ALEGRE</t>
        </is>
      </c>
      <c r="C99" t="inlineStr">
        <is>
          <t>ASSOCIACAO HOSPITALAR VILA NOVA</t>
        </is>
      </c>
      <c r="D99" t="inlineStr">
        <is>
          <t>Convênio</t>
        </is>
      </c>
      <c r="E99" t="n">
        <v>2024</v>
      </c>
      <c r="F99" s="286" t="inlineStr">
        <is>
          <t>970388</t>
        </is>
      </c>
      <c r="G99" s="286" t="inlineStr">
        <is>
          <t>90499424017</t>
        </is>
      </c>
      <c r="H99" t="inlineStr">
        <is>
          <t>EM EXECUÇÃO</t>
        </is>
      </c>
    </row>
    <row r="100">
      <c r="A100" t="inlineStr">
        <is>
          <t>CE</t>
        </is>
      </c>
      <c r="B100" t="inlineStr">
        <is>
          <t>FORTALEZA</t>
        </is>
      </c>
      <c r="C100" t="inlineStr">
        <is>
          <t>INSTITUTO DO CANCER DO CEARA</t>
        </is>
      </c>
      <c r="D100" t="inlineStr">
        <is>
          <t>Convênio</t>
        </is>
      </c>
      <c r="E100" t="n">
        <v>2024</v>
      </c>
      <c r="F100" s="286" t="inlineStr">
        <is>
          <t>971368</t>
        </is>
      </c>
      <c r="G100" s="286" t="inlineStr">
        <is>
          <t>90726524005</t>
        </is>
      </c>
      <c r="H100" t="inlineStr">
        <is>
          <t>EM EXECUÇÃO</t>
        </is>
      </c>
    </row>
    <row r="101">
      <c r="A101" t="inlineStr">
        <is>
          <t>RN</t>
        </is>
      </c>
      <c r="B101" t="inlineStr">
        <is>
          <t>NATAL</t>
        </is>
      </c>
      <c r="C101" t="inlineStr">
        <is>
          <t>LIGA NORTE RIOGRANDENSE CONTRA O CANCER</t>
        </is>
      </c>
      <c r="D101" t="inlineStr">
        <is>
          <t>Convênio</t>
        </is>
      </c>
      <c r="E101" t="n">
        <v>2024</v>
      </c>
      <c r="F101" s="286" t="inlineStr">
        <is>
          <t>961380</t>
        </is>
      </c>
      <c r="G101" s="286" t="inlineStr">
        <is>
          <t>90842824011</t>
        </is>
      </c>
      <c r="H101" t="inlineStr">
        <is>
          <t>EM EXECUÇÃO</t>
        </is>
      </c>
    </row>
    <row r="102">
      <c r="A102" t="inlineStr">
        <is>
          <t>RN</t>
        </is>
      </c>
      <c r="B102" t="inlineStr">
        <is>
          <t>NATAL</t>
        </is>
      </c>
      <c r="C102" t="inlineStr">
        <is>
          <t>LIGA NORTE RIOGRANDENSE CONTRA O CANCER</t>
        </is>
      </c>
      <c r="D102" t="inlineStr">
        <is>
          <t>Convênio</t>
        </is>
      </c>
      <c r="E102" t="n">
        <v>2024</v>
      </c>
      <c r="F102" s="286" t="inlineStr">
        <is>
          <t>970528</t>
        </is>
      </c>
      <c r="G102" s="286" t="inlineStr">
        <is>
          <t>90842824015</t>
        </is>
      </c>
      <c r="H102" t="inlineStr">
        <is>
          <t>EM EXECUÇÃO</t>
        </is>
      </c>
    </row>
    <row r="103">
      <c r="A103" t="inlineStr">
        <is>
          <t>PB</t>
        </is>
      </c>
      <c r="B103" t="inlineStr">
        <is>
          <t>CAMPINA GRANDE</t>
        </is>
      </c>
      <c r="C103" t="inlineStr">
        <is>
          <t>FUNDACAO ASSISTENCIAL DA PARAIBA- FAP</t>
        </is>
      </c>
      <c r="D103" t="inlineStr">
        <is>
          <t>Convênio</t>
        </is>
      </c>
      <c r="E103" t="n">
        <v>2024</v>
      </c>
      <c r="F103" s="286" t="inlineStr">
        <is>
          <t>970364</t>
        </is>
      </c>
      <c r="G103" s="286" t="inlineStr">
        <is>
          <t>90884124007</t>
        </is>
      </c>
      <c r="H103" t="inlineStr">
        <is>
          <t>EM EXECUÇÃO</t>
        </is>
      </c>
    </row>
    <row r="104">
      <c r="A104" t="inlineStr">
        <is>
          <t>PB</t>
        </is>
      </c>
      <c r="B104" t="inlineStr">
        <is>
          <t>JOAO PESSOA</t>
        </is>
      </c>
      <c r="C104" t="inlineStr">
        <is>
          <t>FUNDACAO NAPOLEAO LAUREANO</t>
        </is>
      </c>
      <c r="D104" t="inlineStr">
        <is>
          <t>Convênio</t>
        </is>
      </c>
      <c r="E104" t="n">
        <v>2024</v>
      </c>
      <c r="F104" s="286" t="inlineStr">
        <is>
          <t>971549</t>
        </is>
      </c>
      <c r="G104" s="286" t="inlineStr">
        <is>
          <t>90911224005</t>
        </is>
      </c>
      <c r="H104" t="inlineStr">
        <is>
          <t>EM EXECUÇÃO</t>
        </is>
      </c>
    </row>
    <row r="105">
      <c r="A105" t="inlineStr">
        <is>
          <t>PE</t>
        </is>
      </c>
      <c r="B105" t="inlineStr">
        <is>
          <t>RECIFE</t>
        </is>
      </c>
      <c r="C105" t="inlineStr">
        <is>
          <t>SOCIEDADE PERNAMBUCANA DE COMBATE AO CANCER</t>
        </is>
      </c>
      <c r="D105" t="inlineStr">
        <is>
          <t>Convênio</t>
        </is>
      </c>
      <c r="E105" t="n">
        <v>2024</v>
      </c>
      <c r="F105" s="286" t="inlineStr">
        <is>
          <t>962431</t>
        </is>
      </c>
      <c r="G105" s="286" t="inlineStr">
        <is>
          <t>91089424004</t>
        </is>
      </c>
      <c r="H105" t="inlineStr">
        <is>
          <t>EM EXECUÇÃO</t>
        </is>
      </c>
    </row>
    <row r="106">
      <c r="A106" t="inlineStr">
        <is>
          <t>PE</t>
        </is>
      </c>
      <c r="B106" t="inlineStr">
        <is>
          <t>RECIFE</t>
        </is>
      </c>
      <c r="C106" t="inlineStr">
        <is>
          <t>INSTITUTO DE MEDICINA INTEGRAL PROFESSOR FERNANDO FIGUEIRA - IMIP</t>
        </is>
      </c>
      <c r="D106" t="inlineStr">
        <is>
          <t>Convênio</t>
        </is>
      </c>
      <c r="E106" t="n">
        <v>2024</v>
      </c>
      <c r="F106" s="286" t="inlineStr">
        <is>
          <t>962425</t>
        </is>
      </c>
      <c r="G106" s="286" t="inlineStr">
        <is>
          <t>91098824004</t>
        </is>
      </c>
      <c r="H106" t="inlineStr">
        <is>
          <t>EM EXECUÇÃO</t>
        </is>
      </c>
    </row>
    <row r="107">
      <c r="A107" t="inlineStr">
        <is>
          <t>MT</t>
        </is>
      </c>
      <c r="B107" t="inlineStr">
        <is>
          <t>CUIABA</t>
        </is>
      </c>
      <c r="C107" t="inlineStr">
        <is>
          <t>ASSOCIACAO MATOGROSSENSE DE COMBATE AO CANCER</t>
        </is>
      </c>
      <c r="D107" t="inlineStr">
        <is>
          <t>Convênio</t>
        </is>
      </c>
      <c r="E107" t="n">
        <v>2024</v>
      </c>
      <c r="F107" s="286" t="inlineStr">
        <is>
          <t>970357</t>
        </is>
      </c>
      <c r="G107" s="286" t="inlineStr">
        <is>
          <t>92467224005</t>
        </is>
      </c>
      <c r="H107" t="inlineStr">
        <is>
          <t>EM EXECUÇÃO</t>
        </is>
      </c>
    </row>
    <row r="108">
      <c r="A108" t="inlineStr">
        <is>
          <t>MT</t>
        </is>
      </c>
      <c r="B108" t="inlineStr">
        <is>
          <t>CUIABA</t>
        </is>
      </c>
      <c r="C108" t="inlineStr">
        <is>
          <t>ASSOCIAÇÃO MATOGROSSENSE DE COMBATE AO CÂNCER</t>
        </is>
      </c>
      <c r="D108" t="inlineStr">
        <is>
          <t>Convênio</t>
        </is>
      </c>
      <c r="E108" t="n">
        <v>2024</v>
      </c>
      <c r="F108" s="286" t="inlineStr">
        <is>
          <t>971380</t>
        </is>
      </c>
      <c r="G108" s="286" t="inlineStr">
        <is>
          <t>92467224006</t>
        </is>
      </c>
      <c r="H108" t="inlineStr">
        <is>
          <t>EM EXECUÇÃO</t>
        </is>
      </c>
    </row>
    <row r="109">
      <c r="A109" t="inlineStr">
        <is>
          <t>ES</t>
        </is>
      </c>
      <c r="B109" t="inlineStr">
        <is>
          <t>VITORIA</t>
        </is>
      </c>
      <c r="C109" t="inlineStr">
        <is>
          <t>ASSOCIACAO FEMININA DE EDUCACAO E COMBATE AO CANCER</t>
        </is>
      </c>
      <c r="D109" t="inlineStr">
        <is>
          <t>Convênio</t>
        </is>
      </c>
      <c r="E109" t="n">
        <v>2024</v>
      </c>
      <c r="F109" s="286" t="inlineStr">
        <is>
          <t>962379</t>
        </is>
      </c>
      <c r="G109" s="286" t="inlineStr">
        <is>
          <t>92813724001</t>
        </is>
      </c>
      <c r="H109" t="inlineStr">
        <is>
          <t>PRESTAÇÃO DE CONTAS EM ANÁLISE</t>
        </is>
      </c>
    </row>
    <row r="110">
      <c r="A110" t="inlineStr">
        <is>
          <t>ES</t>
        </is>
      </c>
      <c r="B110" t="inlineStr">
        <is>
          <t>VITORIA</t>
        </is>
      </c>
      <c r="C110" t="inlineStr">
        <is>
          <t>ASSOCIACAO FEMININA DE EDUCACAO E COMBATE AO CANCER</t>
        </is>
      </c>
      <c r="D110" t="inlineStr">
        <is>
          <t>Convênio</t>
        </is>
      </c>
      <c r="E110" t="n">
        <v>2024</v>
      </c>
      <c r="F110" s="286" t="inlineStr">
        <is>
          <t>959424</t>
        </is>
      </c>
      <c r="G110" s="286" t="inlineStr">
        <is>
          <t>92813724002</t>
        </is>
      </c>
      <c r="H110" t="inlineStr">
        <is>
          <t>PRESTAÇÃO DE CONTAS EM ANÁLISE</t>
        </is>
      </c>
    </row>
    <row r="111">
      <c r="A111" t="inlineStr">
        <is>
          <t>ES</t>
        </is>
      </c>
      <c r="B111" t="inlineStr">
        <is>
          <t>VITORIA</t>
        </is>
      </c>
      <c r="C111" t="inlineStr">
        <is>
          <t>ASSOCIACAO FEMININA DE EDUCACAO E COMBATE AO CANCER</t>
        </is>
      </c>
      <c r="D111" t="inlineStr">
        <is>
          <t>Convênio</t>
        </is>
      </c>
      <c r="E111" t="n">
        <v>2024</v>
      </c>
      <c r="F111" s="286" t="inlineStr">
        <is>
          <t>962381</t>
        </is>
      </c>
      <c r="G111" s="286" t="inlineStr">
        <is>
          <t>92813724003</t>
        </is>
      </c>
      <c r="H111" t="inlineStr">
        <is>
          <t>PRESTAÇÃO DE CONTAS EM ANÁLISE</t>
        </is>
      </c>
    </row>
    <row r="112">
      <c r="A112" t="inlineStr">
        <is>
          <t>ES</t>
        </is>
      </c>
      <c r="B112" t="inlineStr">
        <is>
          <t>VITORIA</t>
        </is>
      </c>
      <c r="C112" t="inlineStr">
        <is>
          <t>ASSOCIACAO FEMININA DE EDUCACAO E COMBATE AO CANCER</t>
        </is>
      </c>
      <c r="D112" t="inlineStr">
        <is>
          <t>Convênio</t>
        </is>
      </c>
      <c r="E112" t="n">
        <v>2024</v>
      </c>
      <c r="F112" s="286" t="inlineStr">
        <is>
          <t>961305</t>
        </is>
      </c>
      <c r="G112" s="286" t="inlineStr">
        <is>
          <t>92813724004</t>
        </is>
      </c>
      <c r="H112" t="inlineStr">
        <is>
          <t>PRESTAÇÃO DE CONTAS EM ANÁLISE</t>
        </is>
      </c>
    </row>
    <row r="113">
      <c r="A113" t="inlineStr">
        <is>
          <t>DF</t>
        </is>
      </c>
      <c r="B113" t="inlineStr">
        <is>
          <t>BRASILIA</t>
        </is>
      </c>
      <c r="C113" t="inlineStr">
        <is>
          <t>INSTITUTO HOSPITAL DE BASE DO DISTRITO FEDERAL -IHBDF</t>
        </is>
      </c>
      <c r="D113" t="inlineStr">
        <is>
          <t>Convênio</t>
        </is>
      </c>
      <c r="E113" t="n">
        <v>2024</v>
      </c>
      <c r="F113" s="286" t="inlineStr">
        <is>
          <t>970343</t>
        </is>
      </c>
      <c r="G113" s="286" t="inlineStr">
        <is>
          <t>92848124017</t>
        </is>
      </c>
      <c r="H113" t="inlineStr">
        <is>
          <t>EM EXECUÇÃO</t>
        </is>
      </c>
    </row>
    <row r="114">
      <c r="A114" t="inlineStr">
        <is>
          <t>SP</t>
        </is>
      </c>
      <c r="B114" t="inlineStr">
        <is>
          <t>SAO PAULO</t>
        </is>
      </c>
      <c r="C114" t="inlineStr">
        <is>
          <t>INSTITUTO DO CANCER ARNALDO VIEIRA DE CARVALHO</t>
        </is>
      </c>
      <c r="D114" t="inlineStr">
        <is>
          <t>Convênio</t>
        </is>
      </c>
      <c r="E114" t="n">
        <v>2024</v>
      </c>
      <c r="F114" s="286" t="inlineStr">
        <is>
          <t>961625</t>
        </is>
      </c>
      <c r="G114" s="286" t="inlineStr">
        <is>
          <t>96094524008</t>
        </is>
      </c>
      <c r="H114" t="inlineStr">
        <is>
          <t>EM EXECUÇÃO</t>
        </is>
      </c>
    </row>
    <row r="115">
      <c r="A115" t="inlineStr">
        <is>
          <t>PR</t>
        </is>
      </c>
      <c r="B115" t="inlineStr">
        <is>
          <t>CURITIBA</t>
        </is>
      </c>
      <c r="C115" t="inlineStr">
        <is>
          <t>LIGA PARANAENSE DE COMBATE AO CANCER</t>
        </is>
      </c>
      <c r="D115" t="inlineStr">
        <is>
          <t>Convênio</t>
        </is>
      </c>
      <c r="E115" t="n">
        <v>2024</v>
      </c>
      <c r="F115" s="286" t="inlineStr">
        <is>
          <t>973058</t>
        </is>
      </c>
      <c r="G115" s="286" t="inlineStr">
        <is>
          <t>97659124008</t>
        </is>
      </c>
      <c r="H115" t="inlineStr">
        <is>
          <t>EM EXECUÇÃO</t>
        </is>
      </c>
    </row>
    <row r="116">
      <c r="A116" t="inlineStr">
        <is>
          <t>PR</t>
        </is>
      </c>
      <c r="B116" t="inlineStr">
        <is>
          <t>IBIPORA</t>
        </is>
      </c>
      <c r="C116" t="inlineStr">
        <is>
          <t>ASSOCIACAO DA SANTA CASA DE IBIPORA</t>
        </is>
      </c>
      <c r="D116" t="inlineStr">
        <is>
          <t>Convênio</t>
        </is>
      </c>
      <c r="E116" t="n">
        <v>2024</v>
      </c>
      <c r="F116" s="286" t="inlineStr">
        <is>
          <t>971131</t>
        </is>
      </c>
      <c r="G116" s="286" t="inlineStr">
        <is>
          <t>97807724003</t>
        </is>
      </c>
      <c r="H116" t="inlineStr">
        <is>
          <t>PRESTAÇÃO DE CONTAS INICIADA POR ANTECIPAÇÃO</t>
        </is>
      </c>
    </row>
    <row r="117">
      <c r="A117" t="inlineStr">
        <is>
          <t>PR</t>
        </is>
      </c>
      <c r="B117" t="inlineStr">
        <is>
          <t>CASCAVEL</t>
        </is>
      </c>
      <c r="C117" t="inlineStr">
        <is>
          <t>UNIAO OESTE PARANAENSE DE ESTUDOS E COMBATE AO CANCER</t>
        </is>
      </c>
      <c r="D117" t="inlineStr">
        <is>
          <t>Convênio</t>
        </is>
      </c>
      <c r="E117" t="n">
        <v>2024</v>
      </c>
      <c r="F117" s="286" t="inlineStr">
        <is>
          <t>970458</t>
        </is>
      </c>
      <c r="G117" s="286" t="inlineStr">
        <is>
          <t>98127024010</t>
        </is>
      </c>
      <c r="H117" t="inlineStr">
        <is>
          <t>EM EXECUÇÃO</t>
        </is>
      </c>
    </row>
    <row r="118">
      <c r="A118" t="inlineStr">
        <is>
          <t>RS</t>
        </is>
      </c>
      <c r="B118" t="inlineStr">
        <is>
          <t>PORTO ALEGRE</t>
        </is>
      </c>
      <c r="C118" t="inlineStr">
        <is>
          <t>UNIAO BRASILEIRA DE EDUCACAO E ASSISTENCIA</t>
        </is>
      </c>
      <c r="D118" t="inlineStr">
        <is>
          <t>Convênio</t>
        </is>
      </c>
      <c r="E118" t="n">
        <v>2024</v>
      </c>
      <c r="F118" s="286" t="inlineStr">
        <is>
          <t>971399</t>
        </is>
      </c>
      <c r="G118" s="286" t="inlineStr">
        <is>
          <t>98863024015</t>
        </is>
      </c>
      <c r="H118" t="inlineStr">
        <is>
          <t>EM EXECUÇÃO</t>
        </is>
      </c>
    </row>
    <row r="119">
      <c r="A119" t="inlineStr">
        <is>
          <t>RS</t>
        </is>
      </c>
      <c r="B119" t="inlineStr">
        <is>
          <t>NOVO HAMBURGO</t>
        </is>
      </c>
      <c r="C119" t="inlineStr">
        <is>
          <t>ASSOCIACAO PRO ENSINO SUPERIOR EM NOVO HAMBURGO</t>
        </is>
      </c>
      <c r="D119" t="inlineStr">
        <is>
          <t>Convênio</t>
        </is>
      </c>
      <c r="E119" t="n">
        <v>2024</v>
      </c>
      <c r="F119" s="286" t="inlineStr">
        <is>
          <t>970392</t>
        </is>
      </c>
      <c r="G119" s="286" t="inlineStr">
        <is>
          <t>99169324001</t>
        </is>
      </c>
      <c r="H119" t="inlineStr">
        <is>
          <t>EM EXECUÇÃO</t>
        </is>
      </c>
    </row>
    <row r="120">
      <c r="A120" t="inlineStr">
        <is>
          <t>MG</t>
        </is>
      </c>
      <c r="B120" t="inlineStr">
        <is>
          <t>MURIAE</t>
        </is>
      </c>
      <c r="C120" t="inlineStr">
        <is>
          <t>FUNDACAO CRISTIANO VARELLA</t>
        </is>
      </c>
      <c r="D120" t="inlineStr">
        <is>
          <t>Convênio</t>
        </is>
      </c>
      <c r="E120" t="n">
        <v>2023</v>
      </c>
      <c r="F120" s="286" t="inlineStr">
        <is>
          <t>950115</t>
        </is>
      </c>
      <c r="G120" s="286" t="inlineStr">
        <is>
          <t>90096123004</t>
        </is>
      </c>
      <c r="H120" t="inlineStr">
        <is>
          <t>NORMAL</t>
        </is>
      </c>
    </row>
    <row r="121">
      <c r="A121" t="inlineStr">
        <is>
          <t>GO</t>
        </is>
      </c>
      <c r="B121" t="inlineStr">
        <is>
          <t>GOIANIA</t>
        </is>
      </c>
      <c r="C121" t="inlineStr">
        <is>
          <t>ASSOCIACAO DE COMBATE AO CANCER EM GOIAS</t>
        </is>
      </c>
      <c r="D121" t="inlineStr">
        <is>
          <t>Convênio</t>
        </is>
      </c>
      <c r="E121" t="n">
        <v>2023</v>
      </c>
      <c r="F121" s="286" t="inlineStr">
        <is>
          <t>943991</t>
        </is>
      </c>
      <c r="G121" s="286" t="inlineStr">
        <is>
          <t>90158523001</t>
        </is>
      </c>
      <c r="H121" t="inlineStr">
        <is>
          <t>EM EXECUÇÃO</t>
        </is>
      </c>
    </row>
    <row r="122">
      <c r="A122" t="inlineStr">
        <is>
          <t>PI</t>
        </is>
      </c>
      <c r="B122" t="inlineStr">
        <is>
          <t>TERESINA</t>
        </is>
      </c>
      <c r="C122" t="inlineStr">
        <is>
          <t>ASSOCIACAO PIAUIENSE DE COMBATE AO CANCER ALCENOR ALMEIDA</t>
        </is>
      </c>
      <c r="D122" t="inlineStr">
        <is>
          <t>Convênio</t>
        </is>
      </c>
      <c r="E122" t="n">
        <v>2023</v>
      </c>
      <c r="F122" s="286" t="inlineStr">
        <is>
          <t>943920</t>
        </is>
      </c>
      <c r="G122" s="286" t="inlineStr">
        <is>
          <t>90687023001</t>
        </is>
      </c>
      <c r="H122" t="inlineStr">
        <is>
          <t>NORMAL</t>
        </is>
      </c>
    </row>
    <row r="123">
      <c r="A123" t="inlineStr">
        <is>
          <t>CE</t>
        </is>
      </c>
      <c r="B123" t="inlineStr">
        <is>
          <t>FORTALEZA</t>
        </is>
      </c>
      <c r="C123" t="inlineStr">
        <is>
          <t>INSTITUTO DO CANCER DO CEARA</t>
        </is>
      </c>
      <c r="D123" t="inlineStr">
        <is>
          <t>Convênio</t>
        </is>
      </c>
      <c r="E123" t="n">
        <v>2023</v>
      </c>
      <c r="F123" s="286" t="inlineStr">
        <is>
          <t>946461</t>
        </is>
      </c>
      <c r="G123" s="286" t="inlineStr">
        <is>
          <t>90726523001</t>
        </is>
      </c>
      <c r="H123" t="inlineStr">
        <is>
          <t>PRESTAÇÃO DE CONTAS EM ANÁLISE</t>
        </is>
      </c>
    </row>
    <row r="124">
      <c r="A124" t="inlineStr">
        <is>
          <t>PE</t>
        </is>
      </c>
      <c r="B124" t="inlineStr">
        <is>
          <t>RECIFE</t>
        </is>
      </c>
      <c r="C124" t="inlineStr">
        <is>
          <t>INSTITUTO DE MEDICINA INTEGRAL PROF FERNANDO FIGUEIRA</t>
        </is>
      </c>
      <c r="D124" t="inlineStr">
        <is>
          <t>Convênio</t>
        </is>
      </c>
      <c r="E124" t="n">
        <v>2023</v>
      </c>
      <c r="F124" s="286" t="inlineStr">
        <is>
          <t>942842</t>
        </is>
      </c>
      <c r="G124" s="286" t="inlineStr">
        <is>
          <t>91098823010</t>
        </is>
      </c>
      <c r="H124" t="inlineStr">
        <is>
          <t>PRESTAÇÃO DE CONTAS EM ANÁLISE</t>
        </is>
      </c>
    </row>
    <row r="125">
      <c r="A125" t="inlineStr">
        <is>
          <t>MG</t>
        </is>
      </c>
      <c r="B125" t="inlineStr">
        <is>
          <t>TEOFILO OTONI</t>
        </is>
      </c>
      <c r="C125" t="inlineStr">
        <is>
          <t>ASSOCIACAO HOSPITALAR SANTA ROSALIA</t>
        </is>
      </c>
      <c r="D125" t="inlineStr">
        <is>
          <t>Convênio</t>
        </is>
      </c>
      <c r="E125" t="n">
        <v>2023</v>
      </c>
      <c r="F125" s="286" t="inlineStr">
        <is>
          <t>942625</t>
        </is>
      </c>
      <c r="G125" s="286" t="inlineStr">
        <is>
          <t>92510423006</t>
        </is>
      </c>
      <c r="H125" t="inlineStr">
        <is>
          <t>EM EXECUÇÃO</t>
        </is>
      </c>
    </row>
    <row r="126">
      <c r="A126" t="inlineStr">
        <is>
          <t>MG</t>
        </is>
      </c>
      <c r="B126" t="inlineStr">
        <is>
          <t>UBERABA</t>
        </is>
      </c>
      <c r="C126" t="inlineStr">
        <is>
          <t>ASSOCIACAO DE COMBATE AO CANCER DO BRASIL CENTRAL</t>
        </is>
      </c>
      <c r="D126" t="inlineStr">
        <is>
          <t>Convênio</t>
        </is>
      </c>
      <c r="E126" t="n">
        <v>2023</v>
      </c>
      <c r="F126" s="286" t="inlineStr">
        <is>
          <t>950114</t>
        </is>
      </c>
      <c r="G126" s="286" t="inlineStr">
        <is>
          <t>92543823002</t>
        </is>
      </c>
      <c r="H126" t="inlineStr">
        <is>
          <t>EM EXECUÇÃO</t>
        </is>
      </c>
    </row>
    <row r="127">
      <c r="A127" t="inlineStr">
        <is>
          <t>DF</t>
        </is>
      </c>
      <c r="B127" t="inlineStr">
        <is>
          <t>BRASILIA</t>
        </is>
      </c>
      <c r="C127" t="inlineStr">
        <is>
          <t>HOSPITAL REGIONAL DE SANTA MARIA</t>
        </is>
      </c>
      <c r="D127" t="inlineStr">
        <is>
          <t>Convênio</t>
        </is>
      </c>
      <c r="E127" t="n">
        <v>2023</v>
      </c>
      <c r="F127" s="286" t="inlineStr">
        <is>
          <t>943969</t>
        </is>
      </c>
      <c r="G127" s="286" t="inlineStr">
        <is>
          <t>92848123008</t>
        </is>
      </c>
      <c r="H127" t="inlineStr">
        <is>
          <t>EM EXECUÇÃO</t>
        </is>
      </c>
    </row>
    <row r="128">
      <c r="A128" t="inlineStr">
        <is>
          <t>DF</t>
        </is>
      </c>
      <c r="B128" t="inlineStr">
        <is>
          <t>BRASILIA</t>
        </is>
      </c>
      <c r="C128" t="inlineStr">
        <is>
          <t>HOSPITAL DE BASE DO DISTRITO FEDERAL</t>
        </is>
      </c>
      <c r="D128" t="inlineStr">
        <is>
          <t>Convênio</t>
        </is>
      </c>
      <c r="E128" t="n">
        <v>2023</v>
      </c>
      <c r="F128" s="286" t="inlineStr">
        <is>
          <t>943884</t>
        </is>
      </c>
      <c r="G128" s="286" t="inlineStr">
        <is>
          <t>92848123010</t>
        </is>
      </c>
      <c r="H128" t="inlineStr">
        <is>
          <t>EM EXECUÇÃO</t>
        </is>
      </c>
    </row>
    <row r="129">
      <c r="A129" t="inlineStr">
        <is>
          <t>SP</t>
        </is>
      </c>
      <c r="B129" t="inlineStr">
        <is>
          <t>BARRETOS</t>
        </is>
      </c>
      <c r="C129" t="inlineStr">
        <is>
          <t>FUNDACAO PIO XII BARRETOS</t>
        </is>
      </c>
      <c r="D129" t="inlineStr">
        <is>
          <t>Convênio</t>
        </is>
      </c>
      <c r="E129" t="n">
        <v>2023</v>
      </c>
      <c r="F129" s="286" t="inlineStr">
        <is>
          <t>947256</t>
        </is>
      </c>
      <c r="G129" s="286" t="inlineStr">
        <is>
          <t>94915023004</t>
        </is>
      </c>
      <c r="H129" t="inlineStr">
        <is>
          <t>EM EXECUÇÃO</t>
        </is>
      </c>
    </row>
    <row r="130">
      <c r="A130" t="inlineStr">
        <is>
          <t>SP</t>
        </is>
      </c>
      <c r="B130" t="inlineStr">
        <is>
          <t>CAMPINAS</t>
        </is>
      </c>
      <c r="C130" t="inlineStr">
        <is>
          <t>CENTRO INFANTIL DE INVESTIGACAO HEMAT DR DOMINGOS A BOLDRINI</t>
        </is>
      </c>
      <c r="D130" t="inlineStr">
        <is>
          <t>Convênio</t>
        </is>
      </c>
      <c r="E130" t="n">
        <v>2023</v>
      </c>
      <c r="F130" s="286" t="inlineStr">
        <is>
          <t>947198</t>
        </is>
      </c>
      <c r="G130" s="286" t="inlineStr">
        <is>
          <t>95004623003</t>
        </is>
      </c>
      <c r="H130" t="inlineStr">
        <is>
          <t>EM EXECUÇÃO</t>
        </is>
      </c>
    </row>
    <row r="131">
      <c r="A131" t="inlineStr">
        <is>
          <t>SP</t>
        </is>
      </c>
      <c r="B131" t="inlineStr">
        <is>
          <t>JAU</t>
        </is>
      </c>
      <c r="C131" t="inlineStr">
        <is>
          <t>FUNDACAO DR AMARAL CARVALHO</t>
        </is>
      </c>
      <c r="D131" t="inlineStr">
        <is>
          <t>Convênio</t>
        </is>
      </c>
      <c r="E131" t="n">
        <v>2023</v>
      </c>
      <c r="F131" s="286" t="inlineStr">
        <is>
          <t>945693</t>
        </is>
      </c>
      <c r="G131" s="286" t="inlineStr">
        <is>
          <t>95075323001</t>
        </is>
      </c>
      <c r="H131" t="inlineStr">
        <is>
          <t>PRESTAÇÃO DE CONTAS ENVIADA PARA ANÁLISE</t>
        </is>
      </c>
    </row>
    <row r="132">
      <c r="A132" t="inlineStr">
        <is>
          <t>SP</t>
        </is>
      </c>
      <c r="B132" t="inlineStr">
        <is>
          <t>SOROCABA</t>
        </is>
      </c>
      <c r="C132" t="inlineStr">
        <is>
          <t>IRMANDADE DA SANTA CASA DE MISERICORDIA DE SOROCABA</t>
        </is>
      </c>
      <c r="D132" t="inlineStr">
        <is>
          <t>Convênio</t>
        </is>
      </c>
      <c r="E132" t="n">
        <v>2023</v>
      </c>
      <c r="F132" s="286" t="inlineStr">
        <is>
          <t>950511</t>
        </is>
      </c>
      <c r="G132" s="286" t="inlineStr">
        <is>
          <t>97148523008</t>
        </is>
      </c>
      <c r="H132" t="inlineStr">
        <is>
          <t>EM EXECUÇÃO</t>
        </is>
      </c>
    </row>
    <row r="133">
      <c r="A133" t="inlineStr">
        <is>
          <t>PR</t>
        </is>
      </c>
      <c r="B133" t="inlineStr">
        <is>
          <t>CURITIBA</t>
        </is>
      </c>
      <c r="C133" t="inlineStr">
        <is>
          <t>LIGA PARANAENSE DE COMBATE AO CANCER</t>
        </is>
      </c>
      <c r="D133" t="inlineStr">
        <is>
          <t>Convênio</t>
        </is>
      </c>
      <c r="E133" t="n">
        <v>2023</v>
      </c>
      <c r="F133" s="286" t="inlineStr">
        <is>
          <t>943960</t>
        </is>
      </c>
      <c r="G133" s="286" t="inlineStr">
        <is>
          <t>97659123003</t>
        </is>
      </c>
      <c r="H133" t="inlineStr">
        <is>
          <t>NORMAL</t>
        </is>
      </c>
    </row>
    <row r="134">
      <c r="A134" t="inlineStr">
        <is>
          <t>PR</t>
        </is>
      </c>
      <c r="B134" t="inlineStr">
        <is>
          <t>CASCAVEL</t>
        </is>
      </c>
      <c r="C134" t="inlineStr">
        <is>
          <t>UNIAO OESTE PARANAENSE DE ESTUDOS E COMBATE AO CANCER</t>
        </is>
      </c>
      <c r="D134" t="inlineStr">
        <is>
          <t>Convênio</t>
        </is>
      </c>
      <c r="E134" t="n">
        <v>2023</v>
      </c>
      <c r="F134" s="286" t="inlineStr">
        <is>
          <t>947285</t>
        </is>
      </c>
      <c r="G134" s="286" t="inlineStr">
        <is>
          <t>98127023006</t>
        </is>
      </c>
      <c r="H134" t="inlineStr">
        <is>
          <t>EM EXECUÇÃO</t>
        </is>
      </c>
    </row>
    <row r="135">
      <c r="A135" t="inlineStr">
        <is>
          <t>RS</t>
        </is>
      </c>
      <c r="B135" t="inlineStr">
        <is>
          <t>BENTO GONCALVES</t>
        </is>
      </c>
      <c r="C135" t="inlineStr">
        <is>
          <t>ASSOCIACAO DR BARTHOLOMEU TACCHINI</t>
        </is>
      </c>
      <c r="D135" t="inlineStr">
        <is>
          <t>Convênio</t>
        </is>
      </c>
      <c r="E135" t="n">
        <v>2023</v>
      </c>
      <c r="F135" s="286" t="inlineStr">
        <is>
          <t>943922</t>
        </is>
      </c>
      <c r="G135" s="286" t="inlineStr">
        <is>
          <t>98754723001</t>
        </is>
      </c>
      <c r="H135" t="inlineStr">
        <is>
          <t>EM EXECUÇÃO</t>
        </is>
      </c>
    </row>
    <row r="136">
      <c r="A136" t="inlineStr">
        <is>
          <t>RS</t>
        </is>
      </c>
      <c r="B136" t="inlineStr">
        <is>
          <t>PORTO ALEGRE</t>
        </is>
      </c>
      <c r="C136" t="inlineStr">
        <is>
          <t>IRMANDADE DA SANTA CASA DE MISERICORDIA DE PORTO ALEGRE</t>
        </is>
      </c>
      <c r="D136" t="inlineStr">
        <is>
          <t>Convênio</t>
        </is>
      </c>
      <c r="E136" t="n">
        <v>2023</v>
      </c>
      <c r="F136" s="286" t="inlineStr">
        <is>
          <t>949404</t>
        </is>
      </c>
      <c r="G136" s="286" t="inlineStr">
        <is>
          <t>99281523005</t>
        </is>
      </c>
      <c r="H136" t="inlineStr">
        <is>
          <t>EM EXECUÇÃO</t>
        </is>
      </c>
    </row>
    <row r="137">
      <c r="A137" t="inlineStr">
        <is>
          <t>PB</t>
        </is>
      </c>
      <c r="B137" t="inlineStr">
        <is>
          <t>JOAO PESSOA</t>
        </is>
      </c>
      <c r="C137" t="inlineStr">
        <is>
          <t>FUNDO MUNICIPAL DE SAUDE</t>
        </is>
      </c>
      <c r="D137" t="inlineStr">
        <is>
          <t>FAF</t>
        </is>
      </c>
      <c r="E137" t="n">
        <v>2024</v>
      </c>
      <c r="F137" s="286" t="inlineStr">
        <is>
          <t>NI</t>
        </is>
      </c>
      <c r="G137" s="286" t="inlineStr">
        <is>
          <t>08715618000124011</t>
        </is>
      </c>
      <c r="H137" t="inlineStr">
        <is>
          <t>A monitorar</t>
        </is>
      </c>
    </row>
    <row r="138">
      <c r="A138" t="inlineStr">
        <is>
          <t>CE</t>
        </is>
      </c>
      <c r="B138" t="inlineStr">
        <is>
          <t>NOVA RUSSAS</t>
        </is>
      </c>
      <c r="C138" t="inlineStr">
        <is>
          <t>FUNDO MUNICIPAL DE SAUDE DE NOVA RUSSAS</t>
        </is>
      </c>
      <c r="D138" t="inlineStr">
        <is>
          <t>FAF</t>
        </is>
      </c>
      <c r="E138" t="n">
        <v>2024</v>
      </c>
      <c r="F138" s="286" t="inlineStr">
        <is>
          <t>NI</t>
        </is>
      </c>
      <c r="G138" s="286" t="inlineStr">
        <is>
          <t>11372601000124022</t>
        </is>
      </c>
      <c r="H138" t="inlineStr">
        <is>
          <t>A monitorar</t>
        </is>
      </c>
    </row>
    <row r="139">
      <c r="A139" t="inlineStr">
        <is>
          <t>RJ</t>
        </is>
      </c>
      <c r="B139" t="inlineStr">
        <is>
          <t>SAO GONCALO</t>
        </is>
      </c>
      <c r="C139" t="inlineStr">
        <is>
          <t>FUNDO MUNICIPAL DE SAUDE DE SAO GONCALO</t>
        </is>
      </c>
      <c r="D139" t="inlineStr">
        <is>
          <t>FAF</t>
        </is>
      </c>
      <c r="E139" t="n">
        <v>2024</v>
      </c>
      <c r="F139" s="286" t="inlineStr">
        <is>
          <t>NI</t>
        </is>
      </c>
      <c r="G139" s="286" t="inlineStr">
        <is>
          <t>11884903000124042</t>
        </is>
      </c>
      <c r="H139" t="inlineStr">
        <is>
          <t>A monitorar</t>
        </is>
      </c>
    </row>
    <row r="140">
      <c r="A140" t="inlineStr">
        <is>
          <t>DF</t>
        </is>
      </c>
      <c r="B140" t="inlineStr">
        <is>
          <t>BRASILIA</t>
        </is>
      </c>
      <c r="C140" t="inlineStr">
        <is>
          <t>FUNDO DE SAUDE DO DISTRITO FEDERAL</t>
        </is>
      </c>
      <c r="D140" t="inlineStr">
        <is>
          <t>FAF</t>
        </is>
      </c>
      <c r="E140" t="n">
        <v>2024</v>
      </c>
      <c r="F140" s="286" t="inlineStr">
        <is>
          <t>NI</t>
        </is>
      </c>
      <c r="G140" s="286" t="inlineStr">
        <is>
          <t>12116247000124076</t>
        </is>
      </c>
      <c r="H140" t="inlineStr">
        <is>
          <t>A monitorar</t>
        </is>
      </c>
    </row>
    <row r="141">
      <c r="A141" t="inlineStr">
        <is>
          <t>DF</t>
        </is>
      </c>
      <c r="B141" t="inlineStr">
        <is>
          <t>BRASILIA</t>
        </is>
      </c>
      <c r="C141" t="inlineStr">
        <is>
          <t>FUNDO DE SAUDE DO DISTRITO FEDERAL</t>
        </is>
      </c>
      <c r="D141" t="inlineStr">
        <is>
          <t>FAF</t>
        </is>
      </c>
      <c r="E141" t="n">
        <v>2024</v>
      </c>
      <c r="F141" s="286" t="inlineStr">
        <is>
          <t>NI</t>
        </is>
      </c>
      <c r="G141" s="286" t="inlineStr">
        <is>
          <t>12116247000124089</t>
        </is>
      </c>
      <c r="H141" t="inlineStr">
        <is>
          <t>A monitorar</t>
        </is>
      </c>
    </row>
    <row r="142">
      <c r="A142" t="inlineStr">
        <is>
          <t>SP</t>
        </is>
      </c>
      <c r="B142" t="inlineStr">
        <is>
          <t>SAO PAULO</t>
        </is>
      </c>
      <c r="C142" t="inlineStr">
        <is>
          <t>FUNDO ESTADUAL DE SAUDE - FUNDES</t>
        </is>
      </c>
      <c r="D142" t="inlineStr">
        <is>
          <t>FAF</t>
        </is>
      </c>
      <c r="E142" t="n">
        <v>2024</v>
      </c>
      <c r="F142" s="286" t="inlineStr">
        <is>
          <t>NI</t>
        </is>
      </c>
      <c r="G142" s="286" t="inlineStr">
        <is>
          <t>13851748000124045</t>
        </is>
      </c>
      <c r="H142" t="inlineStr">
        <is>
          <t>A monitorar</t>
        </is>
      </c>
    </row>
    <row r="143">
      <c r="A143" t="inlineStr">
        <is>
          <t>GO</t>
        </is>
      </c>
      <c r="B143" t="inlineStr">
        <is>
          <t>GOIANIA</t>
        </is>
      </c>
      <c r="C143" t="inlineStr">
        <is>
          <t>FUNDO MUNICIPAL DE SAUDE</t>
        </is>
      </c>
      <c r="D143" t="inlineStr">
        <is>
          <t>FAF</t>
        </is>
      </c>
      <c r="E143" t="n">
        <v>2024</v>
      </c>
      <c r="F143" s="286" t="inlineStr">
        <is>
          <t>NI</t>
        </is>
      </c>
      <c r="G143" s="286" t="inlineStr">
        <is>
          <t>37623352000124006</t>
        </is>
      </c>
      <c r="H143" t="inlineStr">
        <is>
          <t>A monitorar</t>
        </is>
      </c>
    </row>
    <row r="144">
      <c r="A144" t="inlineStr">
        <is>
          <t>DF</t>
        </is>
      </c>
      <c r="B144" t="inlineStr">
        <is>
          <t>BRASILIA</t>
        </is>
      </c>
      <c r="C144" t="inlineStr">
        <is>
          <t>HRPL</t>
        </is>
      </c>
      <c r="D144" t="inlineStr">
        <is>
          <t>FAF</t>
        </is>
      </c>
      <c r="E144" t="n">
        <v>2023</v>
      </c>
      <c r="F144" s="286" t="inlineStr">
        <is>
          <t>NI</t>
        </is>
      </c>
      <c r="G144" s="286" t="inlineStr">
        <is>
          <t>12116247000123051</t>
        </is>
      </c>
      <c r="H144" t="inlineStr">
        <is>
          <t>A monitorar</t>
        </is>
      </c>
    </row>
    <row r="145">
      <c r="A145" t="inlineStr">
        <is>
          <t>RJ</t>
        </is>
      </c>
      <c r="B145" t="inlineStr">
        <is>
          <t>RIO DE JANEIRO</t>
        </is>
      </c>
      <c r="C145" t="inlineStr">
        <is>
          <t>INSTITUTO ESTADUAL DE HEMATOLOGIA ARTHUR SIQUEIRA CAVALCANTI</t>
        </is>
      </c>
      <c r="D145" t="inlineStr">
        <is>
          <t>FAF</t>
        </is>
      </c>
      <c r="E145" t="n">
        <v>2023</v>
      </c>
      <c r="F145" s="286" t="inlineStr">
        <is>
          <t>NI</t>
        </is>
      </c>
      <c r="G145" s="286" t="inlineStr">
        <is>
          <t>35949791000123030</t>
        </is>
      </c>
      <c r="H145" t="inlineStr">
        <is>
          <t>A monitorar</t>
        </is>
      </c>
    </row>
    <row r="146">
      <c r="A146" t="inlineStr">
        <is>
          <t>CE</t>
        </is>
      </c>
      <c r="B146" t="inlineStr">
        <is>
          <t>FORTALEZA</t>
        </is>
      </c>
      <c r="C146" t="inlineStr">
        <is>
          <t>GRUPO DE EDUCACAO E ESTUDOS ONCOLOGICOS - GEEON</t>
        </is>
      </c>
      <c r="D146" t="inlineStr">
        <is>
          <t>Convênio</t>
        </is>
      </c>
      <c r="E146" t="n">
        <v>2023</v>
      </c>
      <c r="F146" s="286" t="inlineStr">
        <is>
          <t>952883</t>
        </is>
      </c>
      <c r="G146" s="286" t="inlineStr">
        <is>
          <t>90018823002</t>
        </is>
      </c>
      <c r="H146" t="inlineStr">
        <is>
          <t>Não monitorado</t>
        </is>
      </c>
    </row>
    <row r="147">
      <c r="A147" t="inlineStr">
        <is>
          <t>GO</t>
        </is>
      </c>
      <c r="B147" t="inlineStr">
        <is>
          <t>GOIANIA</t>
        </is>
      </c>
      <c r="C147" t="inlineStr">
        <is>
          <t>ASSOCIACAO DE COMBATE AO CANCER EM GOIAS</t>
        </is>
      </c>
      <c r="D147" t="inlineStr">
        <is>
          <t>Convênio</t>
        </is>
      </c>
      <c r="E147" t="n">
        <v>2024</v>
      </c>
      <c r="F147" s="286" t="inlineStr">
        <is>
          <t>967733</t>
        </is>
      </c>
      <c r="G147" s="286" t="inlineStr">
        <is>
          <t>90158524002</t>
        </is>
      </c>
      <c r="H147" t="inlineStr">
        <is>
          <t>EM EXECUÇÃO</t>
        </is>
      </c>
    </row>
    <row r="148">
      <c r="A148" t="inlineStr">
        <is>
          <t>GO</t>
        </is>
      </c>
      <c r="B148" t="inlineStr">
        <is>
          <t>GOIANIA</t>
        </is>
      </c>
      <c r="C148" t="inlineStr">
        <is>
          <t>ASSOCIACAO DE COMBATE AO CANCER EM GOIAS</t>
        </is>
      </c>
      <c r="D148" t="inlineStr">
        <is>
          <t>Convênio</t>
        </is>
      </c>
      <c r="E148" t="n">
        <v>2024</v>
      </c>
      <c r="F148" s="286" t="inlineStr">
        <is>
          <t>970347</t>
        </is>
      </c>
      <c r="G148" s="286" t="inlineStr">
        <is>
          <t>90158524004</t>
        </is>
      </c>
      <c r="H148" t="inlineStr">
        <is>
          <t>EM EXECUÇÃO</t>
        </is>
      </c>
    </row>
    <row r="149">
      <c r="A149" t="inlineStr">
        <is>
          <t>RN</t>
        </is>
      </c>
      <c r="B149" t="inlineStr">
        <is>
          <t>MOSSORO</t>
        </is>
      </c>
      <c r="C149" t="inlineStr">
        <is>
          <t>LIGA MOSSOROENSE DE ESTUDOS E COMBATE AO CANCER</t>
        </is>
      </c>
      <c r="D149" t="inlineStr">
        <is>
          <t>Convênio</t>
        </is>
      </c>
      <c r="E149" t="n">
        <v>2024</v>
      </c>
      <c r="F149" s="286" t="inlineStr">
        <is>
          <t>973055</t>
        </is>
      </c>
      <c r="G149" s="286" t="inlineStr">
        <is>
          <t>90402624010</t>
        </is>
      </c>
      <c r="H149" t="inlineStr">
        <is>
          <t>EM EXECUÇÃO</t>
        </is>
      </c>
    </row>
    <row r="150">
      <c r="A150" t="inlineStr">
        <is>
          <t>PR</t>
        </is>
      </c>
      <c r="B150" t="inlineStr">
        <is>
          <t>ARAPONGAS</t>
        </is>
      </c>
      <c r="C150" t="inlineStr">
        <is>
          <t>ASSOCIACAO NORTE PARANAENSE DE COMBATE AO CANCER</t>
        </is>
      </c>
      <c r="D150" t="inlineStr">
        <is>
          <t>Convênio</t>
        </is>
      </c>
      <c r="E150" t="n">
        <v>2024</v>
      </c>
      <c r="F150" s="286" t="inlineStr">
        <is>
          <t>972728</t>
        </is>
      </c>
      <c r="G150" s="286" t="inlineStr">
        <is>
          <t>90416924013</t>
        </is>
      </c>
      <c r="H150" t="inlineStr">
        <is>
          <t>EM EXECUÇÃO</t>
        </is>
      </c>
    </row>
    <row r="151">
      <c r="A151" t="inlineStr">
        <is>
          <t>CE</t>
        </is>
      </c>
      <c r="B151" t="inlineStr">
        <is>
          <t>FORTALEZA</t>
        </is>
      </c>
      <c r="C151" t="inlineStr">
        <is>
          <t>INSTITUTO DO CANCER DO CEARA</t>
        </is>
      </c>
      <c r="D151" t="inlineStr">
        <is>
          <t>Convênio</t>
        </is>
      </c>
      <c r="E151" t="n">
        <v>2024</v>
      </c>
      <c r="F151" s="286" t="inlineStr">
        <is>
          <t>NI</t>
        </is>
      </c>
      <c r="G151" s="286" t="inlineStr">
        <is>
          <t>90726524006</t>
        </is>
      </c>
      <c r="H151" t="inlineStr">
        <is>
          <t>Não monitorado</t>
        </is>
      </c>
    </row>
    <row r="152">
      <c r="A152" t="inlineStr">
        <is>
          <t>RN</t>
        </is>
      </c>
      <c r="B152" t="inlineStr">
        <is>
          <t>NATAL</t>
        </is>
      </c>
      <c r="C152" t="inlineStr">
        <is>
          <t>LIGA NORTE RIOGRANDENSE CONTRA O CANCER</t>
        </is>
      </c>
      <c r="D152" t="inlineStr">
        <is>
          <t>Convênio</t>
        </is>
      </c>
      <c r="E152" t="n">
        <v>2024</v>
      </c>
      <c r="F152" s="286" t="inlineStr">
        <is>
          <t>961375</t>
        </is>
      </c>
      <c r="G152" s="286" t="inlineStr">
        <is>
          <t>90842824009</t>
        </is>
      </c>
      <c r="H152" t="inlineStr">
        <is>
          <t>EM EXECUÇÃO</t>
        </is>
      </c>
    </row>
    <row r="153">
      <c r="A153" t="inlineStr">
        <is>
          <t>RN</t>
        </is>
      </c>
      <c r="B153" t="inlineStr">
        <is>
          <t>NATAL</t>
        </is>
      </c>
      <c r="C153" t="inlineStr">
        <is>
          <t>LIGA NORTE RIOGRANDENSE CONTRA O CANCER</t>
        </is>
      </c>
      <c r="D153" t="inlineStr">
        <is>
          <t>Convênio</t>
        </is>
      </c>
      <c r="E153" t="n">
        <v>2024</v>
      </c>
      <c r="F153" s="286" t="inlineStr">
        <is>
          <t>961377</t>
        </is>
      </c>
      <c r="G153" s="286" t="inlineStr">
        <is>
          <t>90842824010</t>
        </is>
      </c>
      <c r="H153" t="inlineStr">
        <is>
          <t>EM EXECUÇÃO</t>
        </is>
      </c>
    </row>
    <row r="154">
      <c r="A154" t="inlineStr">
        <is>
          <t>RN</t>
        </is>
      </c>
      <c r="B154" t="inlineStr">
        <is>
          <t>NATAL</t>
        </is>
      </c>
      <c r="C154" t="inlineStr">
        <is>
          <t>LIGA NORTE RIOGRANDENSE CONTRA O CANCER</t>
        </is>
      </c>
      <c r="D154" t="inlineStr">
        <is>
          <t>Convênio</t>
        </is>
      </c>
      <c r="E154" t="n">
        <v>2024</v>
      </c>
      <c r="F154" s="286" t="inlineStr">
        <is>
          <t>970524</t>
        </is>
      </c>
      <c r="G154" s="286" t="inlineStr">
        <is>
          <t>90842824012</t>
        </is>
      </c>
      <c r="H154" t="inlineStr">
        <is>
          <t>EM EXECUÇÃO</t>
        </is>
      </c>
    </row>
    <row r="155">
      <c r="A155" t="inlineStr">
        <is>
          <t>RN</t>
        </is>
      </c>
      <c r="B155" t="inlineStr">
        <is>
          <t>NATAL</t>
        </is>
      </c>
      <c r="C155" t="inlineStr">
        <is>
          <t>LIGA NORTE RIOGRANDENSE CONTRA O CANCER</t>
        </is>
      </c>
      <c r="D155" t="inlineStr">
        <is>
          <t>Convênio</t>
        </is>
      </c>
      <c r="E155" t="n">
        <v>2024</v>
      </c>
      <c r="F155" s="286" t="inlineStr">
        <is>
          <t>970520</t>
        </is>
      </c>
      <c r="G155" s="286" t="inlineStr">
        <is>
          <t>90842824014</t>
        </is>
      </c>
      <c r="H155" t="inlineStr">
        <is>
          <t>EM EXECUÇÃO</t>
        </is>
      </c>
    </row>
    <row r="156">
      <c r="A156" t="inlineStr">
        <is>
          <t>PB</t>
        </is>
      </c>
      <c r="B156" t="inlineStr">
        <is>
          <t>CAMPINA GRANDE</t>
        </is>
      </c>
      <c r="C156" t="inlineStr">
        <is>
          <t>FUNDACAO ASSISTENCIAL DA PARAIBA- FAP</t>
        </is>
      </c>
      <c r="D156" t="inlineStr">
        <is>
          <t>Convênio</t>
        </is>
      </c>
      <c r="E156" t="n">
        <v>2024</v>
      </c>
      <c r="F156" s="286" t="inlineStr">
        <is>
          <t>972688</t>
        </is>
      </c>
      <c r="G156" s="286" t="inlineStr">
        <is>
          <t>90884124008</t>
        </is>
      </c>
      <c r="H156" t="inlineStr">
        <is>
          <t>EM EXECUÇÃO</t>
        </is>
      </c>
    </row>
    <row r="157">
      <c r="A157" t="inlineStr">
        <is>
          <t>PB</t>
        </is>
      </c>
      <c r="B157" t="inlineStr">
        <is>
          <t>CAMPINA GRANDE</t>
        </is>
      </c>
      <c r="C157" t="inlineStr">
        <is>
          <t>FUNDACAO ASSISTENCIAL DA PARAIBA- FAP</t>
        </is>
      </c>
      <c r="D157" t="inlineStr">
        <is>
          <t>Convênio</t>
        </is>
      </c>
      <c r="E157" t="n">
        <v>2024</v>
      </c>
      <c r="F157" s="286" t="inlineStr">
        <is>
          <t>972689</t>
        </is>
      </c>
      <c r="G157" s="286" t="inlineStr">
        <is>
          <t>90884124009</t>
        </is>
      </c>
      <c r="H157" t="inlineStr">
        <is>
          <t>EM EXECUÇÃO</t>
        </is>
      </c>
    </row>
    <row r="158">
      <c r="A158" t="inlineStr">
        <is>
          <t>PB</t>
        </is>
      </c>
      <c r="B158" t="inlineStr">
        <is>
          <t>CAMPINA GRANDE</t>
        </is>
      </c>
      <c r="C158" t="inlineStr">
        <is>
          <t>FUNDACAO ASSISTENCIAL DA PARAIBA- FAP</t>
        </is>
      </c>
      <c r="D158" t="inlineStr">
        <is>
          <t>Convênio</t>
        </is>
      </c>
      <c r="E158" t="n">
        <v>2024</v>
      </c>
      <c r="F158" s="286" t="inlineStr">
        <is>
          <t>971674</t>
        </is>
      </c>
      <c r="G158" s="286" t="inlineStr">
        <is>
          <t>90884124010</t>
        </is>
      </c>
      <c r="H158" t="inlineStr">
        <is>
          <t>EM EXECUÇÃO</t>
        </is>
      </c>
    </row>
    <row r="159">
      <c r="A159" t="inlineStr">
        <is>
          <t>PB</t>
        </is>
      </c>
      <c r="B159" t="inlineStr">
        <is>
          <t>JOAO PESSOA</t>
        </is>
      </c>
      <c r="C159" t="inlineStr">
        <is>
          <t>FUNDACAO NAPOLEAO LAUREANO</t>
        </is>
      </c>
      <c r="D159" t="inlineStr">
        <is>
          <t>Convênio</t>
        </is>
      </c>
      <c r="E159" t="n">
        <v>2024</v>
      </c>
      <c r="F159" s="286" t="inlineStr">
        <is>
          <t>970368</t>
        </is>
      </c>
      <c r="G159" s="286" t="inlineStr">
        <is>
          <t>90911224009</t>
        </is>
      </c>
      <c r="H159" t="inlineStr">
        <is>
          <t>EM EXECUÇÃO</t>
        </is>
      </c>
    </row>
    <row r="160">
      <c r="A160" t="inlineStr">
        <is>
          <t>PB</t>
        </is>
      </c>
      <c r="B160" t="inlineStr">
        <is>
          <t>JOAO PESSOA</t>
        </is>
      </c>
      <c r="C160" t="inlineStr">
        <is>
          <t>FUNDACAO NAPOLEAO LAUREANO</t>
        </is>
      </c>
      <c r="D160" t="inlineStr">
        <is>
          <t>Convênio</t>
        </is>
      </c>
      <c r="E160" t="n">
        <v>2024</v>
      </c>
      <c r="F160" s="286" t="inlineStr">
        <is>
          <t>972690</t>
        </is>
      </c>
      <c r="G160" s="286" t="inlineStr">
        <is>
          <t>90911224014</t>
        </is>
      </c>
      <c r="H160" t="inlineStr">
        <is>
          <t>EM EXECUÇÃO</t>
        </is>
      </c>
    </row>
    <row r="161">
      <c r="A161" t="inlineStr">
        <is>
          <t>PE</t>
        </is>
      </c>
      <c r="B161" t="inlineStr">
        <is>
          <t>RECIFE</t>
        </is>
      </c>
      <c r="C161" t="inlineStr">
        <is>
          <t>SOCIEDADE PERNAMBUCANA DE COMBATE AO CANCER</t>
        </is>
      </c>
      <c r="D161" t="inlineStr">
        <is>
          <t>Convênio</t>
        </is>
      </c>
      <c r="E161" t="n">
        <v>2024</v>
      </c>
      <c r="F161" s="286" t="inlineStr">
        <is>
          <t>959480</t>
        </is>
      </c>
      <c r="G161" s="286" t="inlineStr">
        <is>
          <t>91089424001</t>
        </is>
      </c>
      <c r="H161" t="inlineStr">
        <is>
          <t>PRESTAÇÃO DE CONTAS ENVIADA PARA ANÁLISE</t>
        </is>
      </c>
    </row>
    <row r="162">
      <c r="A162" t="inlineStr">
        <is>
          <t>PE</t>
        </is>
      </c>
      <c r="B162" t="inlineStr">
        <is>
          <t>RECIFE</t>
        </is>
      </c>
      <c r="C162" t="inlineStr">
        <is>
          <t>SOCIEDADE PERNAMBUCANA DE COMBATE AO CANCER</t>
        </is>
      </c>
      <c r="D162" t="inlineStr">
        <is>
          <t>Convênio</t>
        </is>
      </c>
      <c r="E162" t="n">
        <v>2024</v>
      </c>
      <c r="F162" s="286" t="inlineStr">
        <is>
          <t>961296</t>
        </is>
      </c>
      <c r="G162" s="286" t="inlineStr">
        <is>
          <t>91089424007</t>
        </is>
      </c>
      <c r="H162" t="inlineStr">
        <is>
          <t>PRESTAÇÃO DE CONTAS ENVIADA PARA ANÁLISE</t>
        </is>
      </c>
    </row>
    <row r="163">
      <c r="A163" t="inlineStr">
        <is>
          <t>PE</t>
        </is>
      </c>
      <c r="B163" t="inlineStr">
        <is>
          <t>RECIFE</t>
        </is>
      </c>
      <c r="C163" t="inlineStr">
        <is>
          <t>SOCIEDADE PERNAMBUCANA DE COMBATE AO CANCER</t>
        </is>
      </c>
      <c r="D163" t="inlineStr">
        <is>
          <t>Convênio</t>
        </is>
      </c>
      <c r="E163" t="n">
        <v>2024</v>
      </c>
      <c r="F163" s="286" t="inlineStr">
        <is>
          <t>962432</t>
        </is>
      </c>
      <c r="G163" s="286" t="inlineStr">
        <is>
          <t>91089424008</t>
        </is>
      </c>
      <c r="H163" t="inlineStr">
        <is>
          <t>PRESTAÇÃO DE CONTAS ENVIADA PARA ANÁLISE</t>
        </is>
      </c>
    </row>
    <row r="164">
      <c r="A164" t="inlineStr">
        <is>
          <t>SE</t>
        </is>
      </c>
      <c r="B164" t="inlineStr">
        <is>
          <t>ARACAJU</t>
        </is>
      </c>
      <c r="C164" t="inlineStr">
        <is>
          <t>LEGIAO FEMININA DE EDUCACAO E COMBATE AO CANCER</t>
        </is>
      </c>
      <c r="D164" t="inlineStr">
        <is>
          <t>Convênio</t>
        </is>
      </c>
      <c r="E164" t="n">
        <v>2024</v>
      </c>
      <c r="F164" s="286" t="inlineStr">
        <is>
          <t>971406</t>
        </is>
      </c>
      <c r="G164" s="286" t="inlineStr">
        <is>
          <t>91307624003</t>
        </is>
      </c>
      <c r="H164" t="inlineStr">
        <is>
          <t>Não monitorado</t>
        </is>
      </c>
    </row>
    <row r="165">
      <c r="A165" t="inlineStr">
        <is>
          <t>BA</t>
        </is>
      </c>
      <c r="B165" t="inlineStr">
        <is>
          <t>SALVADOR</t>
        </is>
      </c>
      <c r="C165" t="inlineStr">
        <is>
          <t>LIGA BAHIANA CONTRA O CANCER</t>
        </is>
      </c>
      <c r="D165" t="inlineStr">
        <is>
          <t>Convênio</t>
        </is>
      </c>
      <c r="E165" t="n">
        <v>2024</v>
      </c>
      <c r="F165" s="286" t="inlineStr">
        <is>
          <t>969171</t>
        </is>
      </c>
      <c r="G165" s="286" t="inlineStr">
        <is>
          <t>91518024002</t>
        </is>
      </c>
      <c r="H165" t="inlineStr">
        <is>
          <t>EM EXECUÇÃO</t>
        </is>
      </c>
    </row>
    <row r="166">
      <c r="A166" t="inlineStr">
        <is>
          <t>DF</t>
        </is>
      </c>
      <c r="B166" t="inlineStr">
        <is>
          <t>BRASILIA</t>
        </is>
      </c>
      <c r="C166" t="inlineStr">
        <is>
          <t>INSTITUTO HOSPITAL DE BASE DO DISTRITO FEDERAL -IHBDF</t>
        </is>
      </c>
      <c r="D166" t="inlineStr">
        <is>
          <t>Convênio</t>
        </is>
      </c>
      <c r="E166" t="n">
        <v>2024</v>
      </c>
      <c r="F166" s="286" t="inlineStr">
        <is>
          <t>970345</t>
        </is>
      </c>
      <c r="G166" s="286" t="inlineStr">
        <is>
          <t>92848124018</t>
        </is>
      </c>
      <c r="H166" t="inlineStr">
        <is>
          <t>EM EXECUÇÃO</t>
        </is>
      </c>
    </row>
    <row r="167">
      <c r="A167" t="inlineStr">
        <is>
          <t>BA</t>
        </is>
      </c>
      <c r="B167" t="inlineStr">
        <is>
          <t>SALVADOR</t>
        </is>
      </c>
      <c r="C167" t="inlineStr">
        <is>
          <t>GRUPO DE APOIO A CRIANCA COM CANCER - BAHIA</t>
        </is>
      </c>
      <c r="D167" t="inlineStr">
        <is>
          <t>Convênio</t>
        </is>
      </c>
      <c r="E167" t="n">
        <v>2024</v>
      </c>
      <c r="F167" s="286" t="inlineStr">
        <is>
          <t>972703</t>
        </is>
      </c>
      <c r="G167" s="286" t="inlineStr">
        <is>
          <t>93260524003</t>
        </is>
      </c>
      <c r="H167" t="inlineStr">
        <is>
          <t>EM EXECUÇÃO</t>
        </is>
      </c>
    </row>
    <row r="168">
      <c r="A168" t="inlineStr">
        <is>
          <t>RJ</t>
        </is>
      </c>
      <c r="B168" t="inlineStr">
        <is>
          <t>RIO DE JANEIRO</t>
        </is>
      </c>
      <c r="C168" t="inlineStr">
        <is>
          <t>ASSOCIACAO BRASILEIRA DE ASSISTENCIA AOS CANCEROSOS</t>
        </is>
      </c>
      <c r="D168" t="inlineStr">
        <is>
          <t>Convênio</t>
        </is>
      </c>
      <c r="E168" t="n">
        <v>2024</v>
      </c>
      <c r="F168" s="286" t="inlineStr">
        <is>
          <t>971030</t>
        </is>
      </c>
      <c r="G168" s="286" t="inlineStr">
        <is>
          <t>93381624004</t>
        </is>
      </c>
      <c r="H168" t="inlineStr">
        <is>
          <t>EM EXECUÇÃO</t>
        </is>
      </c>
    </row>
    <row r="169">
      <c r="A169" t="inlineStr">
        <is>
          <t>SP</t>
        </is>
      </c>
      <c r="B169" t="inlineStr">
        <is>
          <t>BOTUCATU</t>
        </is>
      </c>
      <c r="C169" t="inlineStr">
        <is>
          <t>FUNDACAO PARA O DESENVOLVIMENTO MEDICO E HOSPITALAR</t>
        </is>
      </c>
      <c r="D169" t="inlineStr">
        <is>
          <t>Convênio</t>
        </is>
      </c>
      <c r="E169" t="n">
        <v>2024</v>
      </c>
      <c r="F169" s="286" t="inlineStr">
        <is>
          <t>971153</t>
        </is>
      </c>
      <c r="G169" s="286" t="inlineStr">
        <is>
          <t>94623024003</t>
        </is>
      </c>
      <c r="H169" t="inlineStr">
        <is>
          <t>EM EXECUÇÃO</t>
        </is>
      </c>
    </row>
    <row r="170">
      <c r="A170" t="inlineStr">
        <is>
          <t>SP</t>
        </is>
      </c>
      <c r="B170" t="inlineStr">
        <is>
          <t>SAO PAULO</t>
        </is>
      </c>
      <c r="C170" t="inlineStr">
        <is>
          <t>INSTITUTO BRASILEIRO DE CONTROLE DO CANCER</t>
        </is>
      </c>
      <c r="D170" t="inlineStr">
        <is>
          <t>Convênio</t>
        </is>
      </c>
      <c r="E170" t="n">
        <v>2024</v>
      </c>
      <c r="F170" s="286" t="inlineStr">
        <is>
          <t>971171</t>
        </is>
      </c>
      <c r="G170" s="286" t="inlineStr">
        <is>
          <t>96293224002</t>
        </is>
      </c>
      <c r="H170" t="inlineStr">
        <is>
          <t>EM EXECUÇÃO</t>
        </is>
      </c>
    </row>
    <row r="171">
      <c r="A171" t="inlineStr">
        <is>
          <t>SP</t>
        </is>
      </c>
      <c r="B171" t="inlineStr">
        <is>
          <t>SAO PAULO</t>
        </is>
      </c>
      <c r="C171" t="inlineStr">
        <is>
          <t>GRUPO DE APOIO AO ADOLESCENTE E A CRIANCA COM C GRAACC</t>
        </is>
      </c>
      <c r="D171" t="inlineStr">
        <is>
          <t>Convênio</t>
        </is>
      </c>
      <c r="E171" t="n">
        <v>2024</v>
      </c>
      <c r="F171" s="286" t="inlineStr">
        <is>
          <t>971044</t>
        </is>
      </c>
      <c r="G171" s="286" t="inlineStr">
        <is>
          <t>96718524005</t>
        </is>
      </c>
      <c r="H171" t="inlineStr">
        <is>
          <t>EM EXECUÇÃO</t>
        </is>
      </c>
    </row>
    <row r="172">
      <c r="A172" t="inlineStr">
        <is>
          <t>PR</t>
        </is>
      </c>
      <c r="B172" t="inlineStr">
        <is>
          <t>LONDRINA</t>
        </is>
      </c>
      <c r="C172" t="inlineStr">
        <is>
          <t>INSTITUTO DE CANCER DE LONDRINA</t>
        </is>
      </c>
      <c r="D172" t="inlineStr">
        <is>
          <t>Convênio</t>
        </is>
      </c>
      <c r="E172" t="n">
        <v>2024</v>
      </c>
      <c r="F172" s="286" t="inlineStr">
        <is>
          <t>970439</t>
        </is>
      </c>
      <c r="G172" s="286" t="inlineStr">
        <is>
          <t>97863324004</t>
        </is>
      </c>
      <c r="H172" t="inlineStr">
        <is>
          <t>EM EXECUÇÃO</t>
        </is>
      </c>
    </row>
    <row r="173">
      <c r="A173" t="inlineStr">
        <is>
          <t>PR</t>
        </is>
      </c>
      <c r="B173" t="inlineStr">
        <is>
          <t>LONDRINA</t>
        </is>
      </c>
      <c r="C173" t="inlineStr">
        <is>
          <t>INSTITUTO DE CANCER DE LONDRINA</t>
        </is>
      </c>
      <c r="D173" t="inlineStr">
        <is>
          <t>Convênio</t>
        </is>
      </c>
      <c r="E173" t="n">
        <v>2024</v>
      </c>
      <c r="F173" s="286" t="inlineStr">
        <is>
          <t>971765</t>
        </is>
      </c>
      <c r="G173" s="286" t="inlineStr">
        <is>
          <t>97863324007</t>
        </is>
      </c>
      <c r="H173" t="inlineStr">
        <is>
          <t>EM EXECUÇÃO</t>
        </is>
      </c>
    </row>
    <row r="174">
      <c r="A174" t="inlineStr">
        <is>
          <t>PR</t>
        </is>
      </c>
      <c r="B174" t="inlineStr">
        <is>
          <t>CASCAVEL</t>
        </is>
      </c>
      <c r="C174" t="inlineStr">
        <is>
          <t>UNIAO OESTE PARANAENSE DE ESTUDOS E COMBATE AO CANCER</t>
        </is>
      </c>
      <c r="D174" t="inlineStr">
        <is>
          <t>Convênio</t>
        </is>
      </c>
      <c r="E174" t="n">
        <v>2024</v>
      </c>
      <c r="F174" s="286" t="inlineStr">
        <is>
          <t>970463</t>
        </is>
      </c>
      <c r="G174" s="286" t="inlineStr">
        <is>
          <t>98127024009</t>
        </is>
      </c>
      <c r="H174" t="inlineStr">
        <is>
          <t>EM EXECUÇÃO</t>
        </is>
      </c>
    </row>
    <row r="175">
      <c r="A175" t="inlineStr">
        <is>
          <t>SC</t>
        </is>
      </c>
      <c r="B175" t="inlineStr">
        <is>
          <t>BLUMENAU</t>
        </is>
      </c>
      <c r="C175" t="inlineStr">
        <is>
          <t>REDE FEMININA DE COMBATE AO CANCER DE BLUMENAU</t>
        </is>
      </c>
      <c r="D175" t="inlineStr">
        <is>
          <t>Convênio</t>
        </is>
      </c>
      <c r="E175" t="n">
        <v>2024</v>
      </c>
      <c r="F175" s="286" t="inlineStr">
        <is>
          <t>973720</t>
        </is>
      </c>
      <c r="G175" s="286" t="inlineStr">
        <is>
          <t>98313224008</t>
        </is>
      </c>
      <c r="H175" t="inlineStr">
        <is>
          <t>EM EXECUÇÃO</t>
        </is>
      </c>
    </row>
    <row r="176">
      <c r="A176" t="inlineStr">
        <is>
          <t>RS</t>
        </is>
      </c>
      <c r="B176" t="inlineStr">
        <is>
          <t>IJUI</t>
        </is>
      </c>
      <c r="C176" t="inlineStr">
        <is>
          <t>ASSOCIACAO HOSPITAL DE CARIDADE IJUI</t>
        </is>
      </c>
      <c r="D176" t="inlineStr">
        <is>
          <t>Convênio</t>
        </is>
      </c>
      <c r="E176" t="n">
        <v>2024</v>
      </c>
      <c r="F176" s="286" t="inlineStr">
        <is>
          <t>NI</t>
        </is>
      </c>
      <c r="G176" s="286" t="inlineStr">
        <is>
          <t>99073024011</t>
        </is>
      </c>
      <c r="H176" t="inlineStr">
        <is>
          <t>Não monitorado</t>
        </is>
      </c>
    </row>
    <row r="177">
      <c r="A177" t="inlineStr">
        <is>
          <t>RS</t>
        </is>
      </c>
      <c r="B177" t="inlineStr">
        <is>
          <t>LAJEADO</t>
        </is>
      </c>
      <c r="C177" t="inlineStr">
        <is>
          <t>SOCIEDADE BENEFICENCIA E CARIDADE DE LAJEADO</t>
        </is>
      </c>
      <c r="D177" t="inlineStr">
        <is>
          <t>Convênio</t>
        </is>
      </c>
      <c r="E177" t="n">
        <v>2024</v>
      </c>
      <c r="F177" s="286" t="inlineStr">
        <is>
          <t>NI</t>
        </is>
      </c>
      <c r="G177" s="286" t="inlineStr">
        <is>
          <t>99116224006</t>
        </is>
      </c>
      <c r="H177" t="inlineStr">
        <is>
          <t>Não monitorado</t>
        </is>
      </c>
    </row>
    <row r="178">
      <c r="A178" t="inlineStr">
        <is>
          <t>RS</t>
        </is>
      </c>
      <c r="B178" t="inlineStr">
        <is>
          <t>PASSO FUNDO</t>
        </is>
      </c>
      <c r="C178" t="inlineStr">
        <is>
          <t>ASSOCIACAO HOSPITALAR BENEFICENTE SAO VICENTE DE PAULO</t>
        </is>
      </c>
      <c r="D178" t="inlineStr">
        <is>
          <t>Convênio</t>
        </is>
      </c>
      <c r="E178" t="n">
        <v>2024</v>
      </c>
      <c r="F178" s="286" t="inlineStr">
        <is>
          <t>NI</t>
        </is>
      </c>
      <c r="G178" s="286" t="inlineStr">
        <is>
          <t>99202124002</t>
        </is>
      </c>
      <c r="H178" t="inlineStr">
        <is>
          <t>Não monitorado</t>
        </is>
      </c>
    </row>
    <row r="179">
      <c r="A179" t="inlineStr">
        <is>
          <t>MG</t>
        </is>
      </c>
      <c r="B179" t="inlineStr">
        <is>
          <t>MURIAE</t>
        </is>
      </c>
      <c r="C179" t="inlineStr">
        <is>
          <t>FUNDACAO CRISTIANO VARELLA</t>
        </is>
      </c>
      <c r="D179" t="inlineStr">
        <is>
          <t>Convênio</t>
        </is>
      </c>
      <c r="E179" t="n">
        <v>2023</v>
      </c>
      <c r="F179" s="286" t="inlineStr">
        <is>
          <t>949372</t>
        </is>
      </c>
      <c r="G179" s="286" t="inlineStr">
        <is>
          <t>90096123003</t>
        </is>
      </c>
      <c r="H179" t="inlineStr">
        <is>
          <t>NORMAL</t>
        </is>
      </c>
    </row>
    <row r="180">
      <c r="A180" t="inlineStr">
        <is>
          <t>GO</t>
        </is>
      </c>
      <c r="B180" t="inlineStr">
        <is>
          <t>GOIANIA</t>
        </is>
      </c>
      <c r="C180" t="inlineStr">
        <is>
          <t>ASSOCIACAO DE COMBATE AO CANCER EM GOIAS</t>
        </is>
      </c>
      <c r="D180" t="inlineStr">
        <is>
          <t>Convênio</t>
        </is>
      </c>
      <c r="E180" t="n">
        <v>2023</v>
      </c>
      <c r="F180" s="286" t="inlineStr">
        <is>
          <t>950111</t>
        </is>
      </c>
      <c r="G180" s="286" t="inlineStr">
        <is>
          <t>90158523003</t>
        </is>
      </c>
      <c r="H180" t="inlineStr">
        <is>
          <t>NORMAL</t>
        </is>
      </c>
    </row>
    <row r="181">
      <c r="A181" t="inlineStr">
        <is>
          <t>PR</t>
        </is>
      </c>
      <c r="B181" t="inlineStr">
        <is>
          <t>ARAPONGAS</t>
        </is>
      </c>
      <c r="C181" t="inlineStr">
        <is>
          <t>ASSOCIACAO NORTE PARANANENSE DE COMBATE AO CANCER</t>
        </is>
      </c>
      <c r="D181" t="inlineStr">
        <is>
          <t>Convênio</t>
        </is>
      </c>
      <c r="E181" t="n">
        <v>2023</v>
      </c>
      <c r="F181" s="286" t="inlineStr">
        <is>
          <t>947255</t>
        </is>
      </c>
      <c r="G181" s="286" t="inlineStr">
        <is>
          <t>90416923011</t>
        </is>
      </c>
      <c r="H181" t="inlineStr">
        <is>
          <t>EM EXECUÇÃO</t>
        </is>
      </c>
    </row>
    <row r="182">
      <c r="A182" t="inlineStr">
        <is>
          <t>RN</t>
        </is>
      </c>
      <c r="B182" t="inlineStr">
        <is>
          <t>NATAL</t>
        </is>
      </c>
      <c r="C182" t="inlineStr">
        <is>
          <t>LIGA NORTERIOGRANDENSE CONTRA O CANCER</t>
        </is>
      </c>
      <c r="D182" t="inlineStr">
        <is>
          <t>Convênio</t>
        </is>
      </c>
      <c r="E182" t="n">
        <v>2023</v>
      </c>
      <c r="F182" s="286" t="inlineStr">
        <is>
          <t>943865</t>
        </is>
      </c>
      <c r="G182" s="286" t="inlineStr">
        <is>
          <t>90842823003</t>
        </is>
      </c>
      <c r="H182" t="inlineStr">
        <is>
          <t>EM EXECUÇÃO</t>
        </is>
      </c>
    </row>
    <row r="183">
      <c r="A183" t="inlineStr">
        <is>
          <t>RN</t>
        </is>
      </c>
      <c r="B183" t="inlineStr">
        <is>
          <t>NATAL</t>
        </is>
      </c>
      <c r="C183" t="inlineStr">
        <is>
          <t>LIGA NORTERIOGRANDENSE CONTRA O CANCER</t>
        </is>
      </c>
      <c r="D183" t="inlineStr">
        <is>
          <t>Convênio</t>
        </is>
      </c>
      <c r="E183" t="n">
        <v>2023</v>
      </c>
      <c r="F183" s="286" t="inlineStr">
        <is>
          <t>944490</t>
        </is>
      </c>
      <c r="G183" s="286" t="inlineStr">
        <is>
          <t>90842823004</t>
        </is>
      </c>
      <c r="H183" t="inlineStr">
        <is>
          <t>EM EXECUÇÃO</t>
        </is>
      </c>
    </row>
    <row r="184">
      <c r="A184" t="inlineStr">
        <is>
          <t>RN</t>
        </is>
      </c>
      <c r="B184" t="inlineStr">
        <is>
          <t>NATAL</t>
        </is>
      </c>
      <c r="C184" t="inlineStr">
        <is>
          <t>LIGA NORTERIOGRANDENSE CONTRA O CANCER</t>
        </is>
      </c>
      <c r="D184" t="inlineStr">
        <is>
          <t>Convênio</t>
        </is>
      </c>
      <c r="E184" t="n">
        <v>2023</v>
      </c>
      <c r="F184" s="286" t="inlineStr">
        <is>
          <t>944491</t>
        </is>
      </c>
      <c r="G184" s="286" t="inlineStr">
        <is>
          <t>90842823005</t>
        </is>
      </c>
      <c r="H184" t="inlineStr">
        <is>
          <t>EM EXECUÇÃO</t>
        </is>
      </c>
    </row>
    <row r="185">
      <c r="A185" t="inlineStr">
        <is>
          <t>PB</t>
        </is>
      </c>
      <c r="B185" t="inlineStr">
        <is>
          <t>JOAO PESSOA</t>
        </is>
      </c>
      <c r="C185" t="inlineStr">
        <is>
          <t>FUNDACAO NAPOLEAO LAUREANO</t>
        </is>
      </c>
      <c r="D185" t="inlineStr">
        <is>
          <t>Convênio</t>
        </is>
      </c>
      <c r="E185" t="n">
        <v>2023</v>
      </c>
      <c r="F185" s="286" t="inlineStr">
        <is>
          <t>947238</t>
        </is>
      </c>
      <c r="G185" s="286" t="inlineStr">
        <is>
          <t>90911223008</t>
        </is>
      </c>
      <c r="H185" t="inlineStr">
        <is>
          <t>NORMAL</t>
        </is>
      </c>
    </row>
    <row r="186">
      <c r="A186" t="inlineStr">
        <is>
          <t>PE</t>
        </is>
      </c>
      <c r="B186" t="inlineStr">
        <is>
          <t>RECIFE</t>
        </is>
      </c>
      <c r="C186" t="inlineStr">
        <is>
          <t>SOCIEDADE PERNAMBUCANA DO COMBATE AO CANCER</t>
        </is>
      </c>
      <c r="D186" t="inlineStr">
        <is>
          <t>Convênio</t>
        </is>
      </c>
      <c r="E186" t="n">
        <v>2023</v>
      </c>
      <c r="F186" s="286" t="inlineStr">
        <is>
          <t>943918</t>
        </is>
      </c>
      <c r="G186" s="286" t="inlineStr">
        <is>
          <t>91089423002</t>
        </is>
      </c>
      <c r="H186" t="inlineStr">
        <is>
          <t>EM EXECUÇÃO</t>
        </is>
      </c>
    </row>
    <row r="187">
      <c r="A187" t="inlineStr">
        <is>
          <t>PE</t>
        </is>
      </c>
      <c r="B187" t="inlineStr">
        <is>
          <t>RECIFE</t>
        </is>
      </c>
      <c r="C187" t="inlineStr">
        <is>
          <t>SOCIEDADE PERNAMBUCANA DO COMBATE AO CANCER</t>
        </is>
      </c>
      <c r="D187" t="inlineStr">
        <is>
          <t>Convênio</t>
        </is>
      </c>
      <c r="E187" t="n">
        <v>2023</v>
      </c>
      <c r="F187" s="286" t="inlineStr">
        <is>
          <t>945441</t>
        </is>
      </c>
      <c r="G187" s="286" t="inlineStr">
        <is>
          <t>91089423004</t>
        </is>
      </c>
      <c r="H187" t="inlineStr">
        <is>
          <t>PRESTAÇÃO DE CONTAS ENVIADA PARA ANÁLISE</t>
        </is>
      </c>
    </row>
    <row r="188">
      <c r="A188" t="inlineStr">
        <is>
          <t>PE</t>
        </is>
      </c>
      <c r="B188" t="inlineStr">
        <is>
          <t>RECIFE</t>
        </is>
      </c>
      <c r="C188" t="inlineStr">
        <is>
          <t>SOCIEDADE PERNAMBUCANA DO COMBATE AO CANCER</t>
        </is>
      </c>
      <c r="D188" t="inlineStr">
        <is>
          <t>Convênio</t>
        </is>
      </c>
      <c r="E188" t="n">
        <v>2023</v>
      </c>
      <c r="F188" s="286" t="inlineStr">
        <is>
          <t>947247</t>
        </is>
      </c>
      <c r="G188" s="286" t="inlineStr">
        <is>
          <t>91089423005</t>
        </is>
      </c>
      <c r="H188" t="inlineStr">
        <is>
          <t>EM EXECUÇÃO</t>
        </is>
      </c>
    </row>
    <row r="189">
      <c r="A189" t="inlineStr">
        <is>
          <t>PE</t>
        </is>
      </c>
      <c r="B189" t="inlineStr">
        <is>
          <t>RECIFE</t>
        </is>
      </c>
      <c r="C189" t="inlineStr">
        <is>
          <t>SOCIEDADE PERNAMBUCANA DO COMBATE AO CANCER</t>
        </is>
      </c>
      <c r="D189" t="inlineStr">
        <is>
          <t>Convênio</t>
        </is>
      </c>
      <c r="E189" t="n">
        <v>2023</v>
      </c>
      <c r="F189" s="286" t="inlineStr">
        <is>
          <t>947249</t>
        </is>
      </c>
      <c r="G189" s="286" t="inlineStr">
        <is>
          <t>91089423006</t>
        </is>
      </c>
      <c r="H189" t="inlineStr">
        <is>
          <t>PRESTAÇÃO DE CONTAS ENVIADA PARA ANÁLISE</t>
        </is>
      </c>
    </row>
    <row r="190">
      <c r="A190" t="inlineStr">
        <is>
          <t>MG</t>
        </is>
      </c>
      <c r="B190" t="inlineStr">
        <is>
          <t>BELO HORIZONTE</t>
        </is>
      </c>
      <c r="C190" t="inlineStr">
        <is>
          <t>ASSOCIACAO MARIO PENNA</t>
        </is>
      </c>
      <c r="D190" t="inlineStr">
        <is>
          <t>Convênio</t>
        </is>
      </c>
      <c r="E190" t="n">
        <v>2023</v>
      </c>
      <c r="F190" s="286" t="inlineStr">
        <is>
          <t>947098</t>
        </is>
      </c>
      <c r="G190" s="286" t="inlineStr">
        <is>
          <t>91751323001</t>
        </is>
      </c>
      <c r="H190" t="inlineStr">
        <is>
          <t>EM EXECUÇÃO</t>
        </is>
      </c>
    </row>
    <row r="191">
      <c r="A191" t="inlineStr">
        <is>
          <t>ES</t>
        </is>
      </c>
      <c r="B191" t="inlineStr">
        <is>
          <t>VITORIA</t>
        </is>
      </c>
      <c r="C191" t="inlineStr">
        <is>
          <t>ASSOCIACAO FEMININA DE EDUCACAO E COMBATE AO CANCER</t>
        </is>
      </c>
      <c r="D191" t="inlineStr">
        <is>
          <t>Convênio</t>
        </is>
      </c>
      <c r="E191" t="n">
        <v>2023</v>
      </c>
      <c r="F191" s="286" t="inlineStr">
        <is>
          <t>947097</t>
        </is>
      </c>
      <c r="G191" s="286" t="inlineStr">
        <is>
          <t>92813723003</t>
        </is>
      </c>
      <c r="H191" t="inlineStr">
        <is>
          <t>PRESTAÇÃO DE CONTAS EM ANÁLISE</t>
        </is>
      </c>
    </row>
    <row r="192">
      <c r="A192" t="inlineStr">
        <is>
          <t>SP</t>
        </is>
      </c>
      <c r="B192" t="inlineStr">
        <is>
          <t>JAU</t>
        </is>
      </c>
      <c r="C192" t="inlineStr">
        <is>
          <t>FUNDACAO DR AMARAL CARVALHO</t>
        </is>
      </c>
      <c r="D192" t="inlineStr">
        <is>
          <t>Convênio</t>
        </is>
      </c>
      <c r="E192" t="n">
        <v>2023</v>
      </c>
      <c r="F192" s="286" t="inlineStr">
        <is>
          <t>944132</t>
        </is>
      </c>
      <c r="G192" s="286" t="inlineStr">
        <is>
          <t>95075323002</t>
        </is>
      </c>
      <c r="H192" t="inlineStr">
        <is>
          <t>PRESTAÇÃO DE CONTAS EM ANÁLISE</t>
        </is>
      </c>
    </row>
    <row r="193">
      <c r="A193" t="inlineStr">
        <is>
          <t>SP</t>
        </is>
      </c>
      <c r="B193" t="inlineStr">
        <is>
          <t>JAU</t>
        </is>
      </c>
      <c r="C193" t="inlineStr">
        <is>
          <t>FUNDACAO DR AMARAL CARVALHO</t>
        </is>
      </c>
      <c r="D193" t="inlineStr">
        <is>
          <t>Convênio</t>
        </is>
      </c>
      <c r="E193" t="n">
        <v>2023</v>
      </c>
      <c r="F193" s="286" t="inlineStr">
        <is>
          <t>944519</t>
        </is>
      </c>
      <c r="G193" s="286" t="inlineStr">
        <is>
          <t>95075323003</t>
        </is>
      </c>
      <c r="H193" t="inlineStr">
        <is>
          <t>PRESTAÇÃO DE CONTAS ENVIADA PARA ANÁLISE</t>
        </is>
      </c>
    </row>
    <row r="194">
      <c r="A194" t="inlineStr">
        <is>
          <t>SP</t>
        </is>
      </c>
      <c r="B194" t="inlineStr">
        <is>
          <t>SAO PAULO</t>
        </is>
      </c>
      <c r="C194" t="inlineStr">
        <is>
          <t>FUNDACAO FACULDADE DE MEDICINA MEC MPAS</t>
        </is>
      </c>
      <c r="D194" t="inlineStr">
        <is>
          <t>Convênio</t>
        </is>
      </c>
      <c r="E194" t="n">
        <v>2023</v>
      </c>
      <c r="F194" s="286" t="inlineStr">
        <is>
          <t>949766</t>
        </is>
      </c>
      <c r="G194" s="286" t="inlineStr">
        <is>
          <t>95657723021</t>
        </is>
      </c>
      <c r="H194" t="inlineStr">
        <is>
          <t>PRESTAÇÃO DE CONTAS ENVIADA PARA ANÁLISE</t>
        </is>
      </c>
    </row>
    <row r="195">
      <c r="A195" t="inlineStr">
        <is>
          <t>SP</t>
        </is>
      </c>
      <c r="B195" t="inlineStr">
        <is>
          <t>SAO PAULO</t>
        </is>
      </c>
      <c r="C195" t="inlineStr">
        <is>
          <t>INSTITUTO DO CANCER ARNALDO VIEIRA DE CARVALHO</t>
        </is>
      </c>
      <c r="D195" t="inlineStr">
        <is>
          <t>Convênio</t>
        </is>
      </c>
      <c r="E195" t="n">
        <v>2023</v>
      </c>
      <c r="F195" s="286" t="inlineStr">
        <is>
          <t>946563</t>
        </is>
      </c>
      <c r="G195" s="286" t="inlineStr">
        <is>
          <t>96094523001</t>
        </is>
      </c>
      <c r="H195" t="inlineStr">
        <is>
          <t>EM EXECUÇÃO</t>
        </is>
      </c>
    </row>
    <row r="196">
      <c r="A196" t="inlineStr">
        <is>
          <t>SP</t>
        </is>
      </c>
      <c r="B196" t="inlineStr">
        <is>
          <t>SAO PAULO</t>
        </is>
      </c>
      <c r="C196" t="inlineStr">
        <is>
          <t>INSTITUTO DO CANCER ARNALDO VIEIRA DE CARVALHO</t>
        </is>
      </c>
      <c r="D196" t="inlineStr">
        <is>
          <t>Convênio</t>
        </is>
      </c>
      <c r="E196" t="n">
        <v>2023</v>
      </c>
      <c r="F196" s="286" t="inlineStr">
        <is>
          <t>954419</t>
        </is>
      </c>
      <c r="G196" s="286" t="inlineStr">
        <is>
          <t>96094523012</t>
        </is>
      </c>
      <c r="H196" t="inlineStr">
        <is>
          <t>PRESTAÇÃO DE CONTAS ENVIADA PARA ANÁLISE</t>
        </is>
      </c>
    </row>
    <row r="197">
      <c r="A197" t="inlineStr">
        <is>
          <t>SP</t>
        </is>
      </c>
      <c r="B197" t="inlineStr">
        <is>
          <t>SAO PAULO</t>
        </is>
      </c>
      <c r="C197" t="inlineStr">
        <is>
          <t>GRUPO DE APOIO AO ADOLESCENTE E A CRIANCA COM CANCER GRAAC</t>
        </is>
      </c>
      <c r="D197" t="inlineStr">
        <is>
          <t>Convênio</t>
        </is>
      </c>
      <c r="E197" t="n">
        <v>2023</v>
      </c>
      <c r="F197" s="286" t="inlineStr">
        <is>
          <t>944147</t>
        </is>
      </c>
      <c r="G197" s="286" t="inlineStr">
        <is>
          <t>96718523001</t>
        </is>
      </c>
      <c r="H197" t="inlineStr">
        <is>
          <t>EM EXECUÇÃO</t>
        </is>
      </c>
    </row>
    <row r="198">
      <c r="A198" t="inlineStr">
        <is>
          <t>SP</t>
        </is>
      </c>
      <c r="B198" t="inlineStr">
        <is>
          <t>SOROCABA</t>
        </is>
      </c>
      <c r="C198" t="inlineStr">
        <is>
          <t>IRMANDADE DA SANTA CASA DE MISERICORDIA DE SOROCABA</t>
        </is>
      </c>
      <c r="D198" t="inlineStr">
        <is>
          <t>Convênio</t>
        </is>
      </c>
      <c r="E198" t="n">
        <v>2023</v>
      </c>
      <c r="F198" s="286" t="inlineStr">
        <is>
          <t>946446</t>
        </is>
      </c>
      <c r="G198" s="286" t="inlineStr">
        <is>
          <t>97148523003</t>
        </is>
      </c>
      <c r="H198" t="inlineStr">
        <is>
          <t>PRESTAÇÃO DE CONTAS ENVIADA PARA ANÁLISE</t>
        </is>
      </c>
    </row>
    <row r="199">
      <c r="A199" t="inlineStr">
        <is>
          <t>PR</t>
        </is>
      </c>
      <c r="B199" t="inlineStr">
        <is>
          <t>CURITIBA</t>
        </is>
      </c>
      <c r="C199" t="inlineStr">
        <is>
          <t>LIGA PARANAENSE DE COMBATE AO CANCER</t>
        </is>
      </c>
      <c r="D199" t="inlineStr">
        <is>
          <t>Convênio</t>
        </is>
      </c>
      <c r="E199" t="n">
        <v>2023</v>
      </c>
      <c r="F199" s="286" t="inlineStr">
        <is>
          <t>949355</t>
        </is>
      </c>
      <c r="G199" s="286" t="inlineStr">
        <is>
          <t>97659123021</t>
        </is>
      </c>
      <c r="H199" t="inlineStr">
        <is>
          <t>EM EXECUÇÃO</t>
        </is>
      </c>
    </row>
    <row r="200">
      <c r="A200" t="inlineStr">
        <is>
          <t>PR</t>
        </is>
      </c>
      <c r="B200" t="inlineStr">
        <is>
          <t>CURITIBA</t>
        </is>
      </c>
      <c r="C200" t="inlineStr">
        <is>
          <t>LIGA PARANAENSE DE COMBATE AO CANCER</t>
        </is>
      </c>
      <c r="D200" t="inlineStr">
        <is>
          <t>Convênio</t>
        </is>
      </c>
      <c r="E200" t="n">
        <v>2023</v>
      </c>
      <c r="F200" s="286" t="inlineStr">
        <is>
          <t>955299</t>
        </is>
      </c>
      <c r="G200" s="286" t="inlineStr">
        <is>
          <t>97659123027</t>
        </is>
      </c>
      <c r="H200" t="inlineStr">
        <is>
          <t>EM EXECUÇÃO</t>
        </is>
      </c>
    </row>
    <row r="201">
      <c r="A201" t="inlineStr">
        <is>
          <t>PR</t>
        </is>
      </c>
      <c r="B201" t="inlineStr">
        <is>
          <t>GUARAPUAVA</t>
        </is>
      </c>
      <c r="C201" t="inlineStr">
        <is>
          <t>HOSPITAL DE CARIDADE SAO VICENTE DE PAULO</t>
        </is>
      </c>
      <c r="D201" t="inlineStr">
        <is>
          <t>Convênio</t>
        </is>
      </c>
      <c r="E201" t="n">
        <v>2023</v>
      </c>
      <c r="F201" s="286" t="inlineStr">
        <is>
          <t>947263</t>
        </is>
      </c>
      <c r="G201" s="286" t="inlineStr">
        <is>
          <t>97789323008</t>
        </is>
      </c>
      <c r="H201" t="inlineStr">
        <is>
          <t>EM EXECUÇÃO</t>
        </is>
      </c>
    </row>
    <row r="202">
      <c r="A202" t="inlineStr">
        <is>
          <t>PR</t>
        </is>
      </c>
      <c r="B202" t="inlineStr">
        <is>
          <t>LONDRINA</t>
        </is>
      </c>
      <c r="C202" t="inlineStr">
        <is>
          <t>INSTITUTO DE CANCER DE LONDRINA</t>
        </is>
      </c>
      <c r="D202" t="inlineStr">
        <is>
          <t>Convênio</t>
        </is>
      </c>
      <c r="E202" t="n">
        <v>2023</v>
      </c>
      <c r="F202" s="286" t="inlineStr">
        <is>
          <t>947277</t>
        </is>
      </c>
      <c r="G202" s="286" t="inlineStr">
        <is>
          <t>97863323002</t>
        </is>
      </c>
      <c r="H202" t="inlineStr">
        <is>
          <t>EM EXECUÇÃO</t>
        </is>
      </c>
    </row>
    <row r="203">
      <c r="A203" t="inlineStr">
        <is>
          <t>RS</t>
        </is>
      </c>
      <c r="B203" t="inlineStr">
        <is>
          <t>BENTO GONCALVES</t>
        </is>
      </c>
      <c r="C203" t="inlineStr">
        <is>
          <t>ASSOCIACAO DR BARTHOLOMEU TACCHINI</t>
        </is>
      </c>
      <c r="D203" t="inlineStr">
        <is>
          <t>Convênio</t>
        </is>
      </c>
      <c r="E203" t="n">
        <v>2023</v>
      </c>
      <c r="F203" s="286" t="inlineStr">
        <is>
          <t>943926</t>
        </is>
      </c>
      <c r="G203" s="286" t="inlineStr">
        <is>
          <t>98754723003</t>
        </is>
      </c>
      <c r="H203" t="inlineStr">
        <is>
          <t>EM EXECUÇÃO</t>
        </is>
      </c>
    </row>
    <row r="204">
      <c r="A204" t="inlineStr">
        <is>
          <t>RS</t>
        </is>
      </c>
      <c r="B204" t="inlineStr">
        <is>
          <t>BENTO GONCALVES</t>
        </is>
      </c>
      <c r="C204" t="inlineStr">
        <is>
          <t>ASSOCIACAO DR BARTHOLOMEU TACCHINI</t>
        </is>
      </c>
      <c r="D204" t="inlineStr">
        <is>
          <t>Convênio</t>
        </is>
      </c>
      <c r="E204" t="n">
        <v>2023</v>
      </c>
      <c r="F204" s="286" t="inlineStr">
        <is>
          <t>942629</t>
        </is>
      </c>
      <c r="G204" s="286" t="inlineStr">
        <is>
          <t>98754723004</t>
        </is>
      </c>
      <c r="H204" t="inlineStr">
        <is>
          <t>EM EXECUÇÃO</t>
        </is>
      </c>
    </row>
    <row r="205">
      <c r="A205" t="inlineStr">
        <is>
          <t>RS</t>
        </is>
      </c>
      <c r="B205" t="inlineStr">
        <is>
          <t>SANTA CRUZ DO SUL</t>
        </is>
      </c>
      <c r="C205" t="inlineStr">
        <is>
          <t>HOSPITAL ANA NERY SANTA CRUZ DO SUL</t>
        </is>
      </c>
      <c r="D205" t="inlineStr">
        <is>
          <t>Convênio</t>
        </is>
      </c>
      <c r="E205" t="n">
        <v>2023</v>
      </c>
      <c r="F205" s="286" t="inlineStr">
        <is>
          <t>947321</t>
        </is>
      </c>
      <c r="G205" s="286" t="inlineStr">
        <is>
          <t>99542223007</t>
        </is>
      </c>
      <c r="H205" t="inlineStr">
        <is>
          <t>EM EXECUÇÃO</t>
        </is>
      </c>
    </row>
    <row r="206">
      <c r="A206" t="inlineStr">
        <is>
          <t>RS</t>
        </is>
      </c>
      <c r="B206" t="inlineStr">
        <is>
          <t>SANTA MARIA</t>
        </is>
      </c>
      <c r="C206" t="inlineStr">
        <is>
          <t>ASSOCIACAO FRANCISCANA DE ASSISTENCIA A SAUDE</t>
        </is>
      </c>
      <c r="D206" t="inlineStr">
        <is>
          <t>Convênio equipamento</t>
        </is>
      </c>
      <c r="E206" t="n">
        <v>2024</v>
      </c>
      <c r="F206" s="286" t="inlineStr">
        <is>
          <t>NI</t>
        </is>
      </c>
      <c r="G206" s="286" t="inlineStr">
        <is>
          <t>90306624005</t>
        </is>
      </c>
      <c r="H206" t="inlineStr">
        <is>
          <t>Não monitorado</t>
        </is>
      </c>
    </row>
    <row r="207">
      <c r="A207" t="inlineStr">
        <is>
          <t>SP</t>
        </is>
      </c>
      <c r="B207" t="inlineStr">
        <is>
          <t>RIBEIRAO PRETO</t>
        </is>
      </c>
      <c r="C207" t="inlineStr">
        <is>
          <t>FUNDACAO SOBECCAN - FUNDACAO PARA PESQUISA, PREVENCAO E ASSISTENCIA DO CANCER</t>
        </is>
      </c>
      <c r="D207" t="inlineStr">
        <is>
          <t>Convênio equipamento</t>
        </is>
      </c>
      <c r="E207" t="n">
        <v>2023</v>
      </c>
      <c r="F207" s="286" t="inlineStr">
        <is>
          <t>947254</t>
        </is>
      </c>
      <c r="G207" s="286" t="inlineStr">
        <is>
          <t>90268123003</t>
        </is>
      </c>
      <c r="H207" t="inlineStr">
        <is>
          <t>Não monitorado</t>
        </is>
      </c>
    </row>
    <row r="208">
      <c r="A208" t="inlineStr">
        <is>
          <t>MS</t>
        </is>
      </c>
      <c r="B208" t="inlineStr">
        <is>
          <t>CAMPO GRANDE</t>
        </is>
      </c>
      <c r="C208" t="inlineStr">
        <is>
          <t>FUNDACAO CARMEM PRUDENTE DE MATO GROSSO DO SUL</t>
        </is>
      </c>
      <c r="D208" t="inlineStr">
        <is>
          <t>Convênio equipamento</t>
        </is>
      </c>
      <c r="E208" t="n">
        <v>2023</v>
      </c>
      <c r="F208" s="286" t="inlineStr">
        <is>
          <t>949379</t>
        </is>
      </c>
      <c r="G208" s="286" t="inlineStr">
        <is>
          <t>90322123001</t>
        </is>
      </c>
      <c r="H208" t="inlineStr">
        <is>
          <t>Não monitorado</t>
        </is>
      </c>
    </row>
    <row r="209">
      <c r="A209" t="inlineStr">
        <is>
          <t>MS</t>
        </is>
      </c>
      <c r="B209" t="inlineStr">
        <is>
          <t>CAMPO GRANDE</t>
        </is>
      </c>
      <c r="C209" t="inlineStr">
        <is>
          <t>FUNDACAO CARMEM PRUDENTE DE MATO GROSSO DO SUL</t>
        </is>
      </c>
      <c r="D209" t="inlineStr">
        <is>
          <t>Convênio equipamento</t>
        </is>
      </c>
      <c r="E209" t="n">
        <v>2023</v>
      </c>
      <c r="F209" s="286" t="inlineStr">
        <is>
          <t>NI</t>
        </is>
      </c>
      <c r="G209" s="286" t="inlineStr">
        <is>
          <t>90322123002</t>
        </is>
      </c>
      <c r="H209" t="inlineStr">
        <is>
          <t>Não monitorado</t>
        </is>
      </c>
    </row>
    <row r="210">
      <c r="A210" t="inlineStr">
        <is>
          <t>CE</t>
        </is>
      </c>
      <c r="B210" t="inlineStr">
        <is>
          <t>BARBALHA</t>
        </is>
      </c>
      <c r="C210" t="inlineStr">
        <is>
          <t>HOSPITAL MATERNIDADE SAO VICENTE DE PAULO</t>
        </is>
      </c>
      <c r="D210" t="inlineStr">
        <is>
          <t>Convênio equipamento</t>
        </is>
      </c>
      <c r="E210" t="n">
        <v>2023</v>
      </c>
      <c r="F210" s="286" t="inlineStr">
        <is>
          <t>949134</t>
        </is>
      </c>
      <c r="G210" s="286" t="inlineStr">
        <is>
          <t>90328423001</t>
        </is>
      </c>
      <c r="H210" t="inlineStr">
        <is>
          <t>Não monitorado</t>
        </is>
      </c>
    </row>
    <row r="211">
      <c r="A211" t="inlineStr">
        <is>
          <t>PR</t>
        </is>
      </c>
      <c r="B211" t="inlineStr">
        <is>
          <t>ARAPONGAS</t>
        </is>
      </c>
      <c r="C211" t="inlineStr">
        <is>
          <t>ASSOCIACAO NORTE PARANAENSE DE COMBATE AO CANCER</t>
        </is>
      </c>
      <c r="D211" t="inlineStr">
        <is>
          <t>Convênio equipamento</t>
        </is>
      </c>
      <c r="E211" t="n">
        <v>2023</v>
      </c>
      <c r="F211" s="286" t="inlineStr">
        <is>
          <t>950124</t>
        </is>
      </c>
      <c r="G211" s="286" t="inlineStr">
        <is>
          <t>90416923008</t>
        </is>
      </c>
      <c r="H211" t="inlineStr">
        <is>
          <t>Não monitorado</t>
        </is>
      </c>
    </row>
    <row r="212">
      <c r="A212" t="inlineStr">
        <is>
          <t>CE</t>
        </is>
      </c>
      <c r="B212" t="inlineStr">
        <is>
          <t>FORTALEZA</t>
        </is>
      </c>
      <c r="C212" t="inlineStr">
        <is>
          <t>INSTITUTO DO CANCER DO CEARA</t>
        </is>
      </c>
      <c r="D212" t="inlineStr">
        <is>
          <t>Convênio equipamento</t>
        </is>
      </c>
      <c r="E212" t="n">
        <v>2023</v>
      </c>
      <c r="F212" s="286" t="inlineStr">
        <is>
          <t>947074</t>
        </is>
      </c>
      <c r="G212" s="286" t="inlineStr">
        <is>
          <t>90726523005</t>
        </is>
      </c>
      <c r="H212" t="inlineStr">
        <is>
          <t>Não monitorado</t>
        </is>
      </c>
    </row>
    <row r="213">
      <c r="A213" t="inlineStr">
        <is>
          <t>RN</t>
        </is>
      </c>
      <c r="B213" t="inlineStr">
        <is>
          <t>NATAL</t>
        </is>
      </c>
      <c r="C213" t="inlineStr">
        <is>
          <t>LIGA NORTE RIOGRANDENSE CONTRA O CANCER</t>
        </is>
      </c>
      <c r="D213" t="inlineStr">
        <is>
          <t>Convênio equipamento</t>
        </is>
      </c>
      <c r="E213" t="n">
        <v>2023</v>
      </c>
      <c r="F213" s="286" t="inlineStr">
        <is>
          <t>947295</t>
        </is>
      </c>
      <c r="G213" s="286" t="inlineStr">
        <is>
          <t>90842823008</t>
        </is>
      </c>
      <c r="H213" t="inlineStr">
        <is>
          <t>Não monitorado</t>
        </is>
      </c>
    </row>
    <row r="214">
      <c r="A214" t="inlineStr">
        <is>
          <t>RN</t>
        </is>
      </c>
      <c r="B214" t="inlineStr">
        <is>
          <t>NATAL</t>
        </is>
      </c>
      <c r="C214" t="inlineStr">
        <is>
          <t>LIGA NORTE RIOGRANDENSE CONTRA O CANCER</t>
        </is>
      </c>
      <c r="D214" t="inlineStr">
        <is>
          <t>Convênio equipamento</t>
        </is>
      </c>
      <c r="E214" t="n">
        <v>2023</v>
      </c>
      <c r="F214" s="286" t="inlineStr">
        <is>
          <t>947296</t>
        </is>
      </c>
      <c r="G214" s="286" t="inlineStr">
        <is>
          <t>90842823009</t>
        </is>
      </c>
      <c r="H214" t="inlineStr">
        <is>
          <t>Não monitorado</t>
        </is>
      </c>
    </row>
    <row r="215">
      <c r="A215" t="inlineStr">
        <is>
          <t>SP</t>
        </is>
      </c>
      <c r="B215" t="inlineStr">
        <is>
          <t>MARILIA</t>
        </is>
      </c>
      <c r="C215" t="inlineStr">
        <is>
          <t>FUNDACAO DE APOIO A FACULDADE DE MEDICINA DE MARILIA</t>
        </is>
      </c>
      <c r="D215" t="inlineStr">
        <is>
          <t>Convênio equipamento</t>
        </is>
      </c>
      <c r="E215" t="n">
        <v>2023</v>
      </c>
      <c r="F215" s="286" t="inlineStr">
        <is>
          <t>953744</t>
        </is>
      </c>
      <c r="G215" s="286" t="inlineStr">
        <is>
          <t>90916123002</t>
        </is>
      </c>
      <c r="H215" t="inlineStr">
        <is>
          <t>Não monitorado</t>
        </is>
      </c>
    </row>
    <row r="216">
      <c r="A216" t="inlineStr">
        <is>
          <t>PE</t>
        </is>
      </c>
      <c r="B216" t="inlineStr">
        <is>
          <t>RECIFE</t>
        </is>
      </c>
      <c r="C216" t="inlineStr">
        <is>
          <t>SOCIEDADE PERNAMBUCANA DE COMBATE AO CANCER</t>
        </is>
      </c>
      <c r="D216" t="inlineStr">
        <is>
          <t>Convênio equipamento</t>
        </is>
      </c>
      <c r="E216" t="n">
        <v>2023</v>
      </c>
      <c r="F216" s="286" t="inlineStr">
        <is>
          <t>953730</t>
        </is>
      </c>
      <c r="G216" s="286" t="inlineStr">
        <is>
          <t>91089423007</t>
        </is>
      </c>
      <c r="H216" t="inlineStr">
        <is>
          <t>Não monitorado</t>
        </is>
      </c>
    </row>
    <row r="217">
      <c r="A217" t="inlineStr">
        <is>
          <t>PE</t>
        </is>
      </c>
      <c r="B217" t="inlineStr">
        <is>
          <t>RECIFE</t>
        </is>
      </c>
      <c r="C217" t="inlineStr">
        <is>
          <t>SOCIEDADE PERNAMBUCANA DE COMBATE AO CANCER</t>
        </is>
      </c>
      <c r="D217" t="inlineStr">
        <is>
          <t>Convênio equipamento</t>
        </is>
      </c>
      <c r="E217" t="n">
        <v>2023</v>
      </c>
      <c r="F217" s="286" t="inlineStr">
        <is>
          <t>955191</t>
        </is>
      </c>
      <c r="G217" s="286" t="inlineStr">
        <is>
          <t>91089423008</t>
        </is>
      </c>
      <c r="H217" t="inlineStr">
        <is>
          <t>Não monitorado</t>
        </is>
      </c>
    </row>
    <row r="218">
      <c r="A218" t="inlineStr">
        <is>
          <t>MT</t>
        </is>
      </c>
      <c r="B218" t="inlineStr">
        <is>
          <t>CUIABA</t>
        </is>
      </c>
      <c r="C218" t="inlineStr">
        <is>
          <t>ASSOCIACAO MATOGROSSENSE DE COMBATE AO CANCER</t>
        </is>
      </c>
      <c r="D218" t="inlineStr">
        <is>
          <t>Convênio equipamento</t>
        </is>
      </c>
      <c r="E218" t="n">
        <v>2023</v>
      </c>
      <c r="F218" s="286" t="inlineStr">
        <is>
          <t>947236</t>
        </is>
      </c>
      <c r="G218" s="286" t="inlineStr">
        <is>
          <t>92467223001</t>
        </is>
      </c>
      <c r="H218" t="inlineStr">
        <is>
          <t>Não monitorado</t>
        </is>
      </c>
    </row>
    <row r="219">
      <c r="A219" t="inlineStr">
        <is>
          <t>RJ</t>
        </is>
      </c>
      <c r="B219" t="inlineStr">
        <is>
          <t>ITAPERUNA</t>
        </is>
      </c>
      <c r="C219" t="inlineStr">
        <is>
          <t>CONFERENCIA SAO JOSE DO AVAI</t>
        </is>
      </c>
      <c r="D219" t="inlineStr">
        <is>
          <t>Convênio equipamento</t>
        </is>
      </c>
      <c r="E219" t="n">
        <v>2023</v>
      </c>
      <c r="F219" s="286" t="inlineStr">
        <is>
          <t>NI</t>
        </is>
      </c>
      <c r="G219" s="286" t="inlineStr">
        <is>
          <t>92964023009</t>
        </is>
      </c>
      <c r="H219" t="inlineStr">
        <is>
          <t>Não monitorado</t>
        </is>
      </c>
    </row>
    <row r="220">
      <c r="A220" t="inlineStr">
        <is>
          <t>RJ</t>
        </is>
      </c>
      <c r="B220" t="inlineStr">
        <is>
          <t>RIO DE JANEIRO</t>
        </is>
      </c>
      <c r="C220" t="inlineStr">
        <is>
          <t>ASSOCIACAO BRASILEIRA DE ASSISTENCIA AOS CANCEROSOS</t>
        </is>
      </c>
      <c r="D220" t="inlineStr">
        <is>
          <t>Convênio equipamento</t>
        </is>
      </c>
      <c r="E220" t="n">
        <v>2023</v>
      </c>
      <c r="F220" s="286" t="inlineStr">
        <is>
          <t>953735</t>
        </is>
      </c>
      <c r="G220" s="286" t="inlineStr">
        <is>
          <t>93381623005</t>
        </is>
      </c>
      <c r="H220" t="inlineStr">
        <is>
          <t>Não monitorado</t>
        </is>
      </c>
    </row>
    <row r="221">
      <c r="A221" t="inlineStr">
        <is>
          <t>AM</t>
        </is>
      </c>
      <c r="B221" t="inlineStr">
        <is>
          <t>MANAUS</t>
        </is>
      </c>
      <c r="C221" t="inlineStr">
        <is>
          <t>FUNDACAO CENTRO DE CONTROLE DE ONCOLOGIA</t>
        </is>
      </c>
      <c r="D221" t="inlineStr">
        <is>
          <t>Convênio equipamento</t>
        </is>
      </c>
      <c r="E221" t="n">
        <v>2023</v>
      </c>
      <c r="F221" s="286" t="inlineStr">
        <is>
          <t>954388</t>
        </is>
      </c>
      <c r="G221" s="286" t="inlineStr">
        <is>
          <t>93457023001</t>
        </is>
      </c>
      <c r="H221" t="inlineStr">
        <is>
          <t>Não monitorado</t>
        </is>
      </c>
    </row>
    <row r="222">
      <c r="A222" t="inlineStr">
        <is>
          <t>SP</t>
        </is>
      </c>
      <c r="B222" t="inlineStr">
        <is>
          <t>BARRETOS</t>
        </is>
      </c>
      <c r="C222" t="inlineStr">
        <is>
          <t>FUNDACAO PIO XII</t>
        </is>
      </c>
      <c r="D222" t="inlineStr">
        <is>
          <t>Convênio equipamento</t>
        </is>
      </c>
      <c r="E222" t="n">
        <v>2023</v>
      </c>
      <c r="F222" s="286" t="inlineStr">
        <is>
          <t>NI</t>
        </is>
      </c>
      <c r="G222" s="286" t="inlineStr">
        <is>
          <t>94915023011</t>
        </is>
      </c>
      <c r="H222" t="inlineStr">
        <is>
          <t>Não monitorado</t>
        </is>
      </c>
    </row>
    <row r="223">
      <c r="A223" t="inlineStr">
        <is>
          <t>SP</t>
        </is>
      </c>
      <c r="B223" t="inlineStr">
        <is>
          <t>SOROCABA</t>
        </is>
      </c>
      <c r="C223" t="inlineStr">
        <is>
          <t>GRUPO DE PESQUISA E ASSISTENCIA AO CANCER INFANTIL</t>
        </is>
      </c>
      <c r="D223" t="inlineStr">
        <is>
          <t>Convênio equipamento</t>
        </is>
      </c>
      <c r="E223" t="n">
        <v>2023</v>
      </c>
      <c r="F223" s="286" t="inlineStr">
        <is>
          <t>949531</t>
        </is>
      </c>
      <c r="G223" s="286" t="inlineStr">
        <is>
          <t>95081923002</t>
        </is>
      </c>
      <c r="H223" t="inlineStr">
        <is>
          <t>Não monitorado</t>
        </is>
      </c>
    </row>
    <row r="224">
      <c r="A224" t="inlineStr">
        <is>
          <t>SP</t>
        </is>
      </c>
      <c r="B224" t="inlineStr">
        <is>
          <t>LIMEIRA</t>
        </is>
      </c>
      <c r="C224" t="inlineStr">
        <is>
          <t>IRMANDADE DA SANTA CASA DE MISERICORDIA DE LIMEIRA</t>
        </is>
      </c>
      <c r="D224" t="inlineStr">
        <is>
          <t>Convênio equipamento</t>
        </is>
      </c>
      <c r="E224" t="n">
        <v>2023</v>
      </c>
      <c r="F224" s="286" t="inlineStr">
        <is>
          <t>948704</t>
        </is>
      </c>
      <c r="G224" s="286" t="inlineStr">
        <is>
          <t>95147323002</t>
        </is>
      </c>
      <c r="H224" t="inlineStr">
        <is>
          <t>Não monitorado</t>
        </is>
      </c>
    </row>
    <row r="225">
      <c r="A225" t="inlineStr">
        <is>
          <t>SP</t>
        </is>
      </c>
      <c r="B225" t="inlineStr">
        <is>
          <t>PIRACICABA</t>
        </is>
      </c>
      <c r="C225" t="inlineStr">
        <is>
          <t>ASSOCIACAO DOS FORNECEDORES DE CANA DE PIRACICABA</t>
        </is>
      </c>
      <c r="D225" t="inlineStr">
        <is>
          <t>Convênio equipamento</t>
        </is>
      </c>
      <c r="E225" t="n">
        <v>2023</v>
      </c>
      <c r="F225" s="286" t="inlineStr">
        <is>
          <t>NI</t>
        </is>
      </c>
      <c r="G225" s="286" t="inlineStr">
        <is>
          <t>95438423012</t>
        </is>
      </c>
      <c r="H225" t="inlineStr">
        <is>
          <t>Não monitorado</t>
        </is>
      </c>
    </row>
    <row r="226">
      <c r="A226" t="inlineStr">
        <is>
          <t>SP</t>
        </is>
      </c>
      <c r="B226" t="inlineStr">
        <is>
          <t>SAO PAULO</t>
        </is>
      </c>
      <c r="C226" t="inlineStr">
        <is>
          <t>FUNDACAO FACULDADE DE MEDICINA</t>
        </is>
      </c>
      <c r="D226" t="inlineStr">
        <is>
          <t>Convênio equipamento</t>
        </is>
      </c>
      <c r="E226" t="n">
        <v>2023</v>
      </c>
      <c r="F226" s="286" t="inlineStr">
        <is>
          <t>NI</t>
        </is>
      </c>
      <c r="G226" s="286" t="inlineStr">
        <is>
          <t>95657723010</t>
        </is>
      </c>
      <c r="H226" t="inlineStr">
        <is>
          <t>Não monitorado</t>
        </is>
      </c>
    </row>
    <row r="227">
      <c r="A227" t="inlineStr">
        <is>
          <t>SP</t>
        </is>
      </c>
      <c r="B227" t="inlineStr">
        <is>
          <t>SAO CARLOS</t>
        </is>
      </c>
      <c r="C227" t="inlineStr">
        <is>
          <t>IRMANDADE DA SANTA CASA DE MISERICORDIA DE SAO CARLOS</t>
        </is>
      </c>
      <c r="D227" t="inlineStr">
        <is>
          <t>Convênio equipamento</t>
        </is>
      </c>
      <c r="E227" t="n">
        <v>2023</v>
      </c>
      <c r="F227" s="286" t="inlineStr">
        <is>
          <t>NI</t>
        </is>
      </c>
      <c r="G227" s="286" t="inlineStr">
        <is>
          <t>95961023001</t>
        </is>
      </c>
      <c r="H227" t="inlineStr">
        <is>
          <t>Não monitorado</t>
        </is>
      </c>
    </row>
    <row r="228">
      <c r="A228" t="inlineStr">
        <is>
          <t>SP</t>
        </is>
      </c>
      <c r="B228" t="inlineStr">
        <is>
          <t>SAO PAULO</t>
        </is>
      </c>
      <c r="C228" t="inlineStr">
        <is>
          <t>INSTITUTO DO CANCER ARNALDO VIEIRA DE CARVALHO</t>
        </is>
      </c>
      <c r="D228" t="inlineStr">
        <is>
          <t>Convênio equipamento</t>
        </is>
      </c>
      <c r="E228" t="n">
        <v>2023</v>
      </c>
      <c r="F228" s="286" t="inlineStr">
        <is>
          <t>NI</t>
        </is>
      </c>
      <c r="G228" s="286" t="inlineStr">
        <is>
          <t>96094523011</t>
        </is>
      </c>
      <c r="H228" t="inlineStr">
        <is>
          <t>Não monitorado</t>
        </is>
      </c>
    </row>
    <row r="229">
      <c r="A229" t="inlineStr">
        <is>
          <t>PR</t>
        </is>
      </c>
      <c r="B229" t="inlineStr">
        <is>
          <t>LONDRINA</t>
        </is>
      </c>
      <c r="C229" t="inlineStr">
        <is>
          <t>INSTITUTO DE CANCER DE LONDRINA</t>
        </is>
      </c>
      <c r="D229" t="inlineStr">
        <is>
          <t>Convênio equipamento</t>
        </is>
      </c>
      <c r="E229" t="n">
        <v>2023</v>
      </c>
      <c r="F229" s="286" t="inlineStr">
        <is>
          <t>947279</t>
        </is>
      </c>
      <c r="G229" s="286" t="inlineStr">
        <is>
          <t>97863323006</t>
        </is>
      </c>
      <c r="H229" t="inlineStr">
        <is>
          <t>Não monitorado</t>
        </is>
      </c>
    </row>
    <row r="230">
      <c r="A230" t="inlineStr">
        <is>
          <t>PR</t>
        </is>
      </c>
      <c r="B230" t="inlineStr">
        <is>
          <t>LONDRINA</t>
        </is>
      </c>
      <c r="C230" t="inlineStr">
        <is>
          <t>INSTITUTO DE CANCER DE LONDRINA</t>
        </is>
      </c>
      <c r="D230" t="inlineStr">
        <is>
          <t>Convênio equipamento</t>
        </is>
      </c>
      <c r="E230" t="n">
        <v>2023</v>
      </c>
      <c r="F230" s="286" t="inlineStr">
        <is>
          <t>947275</t>
        </is>
      </c>
      <c r="G230" s="286" t="inlineStr">
        <is>
          <t>97863323007</t>
        </is>
      </c>
      <c r="H230" t="inlineStr">
        <is>
          <t>Não monitorado</t>
        </is>
      </c>
    </row>
    <row r="231">
      <c r="A231" t="inlineStr">
        <is>
          <t>RS</t>
        </is>
      </c>
      <c r="B231" t="inlineStr">
        <is>
          <t>SANTA CRUZ DO SUL</t>
        </is>
      </c>
      <c r="C231" t="inlineStr">
        <is>
          <t>HOSPITAL ANA NERY SANTA CRUZ DO SUL</t>
        </is>
      </c>
      <c r="D231" t="inlineStr">
        <is>
          <t>Convênio equipamento</t>
        </is>
      </c>
      <c r="E231" t="n">
        <v>2023</v>
      </c>
      <c r="F231" s="286" t="inlineStr">
        <is>
          <t>NI</t>
        </is>
      </c>
      <c r="G231" s="286" t="inlineStr">
        <is>
          <t>99542223004</t>
        </is>
      </c>
      <c r="H231" t="inlineStr">
        <is>
          <t>Não monitorado</t>
        </is>
      </c>
    </row>
    <row r="232">
      <c r="A232" t="inlineStr">
        <is>
          <t>SP</t>
        </is>
      </c>
      <c r="B232" t="inlineStr">
        <is>
          <t>SAO PAULO</t>
        </is>
      </c>
      <c r="C232" t="inlineStr">
        <is>
          <t>FUNDO ESTADUAL DE SAUDE - FUNDES</t>
        </is>
      </c>
      <c r="D232" t="inlineStr">
        <is>
          <t>Convênio obra</t>
        </is>
      </c>
      <c r="E232" t="n">
        <v>2024</v>
      </c>
      <c r="F232" s="286" t="inlineStr">
        <is>
          <t>NI</t>
        </is>
      </c>
      <c r="G232" s="286" t="inlineStr">
        <is>
          <t>91385124006</t>
        </is>
      </c>
      <c r="H232" t="inlineStr">
        <is>
          <t>Não monitorado</t>
        </is>
      </c>
    </row>
    <row r="233">
      <c r="A233" t="inlineStr">
        <is>
          <t>MG</t>
        </is>
      </c>
      <c r="B233" t="inlineStr">
        <is>
          <t>ITUIUTABA</t>
        </is>
      </c>
      <c r="C233" t="inlineStr">
        <is>
          <t>FUNDO MUNICIPAL DE SAUDE - FMS</t>
        </is>
      </c>
      <c r="D233" t="inlineStr">
        <is>
          <t>FAF</t>
        </is>
      </c>
      <c r="E233" t="n">
        <v>2023</v>
      </c>
      <c r="F233" s="286" t="inlineStr">
        <is>
          <t>2268</t>
        </is>
      </c>
      <c r="G233" s="286" t="inlineStr">
        <is>
          <t>97529530000123001</t>
        </is>
      </c>
      <c r="H233" t="inlineStr">
        <is>
          <t>Não monitorado</t>
        </is>
      </c>
    </row>
    <row r="234">
      <c r="A234" t="inlineStr">
        <is>
          <t>RO</t>
        </is>
      </c>
      <c r="B234" t="inlineStr">
        <is>
          <t>PORTO VELHO</t>
        </is>
      </c>
      <c r="C234" t="inlineStr">
        <is>
          <t>FUNDO MUNICIPAL DE SAUDE</t>
        </is>
      </c>
      <c r="D234" t="inlineStr">
        <is>
          <t>FAF</t>
        </is>
      </c>
      <c r="E234" t="n">
        <v>2023</v>
      </c>
      <c r="F234" s="286" t="inlineStr">
        <is>
          <t>2998</t>
        </is>
      </c>
      <c r="G234" s="286" t="inlineStr">
        <is>
          <t>11155765000123086</t>
        </is>
      </c>
      <c r="H234" t="inlineStr">
        <is>
          <t>Não monitorado</t>
        </is>
      </c>
    </row>
    <row r="235">
      <c r="A235" t="inlineStr">
        <is>
          <t>MT</t>
        </is>
      </c>
      <c r="B235" t="inlineStr">
        <is>
          <t>ALTA FLORESTA</t>
        </is>
      </c>
      <c r="C235" t="inlineStr">
        <is>
          <t>FUNDO MUNICIPAL DE SAUDE</t>
        </is>
      </c>
      <c r="D235" t="inlineStr">
        <is>
          <t>FAF</t>
        </is>
      </c>
      <c r="E235" t="n">
        <v>2023</v>
      </c>
      <c r="F235" s="286" t="inlineStr">
        <is>
          <t>2024</t>
        </is>
      </c>
      <c r="G235" s="286" t="inlineStr">
        <is>
          <t>11241006000123009</t>
        </is>
      </c>
      <c r="H235" t="inlineStr">
        <is>
          <t>Não monitorado</t>
        </is>
      </c>
    </row>
    <row r="236">
      <c r="A236" t="inlineStr">
        <is>
          <t>RJ</t>
        </is>
      </c>
      <c r="B236" t="inlineStr">
        <is>
          <t>NITEROI</t>
        </is>
      </c>
      <c r="C236" t="inlineStr">
        <is>
          <t>FUNDO MUNICIPAL DE SAUDE DE NITEROI</t>
        </is>
      </c>
      <c r="D236" t="inlineStr">
        <is>
          <t>FAF</t>
        </is>
      </c>
      <c r="E236" t="n">
        <v>2023</v>
      </c>
      <c r="F236" s="286" t="inlineStr">
        <is>
          <t>2679</t>
        </is>
      </c>
      <c r="G236" s="286" t="inlineStr">
        <is>
          <t>11249035000123021</t>
        </is>
      </c>
      <c r="H236" t="inlineStr">
        <is>
          <t>Não monitorado</t>
        </is>
      </c>
    </row>
    <row r="237">
      <c r="A237" t="inlineStr">
        <is>
          <t>RR</t>
        </is>
      </c>
      <c r="B237" t="inlineStr">
        <is>
          <t>BOA VISTA</t>
        </is>
      </c>
      <c r="C237" t="inlineStr">
        <is>
          <t>FUNDO MUNICIPAL DE SAUDE DE BOA VISTA</t>
        </is>
      </c>
      <c r="D237" t="inlineStr">
        <is>
          <t>FAF</t>
        </is>
      </c>
      <c r="E237" t="n">
        <v>2023</v>
      </c>
      <c r="F237" s="286" t="inlineStr">
        <is>
          <t>2583</t>
        </is>
      </c>
      <c r="G237" s="286" t="inlineStr">
        <is>
          <t>13464636000123101</t>
        </is>
      </c>
      <c r="H237" t="inlineStr">
        <is>
          <t>Não monitorado</t>
        </is>
      </c>
    </row>
    <row r="238">
      <c r="A238" t="inlineStr">
        <is>
          <t>DF</t>
        </is>
      </c>
      <c r="B238" t="inlineStr">
        <is>
          <t>BRASILIA</t>
        </is>
      </c>
      <c r="C238" t="inlineStr">
        <is>
          <t>FUNDO DE SAUDE DO DISTRITO FEDERAL</t>
        </is>
      </c>
      <c r="D238" t="inlineStr">
        <is>
          <t>FAF</t>
        </is>
      </c>
      <c r="E238" t="n">
        <v>2024</v>
      </c>
      <c r="F238" s="286" t="inlineStr">
        <is>
          <t>NI</t>
        </is>
      </c>
      <c r="G238" s="286" t="inlineStr">
        <is>
          <t>12116247000124075</t>
        </is>
      </c>
      <c r="H238" t="inlineStr">
        <is>
          <t>Não monitorado</t>
        </is>
      </c>
    </row>
    <row r="239">
      <c r="A239" t="inlineStr">
        <is>
          <t>SP</t>
        </is>
      </c>
      <c r="B239" t="inlineStr">
        <is>
          <t>SAO PAULO</t>
        </is>
      </c>
      <c r="C239" t="inlineStr">
        <is>
          <t>FUNDO ESTADUAL DE SAUDE - FUNDES</t>
        </is>
      </c>
      <c r="D239" t="inlineStr">
        <is>
          <t>FAF</t>
        </is>
      </c>
      <c r="E239" t="n">
        <v>2024</v>
      </c>
      <c r="F239" s="286" t="inlineStr">
        <is>
          <t>NI</t>
        </is>
      </c>
      <c r="G239" s="286" t="inlineStr">
        <is>
          <t>13851748000124008</t>
        </is>
      </c>
      <c r="H239" t="inlineStr">
        <is>
          <t>Não monitorado</t>
        </is>
      </c>
    </row>
    <row r="240">
      <c r="A240" t="inlineStr">
        <is>
          <t>SP</t>
        </is>
      </c>
      <c r="B240" t="inlineStr">
        <is>
          <t>SAO PAULO</t>
        </is>
      </c>
      <c r="C240" t="inlineStr">
        <is>
          <t>FUNDO ESTADUAL DE SAUDE - FUNDES</t>
        </is>
      </c>
      <c r="D240" t="inlineStr">
        <is>
          <t>FAF</t>
        </is>
      </c>
      <c r="E240" t="n">
        <v>2024</v>
      </c>
      <c r="F240" s="286" t="inlineStr">
        <is>
          <t>NI</t>
        </is>
      </c>
      <c r="G240" s="286" t="inlineStr">
        <is>
          <t>13851748000124051</t>
        </is>
      </c>
      <c r="H240" t="inlineStr">
        <is>
          <t>Não monitorado</t>
        </is>
      </c>
    </row>
    <row r="241">
      <c r="A241" t="inlineStr">
        <is>
          <t>DF</t>
        </is>
      </c>
      <c r="B241" t="inlineStr">
        <is>
          <t>BRASILIA</t>
        </is>
      </c>
      <c r="C241" t="inlineStr">
        <is>
          <t>HOSPITAL DE APOIO DE BRASILIA HAB</t>
        </is>
      </c>
      <c r="D241" t="inlineStr">
        <is>
          <t>FAF</t>
        </is>
      </c>
      <c r="E241" t="n">
        <v>2023</v>
      </c>
      <c r="F241" s="286" t="inlineStr">
        <is>
          <t>NA</t>
        </is>
      </c>
      <c r="G241" s="286" t="inlineStr">
        <is>
          <t>12116247000123064</t>
        </is>
      </c>
      <c r="H241" t="inlineStr">
        <is>
          <t>Não monitorado</t>
        </is>
      </c>
    </row>
    <row r="242">
      <c r="A242" t="inlineStr">
        <is>
          <t>RN</t>
        </is>
      </c>
      <c r="B242" t="inlineStr">
        <is>
          <t>MOSSORO</t>
        </is>
      </c>
      <c r="C242" t="inlineStr">
        <is>
          <t>LIGA MOSSOROENSE DE ESTUDOS E COMBATE AO CANCER</t>
        </is>
      </c>
      <c r="D242" t="inlineStr">
        <is>
          <t>Convênio obra</t>
        </is>
      </c>
      <c r="E242" t="n">
        <v>2023</v>
      </c>
      <c r="F242" s="286" t="inlineStr">
        <is>
          <t>NI</t>
        </is>
      </c>
      <c r="G242" s="286" t="inlineStr">
        <is>
          <t>90402623004</t>
        </is>
      </c>
      <c r="H242" t="inlineStr">
        <is>
          <t>Não monitorado</t>
        </is>
      </c>
    </row>
    <row r="243">
      <c r="A243" t="inlineStr">
        <is>
          <t>PB</t>
        </is>
      </c>
      <c r="B243" t="inlineStr">
        <is>
          <t>JOAO PESSOA</t>
        </is>
      </c>
      <c r="C243" t="inlineStr">
        <is>
          <t>FUNDACAO NAPOLEAO LAUREANO</t>
        </is>
      </c>
      <c r="D243" t="inlineStr">
        <is>
          <t>Convênio obra</t>
        </is>
      </c>
      <c r="E243" t="n">
        <v>2023</v>
      </c>
      <c r="F243" s="286" t="inlineStr">
        <is>
          <t>NI</t>
        </is>
      </c>
      <c r="G243" s="286" t="inlineStr">
        <is>
          <t>90911223004</t>
        </is>
      </c>
      <c r="H243" t="inlineStr">
        <is>
          <t>Não monitorado</t>
        </is>
      </c>
    </row>
    <row r="244">
      <c r="A244" t="inlineStr">
        <is>
          <t>PB</t>
        </is>
      </c>
      <c r="B244" t="inlineStr">
        <is>
          <t>JOAO PESSOA</t>
        </is>
      </c>
      <c r="C244" t="inlineStr">
        <is>
          <t>FUNDACAO NAPOLEAO LAUREANO</t>
        </is>
      </c>
      <c r="D244" t="inlineStr">
        <is>
          <t>Convênio obra</t>
        </is>
      </c>
      <c r="E244" t="n">
        <v>2023</v>
      </c>
      <c r="F244" s="286" t="inlineStr">
        <is>
          <t>NI</t>
        </is>
      </c>
      <c r="G244" s="286" t="inlineStr">
        <is>
          <t>90911223005</t>
        </is>
      </c>
      <c r="H244" t="inlineStr">
        <is>
          <t>Não monitorado</t>
        </is>
      </c>
    </row>
    <row r="245">
      <c r="A245" t="inlineStr">
        <is>
          <t>PB</t>
        </is>
      </c>
      <c r="B245" t="inlineStr">
        <is>
          <t>JOAO PESSOA</t>
        </is>
      </c>
      <c r="C245" t="inlineStr">
        <is>
          <t>FUNDACAO NAPOLEAO LAUREANO</t>
        </is>
      </c>
      <c r="D245" t="inlineStr">
        <is>
          <t>Convênio obra</t>
        </is>
      </c>
      <c r="E245" t="n">
        <v>2023</v>
      </c>
      <c r="F245" s="286" t="inlineStr">
        <is>
          <t>NI</t>
        </is>
      </c>
      <c r="G245" s="286" t="inlineStr">
        <is>
          <t>90911223006</t>
        </is>
      </c>
      <c r="H245" t="inlineStr">
        <is>
          <t>Não monitorado</t>
        </is>
      </c>
    </row>
    <row r="246">
      <c r="A246" t="inlineStr">
        <is>
          <t>SP</t>
        </is>
      </c>
      <c r="B246" t="inlineStr">
        <is>
          <t>SAO PAULO</t>
        </is>
      </c>
      <c r="C246" t="inlineStr">
        <is>
          <t>INSTITUTO DO CANCER ARNALDO VIEIRA DE CARVALHO</t>
        </is>
      </c>
      <c r="D246" t="inlineStr">
        <is>
          <t>Convênio</t>
        </is>
      </c>
      <c r="E246" t="n">
        <v>2018</v>
      </c>
      <c r="F246" s="286" t="inlineStr">
        <is>
          <t>875921</t>
        </is>
      </c>
      <c r="G246" s="286" t="inlineStr">
        <is>
          <t>96094518001</t>
        </is>
      </c>
      <c r="H246" t="inlineStr">
        <is>
          <t>ACL não executado</t>
        </is>
      </c>
    </row>
    <row r="247">
      <c r="A247" t="inlineStr">
        <is>
          <t>RJ</t>
        </is>
      </c>
      <c r="B247" t="inlineStr">
        <is>
          <t>RIO DE JANEIRO</t>
        </is>
      </c>
      <c r="C247" t="inlineStr">
        <is>
          <t>UNIVERSIDADE DO ESTADO DO RIO DE JANEIRO</t>
        </is>
      </c>
      <c r="D247" t="inlineStr">
        <is>
          <t>Convênio</t>
        </is>
      </c>
      <c r="E247" t="n">
        <v>2015</v>
      </c>
      <c r="F247" s="286" t="inlineStr">
        <is>
          <t>826995</t>
        </is>
      </c>
      <c r="G247" s="286" t="inlineStr">
        <is>
          <t>93354015003</t>
        </is>
      </c>
      <c r="H247" t="inlineStr">
        <is>
          <t>ACL não executado</t>
        </is>
      </c>
    </row>
    <row r="248">
      <c r="A248" t="inlineStr">
        <is>
          <t>MS</t>
        </is>
      </c>
      <c r="B248" t="inlineStr">
        <is>
          <t>TRES LAGOAS</t>
        </is>
      </c>
      <c r="C248" t="inlineStr">
        <is>
          <t>SOCIEDADE BENEFICIENTE DO HOSPITAL NOSSA SENHORA AUXILIADORA</t>
        </is>
      </c>
      <c r="D248" t="inlineStr">
        <is>
          <t>Convênio</t>
        </is>
      </c>
      <c r="E248" t="n">
        <v>2013</v>
      </c>
      <c r="F248" s="286" t="inlineStr">
        <is>
          <t>798397</t>
        </is>
      </c>
      <c r="G248" s="286" t="inlineStr">
        <is>
          <t>90387313025</t>
        </is>
      </c>
      <c r="H248" t="inlineStr">
        <is>
          <t>ACL não executado</t>
        </is>
      </c>
    </row>
    <row r="249">
      <c r="A249" t="inlineStr">
        <is>
          <t>BA</t>
        </is>
      </c>
      <c r="B249" t="inlineStr">
        <is>
          <t>SALVADOR</t>
        </is>
      </c>
      <c r="C249" t="inlineStr">
        <is>
          <t>MONTE TABOR CENTRO ITALO BRASILEIRO DE PROM SANITARIA</t>
        </is>
      </c>
      <c r="D249" t="inlineStr">
        <is>
          <t>Convênio</t>
        </is>
      </c>
      <c r="E249" t="n">
        <v>2013</v>
      </c>
      <c r="F249" s="286" t="inlineStr">
        <is>
          <t>798749</t>
        </is>
      </c>
      <c r="G249" s="286" t="inlineStr">
        <is>
          <t>91392613010</t>
        </is>
      </c>
      <c r="H249" t="inlineStr">
        <is>
          <t>ACL não executado</t>
        </is>
      </c>
    </row>
    <row r="250">
      <c r="A250" t="inlineStr">
        <is>
          <t>MG</t>
        </is>
      </c>
      <c r="B250" t="inlineStr">
        <is>
          <t>SETE LAGOAS</t>
        </is>
      </c>
      <c r="C250" t="inlineStr">
        <is>
          <t>IRMANDADE DE NOSSA SENHORA DAS GRACAS</t>
        </is>
      </c>
      <c r="D250" t="inlineStr">
        <is>
          <t>Convênio</t>
        </is>
      </c>
      <c r="E250" t="n">
        <v>2013</v>
      </c>
      <c r="F250" s="286" t="inlineStr">
        <is>
          <t>799639</t>
        </is>
      </c>
      <c r="G250" s="286" t="inlineStr">
        <is>
          <t>92499313002</t>
        </is>
      </c>
      <c r="H250" t="inlineStr">
        <is>
          <t>ACL não executado</t>
        </is>
      </c>
    </row>
    <row r="251">
      <c r="A251" t="inlineStr">
        <is>
          <t>SP</t>
        </is>
      </c>
      <c r="B251" t="inlineStr">
        <is>
          <t>ARARAS</t>
        </is>
      </c>
      <c r="C251" t="inlineStr">
        <is>
          <t>IRMANDADE DA SANTA CASA DE MISERICORDIA DE ARARAS</t>
        </is>
      </c>
      <c r="D251" t="inlineStr">
        <is>
          <t>Convênio</t>
        </is>
      </c>
      <c r="E251" t="n">
        <v>2013</v>
      </c>
      <c r="F251" s="286" t="inlineStr">
        <is>
          <t>797862</t>
        </is>
      </c>
      <c r="G251" s="286" t="inlineStr">
        <is>
          <t>94421513004</t>
        </is>
      </c>
      <c r="H251" t="inlineStr">
        <is>
          <t>ACL não executado</t>
        </is>
      </c>
    </row>
    <row r="252">
      <c r="A252" t="inlineStr">
        <is>
          <t>PR</t>
        </is>
      </c>
      <c r="B252" t="inlineStr">
        <is>
          <t>PONTA GROSSA</t>
        </is>
      </c>
      <c r="C252" t="inlineStr">
        <is>
          <t>SANTA CASA DE MISERICORDIA DE PONTA GROSSA</t>
        </is>
      </c>
      <c r="D252" t="inlineStr">
        <is>
          <t>Convênio</t>
        </is>
      </c>
      <c r="E252" t="n">
        <v>2013</v>
      </c>
      <c r="F252" s="286" t="inlineStr">
        <is>
          <t>797860</t>
        </is>
      </c>
      <c r="G252" s="286" t="inlineStr">
        <is>
          <t>98023813003</t>
        </is>
      </c>
      <c r="H252" t="inlineStr">
        <is>
          <t>ACL não executado</t>
        </is>
      </c>
    </row>
    <row r="253">
      <c r="A253" t="inlineStr">
        <is>
          <t>RS</t>
        </is>
      </c>
      <c r="B253" t="inlineStr">
        <is>
          <t>CAXIAS DO SUL</t>
        </is>
      </c>
      <c r="C253" t="inlineStr">
        <is>
          <t>FUNDACAO UNIVERSIDADE DE CAXIAS DO SUL</t>
        </is>
      </c>
      <c r="D253" t="inlineStr">
        <is>
          <t>Convênio</t>
        </is>
      </c>
      <c r="E253" t="n">
        <v>2013</v>
      </c>
      <c r="F253" s="286" t="inlineStr">
        <is>
          <t>802053</t>
        </is>
      </c>
      <c r="G253" s="286" t="inlineStr">
        <is>
          <t>98864813002</t>
        </is>
      </c>
      <c r="H253" t="inlineStr">
        <is>
          <t>ACL não executado</t>
        </is>
      </c>
    </row>
    <row r="254">
      <c r="A254" t="inlineStr">
        <is>
          <t>SP</t>
        </is>
      </c>
      <c r="B254" t="inlineStr">
        <is>
          <t>BOTUCATU</t>
        </is>
      </c>
      <c r="C254" t="inlineStr">
        <is>
          <t>HOSPITAL DAS CLÍNICAS DA FACULDADE DE MEDICINA DE BOTUCATU</t>
        </is>
      </c>
      <c r="D254" t="inlineStr">
        <is>
          <t>Convênio</t>
        </is>
      </c>
      <c r="E254" t="n">
        <v>2013</v>
      </c>
      <c r="F254" s="286" t="inlineStr">
        <is>
          <t>797270</t>
        </is>
      </c>
      <c r="G254" s="286" t="inlineStr">
        <is>
          <t>NA</t>
        </is>
      </c>
      <c r="H254" t="inlineStr">
        <is>
          <t>ACL não executado</t>
        </is>
      </c>
    </row>
    <row r="255">
      <c r="A255" t="inlineStr">
        <is>
          <t>PA</t>
        </is>
      </c>
      <c r="B255" t="inlineStr">
        <is>
          <t>BELEM</t>
        </is>
      </c>
      <c r="C255" t="inlineStr">
        <is>
          <t>HOSPITAL OPHIR LOYOLA</t>
        </is>
      </c>
      <c r="D255" t="inlineStr">
        <is>
          <t>Convênio</t>
        </is>
      </c>
      <c r="E255" t="n">
        <v>2012</v>
      </c>
      <c r="F255" s="286" t="inlineStr">
        <is>
          <t>780111</t>
        </is>
      </c>
      <c r="G255" s="286" t="inlineStr">
        <is>
          <t>NA</t>
        </is>
      </c>
      <c r="H255" t="inlineStr">
        <is>
          <t>ACL não executado</t>
        </is>
      </c>
    </row>
    <row r="256">
      <c r="A256" t="inlineStr">
        <is>
          <t>GO</t>
        </is>
      </c>
      <c r="B256" t="inlineStr">
        <is>
          <t>GOIANIA</t>
        </is>
      </c>
      <c r="C256" t="inlineStr">
        <is>
          <t>ASSOCIACAO DE COMBATE AO CANCER EM GOIAS</t>
        </is>
      </c>
      <c r="D256" t="inlineStr">
        <is>
          <t>Convênio</t>
        </is>
      </c>
      <c r="E256" t="n">
        <v>2009</v>
      </c>
      <c r="F256" s="286" t="inlineStr">
        <is>
          <t>730663</t>
        </is>
      </c>
      <c r="G256" s="286" t="inlineStr">
        <is>
          <t>NA</t>
        </is>
      </c>
      <c r="H256" t="inlineStr">
        <is>
          <t>ACL não executado</t>
        </is>
      </c>
    </row>
    <row r="257">
      <c r="A257" t="inlineStr">
        <is>
          <t>PA</t>
        </is>
      </c>
      <c r="B257" t="inlineStr">
        <is>
          <t>BELEM</t>
        </is>
      </c>
      <c r="C257" t="inlineStr">
        <is>
          <t>FUNDO ESTADUAL DE SAUDE</t>
        </is>
      </c>
      <c r="D257" t="inlineStr">
        <is>
          <t>FAF</t>
        </is>
      </c>
      <c r="E257" t="n">
        <v>2022</v>
      </c>
      <c r="F257" s="286" t="inlineStr">
        <is>
          <t>25000.094048/2024-87</t>
        </is>
      </c>
      <c r="G257" s="286" t="inlineStr">
        <is>
          <t>83369835000122067</t>
        </is>
      </c>
      <c r="H257" t="inlineStr">
        <is>
          <t>ACL não executado</t>
        </is>
      </c>
    </row>
    <row r="258">
      <c r="A258" t="inlineStr">
        <is>
          <t>MG</t>
        </is>
      </c>
      <c r="B258" t="inlineStr">
        <is>
          <t>VARGINHA</t>
        </is>
      </c>
      <c r="C258" t="inlineStr">
        <is>
          <t>FUNDO MUNICIPAL DE SAUDE</t>
        </is>
      </c>
      <c r="D258" t="inlineStr">
        <is>
          <t>FAF</t>
        </is>
      </c>
      <c r="E258" t="n">
        <v>2021</v>
      </c>
      <c r="F258" s="286" t="inlineStr">
        <is>
          <t>25000.185975/2021-62</t>
        </is>
      </c>
      <c r="G258" s="286" t="inlineStr">
        <is>
          <t>11234223000121009</t>
        </is>
      </c>
      <c r="H258" t="inlineStr">
        <is>
          <t>ACL não executado</t>
        </is>
      </c>
    </row>
    <row r="259">
      <c r="A259" t="inlineStr">
        <is>
          <t>SC</t>
        </is>
      </c>
      <c r="B259" t="inlineStr">
        <is>
          <t>JOINVILLE</t>
        </is>
      </c>
      <c r="C259" t="inlineStr">
        <is>
          <t>FUNDO MUNICIPAL DE SAUDE DE JOINVILLE</t>
        </is>
      </c>
      <c r="D259" t="inlineStr">
        <is>
          <t>FAF</t>
        </is>
      </c>
      <c r="E259" t="n">
        <v>2019</v>
      </c>
      <c r="F259" s="286" t="inlineStr">
        <is>
          <t>NI</t>
        </is>
      </c>
      <c r="G259" s="286" t="inlineStr">
        <is>
          <t>08184821000119001</t>
        </is>
      </c>
      <c r="H259" t="inlineStr">
        <is>
          <t>ACL sem informação</t>
        </is>
      </c>
    </row>
    <row r="260">
      <c r="A260" t="inlineStr">
        <is>
          <t>MG</t>
        </is>
      </c>
      <c r="B260" t="inlineStr">
        <is>
          <t>UBERLANDIA</t>
        </is>
      </c>
      <c r="C260" t="inlineStr">
        <is>
          <t>EMPRESA BRASILEIRA DE SERVICOS HOSPITALARES EBSERH</t>
        </is>
      </c>
      <c r="D260" t="inlineStr">
        <is>
          <t>FAF</t>
        </is>
      </c>
      <c r="E260" t="n">
        <v>2016</v>
      </c>
      <c r="F260" s="286" t="inlineStr">
        <is>
          <t>NI</t>
        </is>
      </c>
      <c r="G260" s="286" t="inlineStr">
        <is>
          <t>25648387000116001</t>
        </is>
      </c>
      <c r="H260" t="inlineStr">
        <is>
          <t>ACL sem informação</t>
        </is>
      </c>
    </row>
    <row r="261">
      <c r="A261" t="inlineStr">
        <is>
          <t>RJ</t>
        </is>
      </c>
      <c r="B261" t="inlineStr">
        <is>
          <t>RIO DE JANEIRO</t>
        </is>
      </c>
      <c r="C261" t="inlineStr">
        <is>
          <t>HOSPITAL UNIVERSITARIO CLEMENTINO FRAGA FILHO</t>
        </is>
      </c>
      <c r="D261" t="inlineStr">
        <is>
          <t>FAF</t>
        </is>
      </c>
      <c r="E261" t="n">
        <v>2016</v>
      </c>
      <c r="F261" s="286" t="inlineStr">
        <is>
          <t>NI</t>
        </is>
      </c>
      <c r="G261" s="286" t="inlineStr">
        <is>
          <t>33663683005316004</t>
        </is>
      </c>
      <c r="H261" t="inlineStr">
        <is>
          <t>ACL sem informação</t>
        </is>
      </c>
    </row>
    <row r="262">
      <c r="A262" t="inlineStr">
        <is>
          <t>DF</t>
        </is>
      </c>
      <c r="B262" t="inlineStr">
        <is>
          <t>BRASILIA</t>
        </is>
      </c>
      <c r="C262" t="inlineStr">
        <is>
          <t>HOSPITAL DE BASE DO DISTRITO FEDERAL</t>
        </is>
      </c>
      <c r="D262" t="inlineStr">
        <is>
          <t>GESCON</t>
        </is>
      </c>
      <c r="E262" t="n">
        <v>2012</v>
      </c>
      <c r="F262" s="286" t="inlineStr">
        <is>
          <t>1368</t>
        </is>
      </c>
      <c r="G262" s="286" t="inlineStr">
        <is>
          <t>NA</t>
        </is>
      </c>
      <c r="H262" t="inlineStr">
        <is>
          <t>ACL sem informação</t>
        </is>
      </c>
    </row>
    <row r="263">
      <c r="A263" t="inlineStr">
        <is>
          <t>MG</t>
        </is>
      </c>
      <c r="B263" t="inlineStr">
        <is>
          <t>BELO HORIZONTE</t>
        </is>
      </c>
      <c r="C263" t="inlineStr">
        <is>
          <t>FUNDACAO HOSPITALAR DO ESTADO DE MINAS GERAIS</t>
        </is>
      </c>
      <c r="D263" t="inlineStr">
        <is>
          <t>GESCON</t>
        </is>
      </c>
      <c r="E263" t="n">
        <v>2011</v>
      </c>
      <c r="F263" s="286" t="inlineStr">
        <is>
          <t>3100</t>
        </is>
      </c>
      <c r="G263" s="286" t="inlineStr">
        <is>
          <t>NA</t>
        </is>
      </c>
      <c r="H263" t="inlineStr">
        <is>
          <t>ACL sem informação</t>
        </is>
      </c>
    </row>
    <row r="264">
      <c r="A264" t="inlineStr">
        <is>
          <t>MG</t>
        </is>
      </c>
      <c r="B264" t="inlineStr">
        <is>
          <t>MURIAE</t>
        </is>
      </c>
      <c r="C264" t="inlineStr">
        <is>
          <t>FUNDACAO CRISTIANO VARELLA</t>
        </is>
      </c>
      <c r="D264" t="inlineStr">
        <is>
          <t>GESCON</t>
        </is>
      </c>
      <c r="E264" t="n">
        <v>2008</v>
      </c>
      <c r="F264" s="286" t="inlineStr">
        <is>
          <t>907</t>
        </is>
      </c>
      <c r="G264" s="286" t="inlineStr">
        <is>
          <t>NA</t>
        </is>
      </c>
      <c r="H264" t="inlineStr">
        <is>
          <t>ACL sem informação</t>
        </is>
      </c>
    </row>
    <row r="265">
      <c r="A265" t="inlineStr">
        <is>
          <t>ES</t>
        </is>
      </c>
      <c r="B265" t="inlineStr">
        <is>
          <t>VITORIA</t>
        </is>
      </c>
      <c r="C265" t="inlineStr">
        <is>
          <t>ASSOCIACAO FEMININA DE EDUCACAO E COMBATE AO CANCER</t>
        </is>
      </c>
      <c r="D265" t="inlineStr">
        <is>
          <t>GESCON</t>
        </is>
      </c>
      <c r="E265" t="n">
        <v>2008</v>
      </c>
      <c r="F265" s="286" t="inlineStr">
        <is>
          <t>1709</t>
        </is>
      </c>
      <c r="G265" s="286" t="inlineStr">
        <is>
          <t>NA</t>
        </is>
      </c>
      <c r="H265" t="inlineStr">
        <is>
          <t>ACL sem informação</t>
        </is>
      </c>
    </row>
    <row r="266">
      <c r="A266" t="inlineStr">
        <is>
          <t>SP</t>
        </is>
      </c>
      <c r="B266" t="inlineStr">
        <is>
          <t>JAU</t>
        </is>
      </c>
      <c r="C266" t="inlineStr">
        <is>
          <t>FUNDACAO DR AMARAL CARVALHO</t>
        </is>
      </c>
      <c r="D266" t="inlineStr">
        <is>
          <t>GESCON</t>
        </is>
      </c>
      <c r="E266" t="n">
        <v>2008</v>
      </c>
      <c r="F266" s="286" t="inlineStr">
        <is>
          <t>2063</t>
        </is>
      </c>
      <c r="G266" s="286" t="inlineStr">
        <is>
          <t>NA</t>
        </is>
      </c>
      <c r="H266" t="inlineStr">
        <is>
          <t>ACL sem informação</t>
        </is>
      </c>
    </row>
    <row r="267">
      <c r="A267" t="inlineStr">
        <is>
          <t>TO</t>
        </is>
      </c>
      <c r="B267" t="inlineStr">
        <is>
          <t>ARAGUAINA</t>
        </is>
      </c>
      <c r="C267" t="inlineStr">
        <is>
          <t>TOCANTINS SECRETARIA DE ESTADO DA SAUDE</t>
        </is>
      </c>
      <c r="D267" t="inlineStr">
        <is>
          <t>GESCON</t>
        </is>
      </c>
      <c r="E267" t="n">
        <v>2008</v>
      </c>
      <c r="F267" s="286" t="inlineStr">
        <is>
          <t>1232</t>
        </is>
      </c>
      <c r="G267" s="286" t="inlineStr">
        <is>
          <t>NA</t>
        </is>
      </c>
      <c r="H267" t="inlineStr">
        <is>
          <t>ACL sem informação</t>
        </is>
      </c>
    </row>
    <row r="268">
      <c r="A268" t="inlineStr">
        <is>
          <t>PE</t>
        </is>
      </c>
      <c r="B268" t="inlineStr">
        <is>
          <t>RECIFE</t>
        </is>
      </c>
      <c r="C268" t="inlineStr">
        <is>
          <t>INSTITUTO MEDICINA INTEGRAL PROFESSOR FERNANDO FIGUEIRA</t>
        </is>
      </c>
      <c r="D268" t="inlineStr">
        <is>
          <t>GESCON</t>
        </is>
      </c>
      <c r="E268" t="n">
        <v>2006</v>
      </c>
      <c r="F268" s="286" t="inlineStr">
        <is>
          <t>1496</t>
        </is>
      </c>
      <c r="G268" s="286" t="inlineStr">
        <is>
          <t>NA</t>
        </is>
      </c>
      <c r="H268" t="inlineStr">
        <is>
          <t>ACL sem informação</t>
        </is>
      </c>
    </row>
  </sheetData>
  <autoFilter ref="A1:H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Ana Caroline Sena Barbosa</dc:creator>
  <dcterms:created xsi:type="dcterms:W3CDTF">2024-11-26T17:58:04Z</dcterms:created>
  <dcterms:modified xsi:type="dcterms:W3CDTF">2026-09-03T16:27:31Z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0x010100E32B60CFA3574E418ABE55294884A6E6</vt:lpwstr>
  </property>
  <property name="MediaServiceImageTags" fmtid="{D5CDD505-2E9C-101B-9397-08002B2CF9AE}" pid="3">
    <vt:lpwstr/>
  </property>
</Properties>
</file>