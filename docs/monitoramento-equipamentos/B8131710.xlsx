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ixo\"/>
    </mc:Choice>
  </mc:AlternateContent>
  <bookViews>
    <workbookView xWindow="0" yWindow="0" windowWidth="28800" windowHeight="12180"/>
  </bookViews>
  <sheets>
    <sheet name="Planilha1" sheetId="1" r:id="rId1"/>
    <sheet name="Planilha7" sheetId="7" state="hidden" r:id="rId2"/>
    <sheet name="SUL" sheetId="3" r:id="rId3"/>
    <sheet name="SUDESTE" sheetId="4" r:id="rId4"/>
    <sheet name="NORTE" sheetId="5" r:id="rId5"/>
    <sheet name="NORDESTE" sheetId="6" r:id="rId6"/>
    <sheet name="CENTRO-OESTE" sheetId="8" r:id="rId7"/>
    <sheet name="Planilha2" sheetId="2" state="hidden" r:id="rId8"/>
  </sheets>
  <externalReferences>
    <externalReference r:id="rId9"/>
  </externalReferences>
  <definedNames>
    <definedName name="_xlnm._FilterDatabase" localSheetId="6" hidden="1">'CENTRO-OESTE'!$A$1:$I$25</definedName>
    <definedName name="_xlnm._FilterDatabase" localSheetId="0" hidden="1">Planilha1!$A$1:$LH$328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8" l="1"/>
  <c r="G314" i="1"/>
  <c r="J347" i="1" l="1"/>
  <c r="J344" i="1"/>
  <c r="J343" i="1"/>
  <c r="J340" i="1"/>
  <c r="J336" i="1"/>
  <c r="J335" i="1"/>
</calcChain>
</file>

<file path=xl/sharedStrings.xml><?xml version="1.0" encoding="utf-8"?>
<sst xmlns="http://schemas.openxmlformats.org/spreadsheetml/2006/main" count="4223" uniqueCount="937">
  <si>
    <t>UF</t>
  </si>
  <si>
    <t>MUNICIPIO</t>
  </si>
  <si>
    <t>ENTIDADE</t>
  </si>
  <si>
    <t>NU_PROPOSTA</t>
  </si>
  <si>
    <t>NU_PROCESSO</t>
  </si>
  <si>
    <t>CONVENIO</t>
  </si>
  <si>
    <t>ANO</t>
  </si>
  <si>
    <t>EQUIPAMENTOS</t>
  </si>
  <si>
    <t>QUANT.</t>
  </si>
  <si>
    <t>BA</t>
  </si>
  <si>
    <t>SALVADOR</t>
  </si>
  <si>
    <t>FUNDO ESTADUAL DE SAUDE DO ESTADO DA BAHIA</t>
  </si>
  <si>
    <t>GRUPO DE APOIO A CRIANCA COM CANCER - BAHIA</t>
  </si>
  <si>
    <t>90581624017</t>
  </si>
  <si>
    <t>93260524003</t>
  </si>
  <si>
    <t>25000195562202439</t>
  </si>
  <si>
    <t>25000193585202417</t>
  </si>
  <si>
    <t>973049</t>
  </si>
  <si>
    <t>972703</t>
  </si>
  <si>
    <t>2024</t>
  </si>
  <si>
    <t>Acelerador Linear</t>
  </si>
  <si>
    <t>Vários</t>
  </si>
  <si>
    <t>LIGA BAHIANA CONTRA O CANCER</t>
  </si>
  <si>
    <t>91518024002</t>
  </si>
  <si>
    <t>25000136789202442</t>
  </si>
  <si>
    <t>969171</t>
  </si>
  <si>
    <t>CE</t>
  </si>
  <si>
    <t>FORTALEZA</t>
  </si>
  <si>
    <t>INSTITUTO DO CANCER DO CEARA</t>
  </si>
  <si>
    <t>90726524005</t>
  </si>
  <si>
    <t>25000185686202414</t>
  </si>
  <si>
    <t>971368</t>
  </si>
  <si>
    <t>NOVA RUSSAS</t>
  </si>
  <si>
    <t>FUNDO MUNICIPAL DE SAUDE DE NOVA RUSSAS</t>
  </si>
  <si>
    <t>11372601000124022</t>
  </si>
  <si>
    <t>6116</t>
  </si>
  <si>
    <t>DF</t>
  </si>
  <si>
    <t>BRASILIA</t>
  </si>
  <si>
    <t>FUNDO DE SAUDE DO DISTRITO FEDERAL</t>
  </si>
  <si>
    <t>12116247000124075</t>
  </si>
  <si>
    <t>12116247000124076</t>
  </si>
  <si>
    <t>5982</t>
  </si>
  <si>
    <t>12116247000124089</t>
  </si>
  <si>
    <t>6297</t>
  </si>
  <si>
    <t>INSTITUTO HOSPITAL DE BASE DO DISTRITO FEDERAL -IHBDF</t>
  </si>
  <si>
    <t>92848124017</t>
  </si>
  <si>
    <t>92848124018</t>
  </si>
  <si>
    <t>25000164424202416</t>
  </si>
  <si>
    <t>25000164426202405</t>
  </si>
  <si>
    <t>970343</t>
  </si>
  <si>
    <t>970345</t>
  </si>
  <si>
    <t>ES</t>
  </si>
  <si>
    <t>VITORIA</t>
  </si>
  <si>
    <t>ASSOCIACAO FEMININA DE EDUCACAO E COMBATE AO CANCER</t>
  </si>
  <si>
    <t>92813724001</t>
  </si>
  <si>
    <t>92813724002</t>
  </si>
  <si>
    <t>92813724003</t>
  </si>
  <si>
    <t>92813724004</t>
  </si>
  <si>
    <t>25000080407202419</t>
  </si>
  <si>
    <t>25000065802202471</t>
  </si>
  <si>
    <t>25000080390202408</t>
  </si>
  <si>
    <t>25000065799202496</t>
  </si>
  <si>
    <t>962379</t>
  </si>
  <si>
    <t>959424</t>
  </si>
  <si>
    <t>962381</t>
  </si>
  <si>
    <t>961305</t>
  </si>
  <si>
    <t>GO</t>
  </si>
  <si>
    <t>GOIANIA</t>
  </si>
  <si>
    <t>ASSOCIACAO DE COMBATE AO CANCER EM GOIAS</t>
  </si>
  <si>
    <t>90158524002</t>
  </si>
  <si>
    <t>90158524004</t>
  </si>
  <si>
    <t>25000082257202488</t>
  </si>
  <si>
    <t>25000164395202484</t>
  </si>
  <si>
    <t>967733</t>
  </si>
  <si>
    <t>970347</t>
  </si>
  <si>
    <t>FUNDO MUNICIPAL DE SAUDE</t>
  </si>
  <si>
    <t>37623352000124006</t>
  </si>
  <si>
    <t>5931</t>
  </si>
  <si>
    <t>MG</t>
  </si>
  <si>
    <t>MONTES CLAROS</t>
  </si>
  <si>
    <t>FUNDACAO DE SAUDE DILSON DE QUADROS GODINHO</t>
  </si>
  <si>
    <t>90099124001</t>
  </si>
  <si>
    <t>25000171325202482</t>
  </si>
  <si>
    <t>970350</t>
  </si>
  <si>
    <t>MS</t>
  </si>
  <si>
    <t>CAMPO GRANDE</t>
  </si>
  <si>
    <t>FUNDACAO CARMEM PRUDENTE DE MATO GROSSO DO SUL</t>
  </si>
  <si>
    <t>90322124002</t>
  </si>
  <si>
    <t>90322124003</t>
  </si>
  <si>
    <t>25000076387202481</t>
  </si>
  <si>
    <t>25000065661202497</t>
  </si>
  <si>
    <t>961247</t>
  </si>
  <si>
    <t>959453</t>
  </si>
  <si>
    <t>MT</t>
  </si>
  <si>
    <t>CUIABA</t>
  </si>
  <si>
    <t>ASSOCIACAO MATOGROSSENSE DE COMBATE AO CANCER</t>
  </si>
  <si>
    <t>92467224005</t>
  </si>
  <si>
    <t>92467224006</t>
  </si>
  <si>
    <t>25000164419202403</t>
  </si>
  <si>
    <t>25000164420202420</t>
  </si>
  <si>
    <t>970357</t>
  </si>
  <si>
    <t>971380</t>
  </si>
  <si>
    <t>PB</t>
  </si>
  <si>
    <t>CAMPINA GRANDE</t>
  </si>
  <si>
    <t>FUNDACAO ASSISTENCIAL DA PARAIBA- FAP</t>
  </si>
  <si>
    <t>90884124007</t>
  </si>
  <si>
    <t>90884124008</t>
  </si>
  <si>
    <t>90884124009</t>
  </si>
  <si>
    <t>90884124010</t>
  </si>
  <si>
    <t>25000164414202472</t>
  </si>
  <si>
    <t>25000196601202415</t>
  </si>
  <si>
    <t>25000196602202460</t>
  </si>
  <si>
    <t>25000191245202443</t>
  </si>
  <si>
    <t>970364</t>
  </si>
  <si>
    <t>972688</t>
  </si>
  <si>
    <t>972689</t>
  </si>
  <si>
    <t>971674</t>
  </si>
  <si>
    <t>JOAO PESSOA</t>
  </si>
  <si>
    <t>FUNDACAO NAPOLEAO LAUREANO</t>
  </si>
  <si>
    <t>90911224005</t>
  </si>
  <si>
    <t>90911224009</t>
  </si>
  <si>
    <t>90911224014</t>
  </si>
  <si>
    <t>25000082280202472</t>
  </si>
  <si>
    <t>25000164415202417</t>
  </si>
  <si>
    <t>25000196603202412</t>
  </si>
  <si>
    <t>971549</t>
  </si>
  <si>
    <t>970368</t>
  </si>
  <si>
    <t>972690</t>
  </si>
  <si>
    <t>08715618000124011</t>
  </si>
  <si>
    <t>5980</t>
  </si>
  <si>
    <t>PE</t>
  </si>
  <si>
    <t>RECIFE</t>
  </si>
  <si>
    <t>INSTITUTO DE MEDICINA INTEGRAL PROFESSOR FERNANDO FIGUEIRA - IMIP</t>
  </si>
  <si>
    <t>91098824004</t>
  </si>
  <si>
    <t>25000082287202494</t>
  </si>
  <si>
    <t>962425</t>
  </si>
  <si>
    <t>SOCIEDADE PERNAMBUCANA DE COMBATE AO CANCER</t>
  </si>
  <si>
    <t>91089424001</t>
  </si>
  <si>
    <t>91089424004</t>
  </si>
  <si>
    <t>91089424007</t>
  </si>
  <si>
    <t>91089424008</t>
  </si>
  <si>
    <t>25000065677202408</t>
  </si>
  <si>
    <t>25000082282202461</t>
  </si>
  <si>
    <t>25000077596202442</t>
  </si>
  <si>
    <t>25000082284202451</t>
  </si>
  <si>
    <t>959480</t>
  </si>
  <si>
    <t>962431</t>
  </si>
  <si>
    <t>961296</t>
  </si>
  <si>
    <t>962432</t>
  </si>
  <si>
    <t>PR</t>
  </si>
  <si>
    <t>ARAPONGAS</t>
  </si>
  <si>
    <t>ASSOCIACAO NORTE PARANAENSE DE COMBATE AO CANCER</t>
  </si>
  <si>
    <t>90416924013</t>
  </si>
  <si>
    <t>25000193573202484</t>
  </si>
  <si>
    <t>972728</t>
  </si>
  <si>
    <t>CASCAVEL</t>
  </si>
  <si>
    <t>UNIAO OESTE PARANAENSE DE ESTUDOS E COMBATE AO CANCER</t>
  </si>
  <si>
    <t>98127024009</t>
  </si>
  <si>
    <t>98127024010</t>
  </si>
  <si>
    <t>25000164437202487</t>
  </si>
  <si>
    <t>25000164438202421</t>
  </si>
  <si>
    <t>970463</t>
  </si>
  <si>
    <t>970458</t>
  </si>
  <si>
    <t>CURITIBA</t>
  </si>
  <si>
    <t>LIGA PARANAENSE DE COMBATE AO CANCER</t>
  </si>
  <si>
    <t>97659124008</t>
  </si>
  <si>
    <t>25000196562202456</t>
  </si>
  <si>
    <t>973058</t>
  </si>
  <si>
    <t>IBIPORA</t>
  </si>
  <si>
    <t>ASSOCIACAO DA SANTA CASA DE IBIPORA</t>
  </si>
  <si>
    <t>97807724003</t>
  </si>
  <si>
    <t>25000148666202454</t>
  </si>
  <si>
    <t>971131</t>
  </si>
  <si>
    <t>LONDRINA</t>
  </si>
  <si>
    <t>INSTITUTO DE CANCER DE LONDRINA</t>
  </si>
  <si>
    <t>97863324004</t>
  </si>
  <si>
    <t>97863324007</t>
  </si>
  <si>
    <t>25000136825202478</t>
  </si>
  <si>
    <t>25000185747202435</t>
  </si>
  <si>
    <t>970439</t>
  </si>
  <si>
    <t>971765</t>
  </si>
  <si>
    <t>RJ</t>
  </si>
  <si>
    <t>RIO DE JANEIRO</t>
  </si>
  <si>
    <t>ASSOCIACAO BRASILEIRA DE ASSISTENCIA AOS CANCEROSOS</t>
  </si>
  <si>
    <t>93381624004</t>
  </si>
  <si>
    <t>25000082314202429</t>
  </si>
  <si>
    <t>971030</t>
  </si>
  <si>
    <t>SAO GONCALO</t>
  </si>
  <si>
    <t>FUNDO MUNICIPAL DE SAUDE DE SAO GONCALO</t>
  </si>
  <si>
    <t>11884903000124042</t>
  </si>
  <si>
    <t>6077</t>
  </si>
  <si>
    <t>RN</t>
  </si>
  <si>
    <t>MOSSORO</t>
  </si>
  <si>
    <t>LIGA MOSSOROENSE DE ESTUDOS E COMBATE AO CANCER</t>
  </si>
  <si>
    <t>90402624002</t>
  </si>
  <si>
    <t>90402624003</t>
  </si>
  <si>
    <t>90402624005</t>
  </si>
  <si>
    <t>90402624010</t>
  </si>
  <si>
    <t>25000185676202471</t>
  </si>
  <si>
    <t>25000164401202401</t>
  </si>
  <si>
    <t>25000164402202448</t>
  </si>
  <si>
    <t>25000196124202498</t>
  </si>
  <si>
    <t>971398</t>
  </si>
  <si>
    <t>970514</t>
  </si>
  <si>
    <t>970517</t>
  </si>
  <si>
    <t>973055</t>
  </si>
  <si>
    <t>NATAL</t>
  </si>
  <si>
    <t>LIGA NORTE RIOGRANDENSE CONTRA O CANCER</t>
  </si>
  <si>
    <t>90842824009</t>
  </si>
  <si>
    <t>90842824010</t>
  </si>
  <si>
    <t>90842824011</t>
  </si>
  <si>
    <t>90842824012</t>
  </si>
  <si>
    <t>90842824014</t>
  </si>
  <si>
    <t>90842824015</t>
  </si>
  <si>
    <t>25000074445202432</t>
  </si>
  <si>
    <t>25000074404202446</t>
  </si>
  <si>
    <t>25000074402202457</t>
  </si>
  <si>
    <t>25000136782202421</t>
  </si>
  <si>
    <t>25000164406202426</t>
  </si>
  <si>
    <t>25000136783202475</t>
  </si>
  <si>
    <t>961375</t>
  </si>
  <si>
    <t>961377</t>
  </si>
  <si>
    <t>961380</t>
  </si>
  <si>
    <t>970524</t>
  </si>
  <si>
    <t>970520</t>
  </si>
  <si>
    <t>970528</t>
  </si>
  <si>
    <t>RS</t>
  </si>
  <si>
    <t>NOVO HAMBURGO</t>
  </si>
  <si>
    <t>ASSOCIACAO PRO ENSINO SUPERIOR EM NOVO HAMBURGO</t>
  </si>
  <si>
    <t>99169324001</t>
  </si>
  <si>
    <t>25000082355202415</t>
  </si>
  <si>
    <t>970392</t>
  </si>
  <si>
    <t>PORTO ALEGRE</t>
  </si>
  <si>
    <t>ASSOCIACAO HOSPITALAR VILA NOVA</t>
  </si>
  <si>
    <t>90499424017</t>
  </si>
  <si>
    <t>25000171335202418</t>
  </si>
  <si>
    <t>970388</t>
  </si>
  <si>
    <t>UNIAO BRASILEIRA DE EDUCACAO E ASSISTENCIA</t>
  </si>
  <si>
    <t>98863024015</t>
  </si>
  <si>
    <t>25000185760202494</t>
  </si>
  <si>
    <t>971399</t>
  </si>
  <si>
    <t>SC</t>
  </si>
  <si>
    <t>BLUMENAU</t>
  </si>
  <si>
    <t>REDE FEMININA DE COMBATE AO CANCER DE BLUMENAU</t>
  </si>
  <si>
    <t>98313224008</t>
  </si>
  <si>
    <t>25000198548202497</t>
  </si>
  <si>
    <t>973720</t>
  </si>
  <si>
    <t>SP</t>
  </si>
  <si>
    <t>BOTUCATU</t>
  </si>
  <si>
    <t>FUNDACAO PARA O DESENVOLVIMENTO MEDICO E HOSPITALAR</t>
  </si>
  <si>
    <t>94623024003</t>
  </si>
  <si>
    <t>25000138625202450</t>
  </si>
  <si>
    <t>971153</t>
  </si>
  <si>
    <t>SANTOS</t>
  </si>
  <si>
    <t>IRMANDADE DA SANTA CASA DE MISERICORDIA DE SANTOS</t>
  </si>
  <si>
    <t>95819824004</t>
  </si>
  <si>
    <t>25000092694202418</t>
  </si>
  <si>
    <t>971195</t>
  </si>
  <si>
    <t>SAO CARLOS</t>
  </si>
  <si>
    <t>IRMANDADE DA SANTA CASA DE MISERICORDIA DE SAO CARLOS</t>
  </si>
  <si>
    <t>95961024001</t>
  </si>
  <si>
    <t>25000164378202447</t>
  </si>
  <si>
    <t>970621</t>
  </si>
  <si>
    <t>SAO PAULO</t>
  </si>
  <si>
    <t>FUNDO ESTADUAL DE SAUDE - FUNDES</t>
  </si>
  <si>
    <t>13851748000124008</t>
  </si>
  <si>
    <t>13851748000124045</t>
  </si>
  <si>
    <t>13851748000124051</t>
  </si>
  <si>
    <t>91385124002</t>
  </si>
  <si>
    <t>25000117745202413</t>
  </si>
  <si>
    <t>968527</t>
  </si>
  <si>
    <t>GRUPO DE APOIO AO ADOLESCENTE E A CRIANCA COM C GRAACC</t>
  </si>
  <si>
    <t>INSTITUTO BRASILEIRO DE CONTROLE DO CANCER</t>
  </si>
  <si>
    <t>INSTITUTO DO CANCER ARNALDO VIEIRA DE CARVALHO</t>
  </si>
  <si>
    <t>96718524005</t>
  </si>
  <si>
    <t>96293224002</t>
  </si>
  <si>
    <t>96094524008</t>
  </si>
  <si>
    <t>25000082335202444</t>
  </si>
  <si>
    <t>25000136820202445</t>
  </si>
  <si>
    <t>25000077437202448</t>
  </si>
  <si>
    <t>971044</t>
  </si>
  <si>
    <t>971171</t>
  </si>
  <si>
    <t>961625</t>
  </si>
  <si>
    <t>TO</t>
  </si>
  <si>
    <t>ARAGUAINA</t>
  </si>
  <si>
    <t>CASA DE CARIDADE DOM ORIONE</t>
  </si>
  <si>
    <t>90136824006</t>
  </si>
  <si>
    <t>25000164391202404</t>
  </si>
  <si>
    <t>971355</t>
  </si>
  <si>
    <t>Mamógrafo</t>
  </si>
  <si>
    <t>Gama Probe</t>
  </si>
  <si>
    <t>Tomógrafo Computadorizado</t>
  </si>
  <si>
    <t>1006m2</t>
  </si>
  <si>
    <t>Reforma de ambientes da Unidade de Oncologia Pediátrica</t>
  </si>
  <si>
    <t>906m2</t>
  </si>
  <si>
    <t>Reforma das áreas administrativas para concentração em Bloco Administrativo</t>
  </si>
  <si>
    <t>738m2</t>
  </si>
  <si>
    <t>Arco Cirúrgico</t>
  </si>
  <si>
    <t>5790m2</t>
  </si>
  <si>
    <t>Ultrassom Diagnóstico</t>
  </si>
  <si>
    <t>Simulador/ Tomógrafo para Radioterapia</t>
  </si>
  <si>
    <t>Ressonância Nuclear Magnética</t>
  </si>
  <si>
    <t>91518025002</t>
  </si>
  <si>
    <t>25000138708202520</t>
  </si>
  <si>
    <t>979576</t>
  </si>
  <si>
    <t>2025</t>
  </si>
  <si>
    <t>90726525003</t>
  </si>
  <si>
    <t>25000198470202591</t>
  </si>
  <si>
    <t>985638</t>
  </si>
  <si>
    <t>SOBRAL</t>
  </si>
  <si>
    <t>SANTA CASA DE MISERICORDIA DE SOBRAL</t>
  </si>
  <si>
    <t>90781825001</t>
  </si>
  <si>
    <t>25000198468202512</t>
  </si>
  <si>
    <t>12116247000125048</t>
  </si>
  <si>
    <t>9395</t>
  </si>
  <si>
    <t>12116247000125060</t>
  </si>
  <si>
    <t>9248</t>
  </si>
  <si>
    <t>APARECIDA DE GOIANIA</t>
  </si>
  <si>
    <t>FUNDO MUNICIPAL DE SAUDE DE APARECIDA DE GOIANIA</t>
  </si>
  <si>
    <t>11809185000125009</t>
  </si>
  <si>
    <t>25000159253202586</t>
  </si>
  <si>
    <t>8878</t>
  </si>
  <si>
    <t>RIO VERDE</t>
  </si>
  <si>
    <t>FUNDACAO CRISTA ANGELICA</t>
  </si>
  <si>
    <t>92504025005</t>
  </si>
  <si>
    <t>25000138716202576</t>
  </si>
  <si>
    <t>979588</t>
  </si>
  <si>
    <t>JUIZ DE FORA</t>
  </si>
  <si>
    <t>ASSOCIACAO FEMININA PREV COMBATE CANCER DE JUIZ DE FORA</t>
  </si>
  <si>
    <t>92159925001</t>
  </si>
  <si>
    <t>25000132913202581</t>
  </si>
  <si>
    <t>978150</t>
  </si>
  <si>
    <t>92467225002</t>
  </si>
  <si>
    <t>92467225003</t>
  </si>
  <si>
    <t>25000138711202543</t>
  </si>
  <si>
    <t>25000138712202598</t>
  </si>
  <si>
    <t>979586</t>
  </si>
  <si>
    <t>979589</t>
  </si>
  <si>
    <t>PA</t>
  </si>
  <si>
    <t>BELEM</t>
  </si>
  <si>
    <t>FUNDO ESTADUAL DE SAUDE</t>
  </si>
  <si>
    <t>83369835000125007</t>
  </si>
  <si>
    <t>9943</t>
  </si>
  <si>
    <t>Braquiterapia</t>
  </si>
  <si>
    <t>90884125001</t>
  </si>
  <si>
    <t>90884125006</t>
  </si>
  <si>
    <t>90884125007</t>
  </si>
  <si>
    <t>25000137449202510</t>
  </si>
  <si>
    <t>25000137446202586</t>
  </si>
  <si>
    <t>25000138656202591</t>
  </si>
  <si>
    <t>979549</t>
  </si>
  <si>
    <t>90911225003</t>
  </si>
  <si>
    <t>90911225004</t>
  </si>
  <si>
    <t>90911225007</t>
  </si>
  <si>
    <t>25000209838202554</t>
  </si>
  <si>
    <t>25000195310202591</t>
  </si>
  <si>
    <t>25000198475202514</t>
  </si>
  <si>
    <t>987739</t>
  </si>
  <si>
    <t>984602</t>
  </si>
  <si>
    <t>Reforma de instalações para funcionamento da Unidade de Cuidados Prolongados</t>
  </si>
  <si>
    <t>1460 m2</t>
  </si>
  <si>
    <t>3.945 m3</t>
  </si>
  <si>
    <t>INSTITUTO WALFREDO GUEDES PEREIRA</t>
  </si>
  <si>
    <t>90912425004</t>
  </si>
  <si>
    <t>90912425005</t>
  </si>
  <si>
    <t>25000138657202536</t>
  </si>
  <si>
    <t>25000138658202581</t>
  </si>
  <si>
    <t>979579</t>
  </si>
  <si>
    <t>979581</t>
  </si>
  <si>
    <t>90912425009</t>
  </si>
  <si>
    <t>90912425014</t>
  </si>
  <si>
    <t>25000138659202525</t>
  </si>
  <si>
    <t>25000214555202524</t>
  </si>
  <si>
    <t>979582</t>
  </si>
  <si>
    <t>SAPE</t>
  </si>
  <si>
    <t>FUNDO MUNICIPAL DE SAUDE DE SAPE</t>
  </si>
  <si>
    <t>08036438000125003</t>
  </si>
  <si>
    <t>25000187882202504</t>
  </si>
  <si>
    <t>9811</t>
  </si>
  <si>
    <t>ARARIPINA</t>
  </si>
  <si>
    <t>INSTITUTO SOCIAL DAS MEDIANEIRAS DA PAZ</t>
  </si>
  <si>
    <t>91073925005</t>
  </si>
  <si>
    <t>25000225623202581</t>
  </si>
  <si>
    <t>CARUARU</t>
  </si>
  <si>
    <t>ASSOCIACAO CARUARUENSE DE ENSINO SUPERIOR E TECNICO - ASCES</t>
  </si>
  <si>
    <t>90999325006</t>
  </si>
  <si>
    <t>25000211654202554</t>
  </si>
  <si>
    <t>988137</t>
  </si>
  <si>
    <t>INSTITUTO DO CANCER INFANTIL DO AGRESTE - ICIA</t>
  </si>
  <si>
    <t>90606125002</t>
  </si>
  <si>
    <t>25000214478202511</t>
  </si>
  <si>
    <t>988622</t>
  </si>
  <si>
    <t>INSTITUTO DO FIGADO E TRANSPLANTE DE PERNAMBUCO - IFP</t>
  </si>
  <si>
    <t>90742125005</t>
  </si>
  <si>
    <t>25000198640202538</t>
  </si>
  <si>
    <t>985654</t>
  </si>
  <si>
    <t>IRMANDADE DA SANTA CASA DE MISERICORDIA DO RECIFE</t>
  </si>
  <si>
    <t>91086925002</t>
  </si>
  <si>
    <t>91089425001</t>
  </si>
  <si>
    <t>91089425002</t>
  </si>
  <si>
    <t>91089425003</t>
  </si>
  <si>
    <t>91089425004</t>
  </si>
  <si>
    <t>25000226746202539</t>
  </si>
  <si>
    <t>25000132911202592</t>
  </si>
  <si>
    <t>25000132915202571</t>
  </si>
  <si>
    <t>25000132916202515</t>
  </si>
  <si>
    <t>25000198462202545</t>
  </si>
  <si>
    <t>978812</t>
  </si>
  <si>
    <t>978811</t>
  </si>
  <si>
    <t>978810</t>
  </si>
  <si>
    <t>985655</t>
  </si>
  <si>
    <t>APUCARANA</t>
  </si>
  <si>
    <t>FUNDO MUNICIPAL DE SAUDE DE APUCARANA</t>
  </si>
  <si>
    <t>02575748000125012</t>
  </si>
  <si>
    <t>25000214525202518</t>
  </si>
  <si>
    <t>8941</t>
  </si>
  <si>
    <t>98127025003</t>
  </si>
  <si>
    <t>98127025004</t>
  </si>
  <si>
    <t>98127025010</t>
  </si>
  <si>
    <t>25000137450202544</t>
  </si>
  <si>
    <t>25000133235202574</t>
  </si>
  <si>
    <t>25000214551202546</t>
  </si>
  <si>
    <t>979584</t>
  </si>
  <si>
    <t>978853</t>
  </si>
  <si>
    <t>988856</t>
  </si>
  <si>
    <t>97659125002</t>
  </si>
  <si>
    <t>97659125004</t>
  </si>
  <si>
    <t>97659125005</t>
  </si>
  <si>
    <t>97659125006</t>
  </si>
  <si>
    <t>25000135093202580</t>
  </si>
  <si>
    <t>25000135098202511</t>
  </si>
  <si>
    <t>25000135102202532</t>
  </si>
  <si>
    <t>25000135108202518</t>
  </si>
  <si>
    <t>979548</t>
  </si>
  <si>
    <t>979544</t>
  </si>
  <si>
    <t>979542</t>
  </si>
  <si>
    <t>979547</t>
  </si>
  <si>
    <t>PATO BRANCO</t>
  </si>
  <si>
    <t>FUNDACAO SUDOESTINA DE COMBATE AO CANCER</t>
  </si>
  <si>
    <t>90223325005</t>
  </si>
  <si>
    <t>25000214548202522</t>
  </si>
  <si>
    <t>988840</t>
  </si>
  <si>
    <t>JOAO CAMARA</t>
  </si>
  <si>
    <t>FUNDO MUNICIPAL DE SAUDE DE JOAO CAMARA RN</t>
  </si>
  <si>
    <t>12083881000125007</t>
  </si>
  <si>
    <t>9463</t>
  </si>
  <si>
    <t>90402625001</t>
  </si>
  <si>
    <t>90402625002</t>
  </si>
  <si>
    <t>25000132919202559</t>
  </si>
  <si>
    <t>25000132914202526</t>
  </si>
  <si>
    <t>978849</t>
  </si>
  <si>
    <t>978848</t>
  </si>
  <si>
    <t>90842825006</t>
  </si>
  <si>
    <t>90842825007</t>
  </si>
  <si>
    <t>90842825008</t>
  </si>
  <si>
    <t>90842825009</t>
  </si>
  <si>
    <t>90842825010</t>
  </si>
  <si>
    <t>25000137443202542</t>
  </si>
  <si>
    <t>25000132920202583</t>
  </si>
  <si>
    <t>25000137436202541</t>
  </si>
  <si>
    <t>25000137441202553</t>
  </si>
  <si>
    <t>25000219179202564</t>
  </si>
  <si>
    <t>979541</t>
  </si>
  <si>
    <t>978850</t>
  </si>
  <si>
    <t>979536</t>
  </si>
  <si>
    <t>979540</t>
  </si>
  <si>
    <t>989823</t>
  </si>
  <si>
    <t>SAO GONCALO DO AMARANTE</t>
  </si>
  <si>
    <t>14026965000125009</t>
  </si>
  <si>
    <t>25000131576202513</t>
  </si>
  <si>
    <t>7462</t>
  </si>
  <si>
    <t>SANTO ANGELO</t>
  </si>
  <si>
    <t>ASSOCIACAO HOSPITAL DE CARIDADE DE SANTO ANGELO</t>
  </si>
  <si>
    <t>99621025003</t>
  </si>
  <si>
    <t>25000214482202571</t>
  </si>
  <si>
    <t>988625</t>
  </si>
  <si>
    <t>TENENTE PORTELA</t>
  </si>
  <si>
    <t>ASSOCIACAO HOSPITALAR BENEFICENTE SANTO ANTONIO</t>
  </si>
  <si>
    <t>90857925001</t>
  </si>
  <si>
    <t>25000226652202560</t>
  </si>
  <si>
    <t>991708</t>
  </si>
  <si>
    <t>FLORIANOPOLIS</t>
  </si>
  <si>
    <t>9942</t>
  </si>
  <si>
    <t>JOACABA</t>
  </si>
  <si>
    <t>FUNDACAO UNIVERSIDADE DO OESTE DE SANTA CATARINA</t>
  </si>
  <si>
    <t>98459225004</t>
  </si>
  <si>
    <t>25000211608202555</t>
  </si>
  <si>
    <t>988216</t>
  </si>
  <si>
    <t>CAMPINAS</t>
  </si>
  <si>
    <t>FUNDO MUNICIPAL DE SAUDE DE CAMPINAS</t>
  </si>
  <si>
    <t>13704311000125022</t>
  </si>
  <si>
    <t>9143</t>
  </si>
  <si>
    <t>GUARATINGUETA</t>
  </si>
  <si>
    <t>IRM SENHOR DOS PASSOS E STA CAS MISER GUARATINGUETA</t>
  </si>
  <si>
    <t>94854725002</t>
  </si>
  <si>
    <t>94854725004</t>
  </si>
  <si>
    <t>25000198452202518</t>
  </si>
  <si>
    <t>25000218190202515</t>
  </si>
  <si>
    <t>985680</t>
  </si>
  <si>
    <t>989476</t>
  </si>
  <si>
    <t>JAU</t>
  </si>
  <si>
    <t>FUNDACAO DOUTOR AMARAL CARVALHO</t>
  </si>
  <si>
    <t>95075325007</t>
  </si>
  <si>
    <t>25000198436202517</t>
  </si>
  <si>
    <t>985675</t>
  </si>
  <si>
    <t>MAIRIPORA</t>
  </si>
  <si>
    <t>11169453000125005</t>
  </si>
  <si>
    <t>7430</t>
  </si>
  <si>
    <t>SAO JOSE DOS CAMPOS</t>
  </si>
  <si>
    <t>GACC - GRUPO DE ASSISTENCIA A CRIANCA COM CANCER</t>
  </si>
  <si>
    <t>90114625002</t>
  </si>
  <si>
    <t>25000132917202560</t>
  </si>
  <si>
    <t>SOROCABA</t>
  </si>
  <si>
    <t>GRUPO DE PESQUISA E ASSISTENCIA AO CANCER INFANTIL</t>
  </si>
  <si>
    <t>95081925002</t>
  </si>
  <si>
    <t>25000214528202551</t>
  </si>
  <si>
    <t>988862</t>
  </si>
  <si>
    <t>Câmara Cintilográfica (Gama Câmara)</t>
  </si>
  <si>
    <t>985640</t>
  </si>
  <si>
    <t>ITABUNA</t>
  </si>
  <si>
    <t>SANTA CASA DE MISERICORDIA DE ITABUNA</t>
  </si>
  <si>
    <t>91434923001</t>
  </si>
  <si>
    <t>25000179372202393</t>
  </si>
  <si>
    <t>954390</t>
  </si>
  <si>
    <t>2023</t>
  </si>
  <si>
    <t>91518023004</t>
  </si>
  <si>
    <t>25000151188202389</t>
  </si>
  <si>
    <t>948684</t>
  </si>
  <si>
    <t>BARBALHA</t>
  </si>
  <si>
    <t>HOSPITAL MATERNIDADE SAO VICENTE DE PAULO</t>
  </si>
  <si>
    <t>90328423002</t>
  </si>
  <si>
    <t>25000151178202343</t>
  </si>
  <si>
    <t>90726523003</t>
  </si>
  <si>
    <t>90726523004</t>
  </si>
  <si>
    <t>25000186249202329</t>
  </si>
  <si>
    <t>25000151183202356</t>
  </si>
  <si>
    <t>954391</t>
  </si>
  <si>
    <t>948685</t>
  </si>
  <si>
    <t>90781823003</t>
  </si>
  <si>
    <t>25000179368202325</t>
  </si>
  <si>
    <t>954392</t>
  </si>
  <si>
    <t>92848123019</t>
  </si>
  <si>
    <t>25000151198202314</t>
  </si>
  <si>
    <t>948686</t>
  </si>
  <si>
    <t>CACHOEIRO DE ITAPEMIRIM</t>
  </si>
  <si>
    <t>HOSPITAL EVANGELICO DE CACHOEIRO DE ITAPEMIRIM</t>
  </si>
  <si>
    <t>92719323007</t>
  </si>
  <si>
    <t>25000151195202381</t>
  </si>
  <si>
    <t>948687</t>
  </si>
  <si>
    <t>UBERABA</t>
  </si>
  <si>
    <t>ASSOCIACAO DE COMBATE AO CANCER DO BRASIL CENTRAL</t>
  </si>
  <si>
    <t>25000178603202341</t>
  </si>
  <si>
    <t>BELO HORIZONTE</t>
  </si>
  <si>
    <t>ASSOCIACAO MARIO PENNA</t>
  </si>
  <si>
    <t>25000173301202387</t>
  </si>
  <si>
    <t>DIVINOPOLIS</t>
  </si>
  <si>
    <t>FUNDACAO GERALDO CORREA</t>
  </si>
  <si>
    <t>92014623002</t>
  </si>
  <si>
    <t>25000151190202358</t>
  </si>
  <si>
    <t>PASSOS</t>
  </si>
  <si>
    <t>IRMANDADE DA SANTA CASA DE MISERICORDIA DE PASSOS</t>
  </si>
  <si>
    <t>92327823001</t>
  </si>
  <si>
    <t>25000151194202336</t>
  </si>
  <si>
    <t>953726</t>
  </si>
  <si>
    <t>Ressonância Magnética</t>
  </si>
  <si>
    <t>PET-CT</t>
  </si>
  <si>
    <t>VARGINHA</t>
  </si>
  <si>
    <t>11234223000123029</t>
  </si>
  <si>
    <t>2777</t>
  </si>
  <si>
    <t>90884123001</t>
  </si>
  <si>
    <t>25000186265202311</t>
  </si>
  <si>
    <t>954404</t>
  </si>
  <si>
    <t>90911223004</t>
  </si>
  <si>
    <t>90911223005</t>
  </si>
  <si>
    <t>90911223006</t>
  </si>
  <si>
    <t>25000143505202393</t>
  </si>
  <si>
    <t>25000143518202362</t>
  </si>
  <si>
    <t>25000143497202385</t>
  </si>
  <si>
    <t>945991</t>
  </si>
  <si>
    <t>945994</t>
  </si>
  <si>
    <t>Reforma Ambulatorio</t>
  </si>
  <si>
    <t>1480,00m²</t>
  </si>
  <si>
    <t>Reforma Setor Radioterapia</t>
  </si>
  <si>
    <t>1000,00m²</t>
  </si>
  <si>
    <t>Reforma Setor internação e quimioterapia</t>
  </si>
  <si>
    <t>1490,00m²</t>
  </si>
  <si>
    <t>PI</t>
  </si>
  <si>
    <t>TERESINA</t>
  </si>
  <si>
    <t>ASSOCIACAO PIAUIENSE DE COMBATE AO CANCER</t>
  </si>
  <si>
    <t>90687023002</t>
  </si>
  <si>
    <t>25000151181202367</t>
  </si>
  <si>
    <t>97659123017</t>
  </si>
  <si>
    <t>25000151210202391</t>
  </si>
  <si>
    <t>948692</t>
  </si>
  <si>
    <t>97863323009</t>
  </si>
  <si>
    <t>25000151212202380</t>
  </si>
  <si>
    <t>948691</t>
  </si>
  <si>
    <t>FUNDO ESTADUAL DE SAUDE FES</t>
  </si>
  <si>
    <t>35949791000123006</t>
  </si>
  <si>
    <t>2994</t>
  </si>
  <si>
    <t>90842823010</t>
  </si>
  <si>
    <t>25000186264202377</t>
  </si>
  <si>
    <t>CENTRO INF DE INVEST HEMAT DR DOMINGOS A BOLDRINI</t>
  </si>
  <si>
    <t>95004623004</t>
  </si>
  <si>
    <t>25000186251202306</t>
  </si>
  <si>
    <t>JALES</t>
  </si>
  <si>
    <t>FUNDACAO PIO XII</t>
  </si>
  <si>
    <t>94915023012</t>
  </si>
  <si>
    <t>25000186565202309</t>
  </si>
  <si>
    <t>953746</t>
  </si>
  <si>
    <t>95075323006</t>
  </si>
  <si>
    <t>25000151199202369</t>
  </si>
  <si>
    <t>JUNDIAI</t>
  </si>
  <si>
    <t>HOSPITAL DE CARIDADE SAO VICENTE DE PAULO</t>
  </si>
  <si>
    <t>95094423002</t>
  </si>
  <si>
    <t>25000151200202355</t>
  </si>
  <si>
    <t>953749</t>
  </si>
  <si>
    <t>SOCIEDADE PORTUGUESA DE BENEFICENCIA</t>
  </si>
  <si>
    <t>95819423002</t>
  </si>
  <si>
    <t>25000186271202379</t>
  </si>
  <si>
    <t>953750</t>
  </si>
  <si>
    <t>CASA DE SAUDE SANTA MARCELINA</t>
  </si>
  <si>
    <t>96074223005</t>
  </si>
  <si>
    <t>25000151207202377</t>
  </si>
  <si>
    <t>953739</t>
  </si>
  <si>
    <t>96074223008</t>
  </si>
  <si>
    <t>FUNDACAO FACULDADE DE MEDICINA</t>
  </si>
  <si>
    <t>95657723009</t>
  </si>
  <si>
    <t>25000151202202344</t>
  </si>
  <si>
    <t>948698</t>
  </si>
  <si>
    <t>13851748000123041</t>
  </si>
  <si>
    <t>2846</t>
  </si>
  <si>
    <t xml:space="preserve">PET-CT </t>
  </si>
  <si>
    <t xml:space="preserve">Ultrassom Diagnóstico </t>
  </si>
  <si>
    <t>Reforma - Fornecimento de equipamentos e os serviços de instalação objetivando a implantação da segunda etapa do Sistema de Energia Fotovoltaica do Hospital</t>
  </si>
  <si>
    <t>Reforma do Centro Cirúrgico, da UTI e da Central de Abastecimento Farmacêutico</t>
  </si>
  <si>
    <t>25000185040202348</t>
  </si>
  <si>
    <t>30420230100002025</t>
  </si>
  <si>
    <t>TED 144</t>
  </si>
  <si>
    <t>HOSPITAL DAS CLÍNICAS DE PORTO ALEGRE</t>
  </si>
  <si>
    <t>Ano</t>
  </si>
  <si>
    <t>Equipamento</t>
  </si>
  <si>
    <t>Quantidade</t>
  </si>
  <si>
    <t>Tomógrafo</t>
  </si>
  <si>
    <t xml:space="preserve"> ACELERADOR LINEAR</t>
  </si>
  <si>
    <t>MAMÓGRAFO</t>
  </si>
  <si>
    <t xml:space="preserve">ULTRASSOM DIAGNÓSTICO </t>
  </si>
  <si>
    <t>ARCO CIRÚRGICO</t>
  </si>
  <si>
    <t>Reforma - contemplam o fornecimento de equipamentos e os serviços de instalação objetivando a implantação da primeira etapa do Sistema de Energia Fotovoltaica</t>
  </si>
  <si>
    <t xml:space="preserve">REFORMA </t>
  </si>
  <si>
    <t>BRAQUITERAPIA</t>
  </si>
  <si>
    <t>GAMA CÂMARA</t>
  </si>
  <si>
    <t>GAMA PROBE</t>
  </si>
  <si>
    <t>RESSONÂNCIA MAGNÉTICA</t>
  </si>
  <si>
    <t>SIMULADOR/TÓMOGRAFO PARA RADIOTERAPIA</t>
  </si>
  <si>
    <t>TOMÓGRAFO COMPUTADORIZADO</t>
  </si>
  <si>
    <t>VÁRIOS</t>
  </si>
  <si>
    <t>Tomógrafo computadorizado1</t>
  </si>
  <si>
    <t>Câmara Cintilográfica</t>
  </si>
  <si>
    <t>25000085703202325</t>
  </si>
  <si>
    <t>25000124716202327</t>
  </si>
  <si>
    <t>HOSPITAL REGIONAL DE SANTA MARIA</t>
  </si>
  <si>
    <t>IRMANDADE DA SANTA CASA DE MISERICORDIA DE SOROCABA</t>
  </si>
  <si>
    <t>25000178638202381</t>
  </si>
  <si>
    <t>Região</t>
  </si>
  <si>
    <t>NORDESTE</t>
  </si>
  <si>
    <t>CENTRO-OESTE</t>
  </si>
  <si>
    <t>SUDESTE</t>
  </si>
  <si>
    <t>SUL</t>
  </si>
  <si>
    <t>IJUI</t>
  </si>
  <si>
    <t>ASSOCIACAO HOSPITAL DE CARIDADE IJUI</t>
  </si>
  <si>
    <t>99073023004</t>
  </si>
  <si>
    <t>25000151214202379</t>
  </si>
  <si>
    <t>FUNDACAO HOSPITALAR DE BLUMENAU</t>
  </si>
  <si>
    <t>98265423003</t>
  </si>
  <si>
    <t>25000151213202324</t>
  </si>
  <si>
    <t>PASSO FUNDO</t>
  </si>
  <si>
    <t>ASSOCIACAO HOSPITALAR BENEFICENTE SAO VICENTE DE PAULO</t>
  </si>
  <si>
    <t>99202123008</t>
  </si>
  <si>
    <t>25000151215202313</t>
  </si>
  <si>
    <t>948695</t>
  </si>
  <si>
    <t>SUDESTe</t>
  </si>
  <si>
    <t>SÃO PAULO</t>
  </si>
  <si>
    <t>96718523002</t>
  </si>
  <si>
    <t>25000186273202368</t>
  </si>
  <si>
    <t>LAJEADO</t>
  </si>
  <si>
    <t>SOCIEDADE BENEFICENCIA E CARIDADE DE LAJEADO</t>
  </si>
  <si>
    <t>99116223004</t>
  </si>
  <si>
    <t>25000186252202342</t>
  </si>
  <si>
    <t>RIBEIRÃO PRETO</t>
  </si>
  <si>
    <t>FUND DE APOIO AO ENSINO PESQ E ASSISTENCIA HCFMRPUSP</t>
  </si>
  <si>
    <t>95772223003</t>
  </si>
  <si>
    <t>25000151205202388</t>
  </si>
  <si>
    <t>JARAGUA DO SUL</t>
  </si>
  <si>
    <t>ASSOCIACAO HOSPITALAR SAO JOSE DE JARAGUA DO SUL</t>
  </si>
  <si>
    <t>91284623003</t>
  </si>
  <si>
    <t>25000186266202366</t>
  </si>
  <si>
    <t>PIRACICABA</t>
  </si>
  <si>
    <t>IRMANDADE DA SANTA CASA DE MISERICORDIA DE PIRACICABA</t>
  </si>
  <si>
    <t>95437023002</t>
  </si>
  <si>
    <t>25000186268202355</t>
  </si>
  <si>
    <t>FUNDAÇÃO ESTADUAL DE SAÚDE - FUNDES</t>
  </si>
  <si>
    <t>25000000157202522</t>
  </si>
  <si>
    <t>FAF</t>
  </si>
  <si>
    <t>IRECÊ</t>
  </si>
  <si>
    <t>LIMEIRA</t>
  </si>
  <si>
    <t> IRMANDADE DA SANTA CASA DE MISERICORDIA DE LIMEIRA</t>
  </si>
  <si>
    <t>94623021002</t>
  </si>
  <si>
    <t>95147320001</t>
  </si>
  <si>
    <t>525000188707202101</t>
  </si>
  <si>
    <t>25000154737202024</t>
  </si>
  <si>
    <t>INSTITUTO DE MEDICINA INTEGRAL PROF FERNANDO FIGUEIRA</t>
  </si>
  <si>
    <t>91098823010</t>
  </si>
  <si>
    <t>IPATINGA</t>
  </si>
  <si>
    <t>MURIAE</t>
  </si>
  <si>
    <t>FUNDACAO SAO FRANCISCO XAVIER</t>
  </si>
  <si>
    <t>FUNDACAO CRISTIANO VARELLA</t>
  </si>
  <si>
    <t>HOSPITAL OPHIR LOYOLA</t>
  </si>
  <si>
    <t>92813721001</t>
  </si>
  <si>
    <t>91987821004</t>
  </si>
  <si>
    <t>90096117006</t>
  </si>
  <si>
    <t>83369835000115006</t>
  </si>
  <si>
    <t>90911217013</t>
  </si>
  <si>
    <t>Salvador</t>
  </si>
  <si>
    <t>HOSPITAL GERAL ROBERTO SANTOS</t>
  </si>
  <si>
    <t>Fortaleza</t>
  </si>
  <si>
    <t>HOSPITAL UNIVERSITARIO DO CEARA HUC</t>
  </si>
  <si>
    <t>Recife</t>
  </si>
  <si>
    <t>HOSPITAL UNIVERSITÁRIO OSWALDO CRUZ</t>
  </si>
  <si>
    <t>IMIP</t>
  </si>
  <si>
    <t>SE</t>
  </si>
  <si>
    <t>Aracajú</t>
  </si>
  <si>
    <t>FUNDACAO DE BENEFICENCIA HOSPITAL DE CIRURGIA</t>
  </si>
  <si>
    <t>Marilia</t>
  </si>
  <si>
    <t>ASSOCIACAO BENEFICENTE HOSPITAL UNIVERSITARIO</t>
  </si>
  <si>
    <t>Belo Horizonte</t>
  </si>
  <si>
    <t>Sao Paulo</t>
  </si>
  <si>
    <t>IRMANDADE BENEF DA SANTA CASA DA MISERICORDIA DE FORT</t>
  </si>
  <si>
    <t>Natal</t>
  </si>
  <si>
    <t>SANTA CASA DE MISERICORDIA DA BAHIA</t>
  </si>
  <si>
    <t>Cirurgia Robotica</t>
  </si>
  <si>
    <t>NORTE</t>
  </si>
  <si>
    <t>ASSOCIACAO PIAUIENSE DE COMBATE AO CANCER ALCENOR ALMEIDA</t>
  </si>
  <si>
    <t>90687023001</t>
  </si>
  <si>
    <t>25000085394202393</t>
  </si>
  <si>
    <t>12116247000123051</t>
  </si>
  <si>
    <t>HRPL</t>
  </si>
  <si>
    <t>25000191962202394</t>
  </si>
  <si>
    <t>HOSPITAL DE BASE DO DISTRITO FEDERAL</t>
  </si>
  <si>
    <t>25000085704202370</t>
  </si>
  <si>
    <t>Gama Câmara</t>
  </si>
  <si>
    <t xml:space="preserve">TEOFILO OTONI </t>
  </si>
  <si>
    <t>ASSOCIACAO HOSPITALAR SANTA ROSALIA</t>
  </si>
  <si>
    <t>92510423006</t>
  </si>
  <si>
    <t>25000086060202337</t>
  </si>
  <si>
    <t>IRMANDADE DA SANTA CASA DE MISERICORDIA DE PORTO ALEGRE</t>
  </si>
  <si>
    <t>99281523005</t>
  </si>
  <si>
    <t>25000155329202332</t>
  </si>
  <si>
    <t>BARRETOS</t>
  </si>
  <si>
    <t>FUNDACAO PIO XII BARRETOS</t>
  </si>
  <si>
    <t>94915023004</t>
  </si>
  <si>
    <t>25000130349202309</t>
  </si>
  <si>
    <t>Varios</t>
  </si>
  <si>
    <t>FUNDACAO UNIVERSIDADE DE BRASILIA</t>
  </si>
  <si>
    <t>25000175998202088</t>
  </si>
  <si>
    <t xml:space="preserve">TED </t>
  </si>
  <si>
    <t>80673411000125024</t>
  </si>
  <si>
    <t>25000087502202613</t>
  </si>
  <si>
    <t>25000.217837/2025-83</t>
  </si>
  <si>
    <t>25000.083823/2026-31</t>
  </si>
  <si>
    <t>ALTA FLORESTA</t>
  </si>
  <si>
    <t>AMBULATORIO DE ATENCAO SECUNDARIA</t>
  </si>
  <si>
    <t>'11241006000123009</t>
  </si>
  <si>
    <t>PORTO VELHO</t>
  </si>
  <si>
    <t>RO</t>
  </si>
  <si>
    <t>CENTRO DE ESPECIALIDADES MEDICAS DR ALFREDO SILVA</t>
  </si>
  <si>
    <t>11155765000123086</t>
  </si>
  <si>
    <t>25000083824202685</t>
  </si>
  <si>
    <t>RR</t>
  </si>
  <si>
    <t>BOA VISTA</t>
  </si>
  <si>
    <t>CENT DE TRATAMENTO E PREV DE CANCER DE COLO E MAMA CPCOM</t>
  </si>
  <si>
    <t>13464636000123101</t>
  </si>
  <si>
    <t>25000083829202616</t>
  </si>
  <si>
    <t>Ultrassom</t>
  </si>
  <si>
    <t>POLICLINICA MUNICIPAL MONSENHOR ODILON ALVES PEDROSA</t>
  </si>
  <si>
    <t>25000083850202611</t>
  </si>
  <si>
    <t>90096123004</t>
  </si>
  <si>
    <t>25000177706202394</t>
  </si>
  <si>
    <t>MAmógrafo</t>
  </si>
  <si>
    <t>INSTITUTO DO CANCER DO ESTADO DE SAO PAULO</t>
  </si>
  <si>
    <t>13851748000126016</t>
  </si>
  <si>
    <t>PORTO FELIZ</t>
  </si>
  <si>
    <t>CENTRO ONCOLOGICO CELIO PRADO JUNIOR</t>
  </si>
  <si>
    <t>12372408000126003</t>
  </si>
  <si>
    <t>SANTA CRUZ DO CAPIBARIBE</t>
  </si>
  <si>
    <t>NOSSA SENHORA DO SOCORRO</t>
  </si>
  <si>
    <t>CE JOSE DO PRADO FRANCO CONJ FERNANDO COLLOR</t>
  </si>
  <si>
    <t>06113056000126004</t>
  </si>
  <si>
    <t>AM</t>
  </si>
  <si>
    <t>MANAUS</t>
  </si>
  <si>
    <t>POLICLINICA DR DJALMA BATISTA</t>
  </si>
  <si>
    <t>07583812000126001</t>
  </si>
  <si>
    <t>GOIANA</t>
  </si>
  <si>
    <t>POLICLINICA NOSSA SENHORA DA VITORIA</t>
  </si>
  <si>
    <t>10545001000126002</t>
  </si>
  <si>
    <t>CAXIAS DO SUL</t>
  </si>
  <si>
    <t>CENTRO ESPECIALIZADO DE SAUDE</t>
  </si>
  <si>
    <t>10546325000126029</t>
  </si>
  <si>
    <t>HOSPITAL MUNICIPAL RAYMUNDO FRANCELINO ARAGAO</t>
  </si>
  <si>
    <t>11196515000126007</t>
  </si>
  <si>
    <t>NOVA FRIBURGO</t>
  </si>
  <si>
    <t>SMS NF AMBULATORIO RAUL SERTA CENTRO</t>
  </si>
  <si>
    <t>11399442000126007</t>
  </si>
  <si>
    <t>Sistema de Vídeo Endoscopia Flexível</t>
  </si>
  <si>
    <t>SAO PEDRO</t>
  </si>
  <si>
    <t>13752286000126004</t>
  </si>
  <si>
    <t>UMIS UNIDADE MISTA INTEGRADA A SAUDE SAO PEDRO</t>
  </si>
  <si>
    <t>13851748000126017</t>
  </si>
  <si>
    <t>13851748000126018</t>
  </si>
  <si>
    <t>CRATEUS</t>
  </si>
  <si>
    <t>74031865000126008</t>
  </si>
  <si>
    <t>POLICLINICA RAIMUNDO DE SOARES RESENDE CRATEUS</t>
  </si>
  <si>
    <t>90402626001</t>
  </si>
  <si>
    <t>90402626002</t>
  </si>
  <si>
    <t>998848</t>
  </si>
  <si>
    <t>90402626003</t>
  </si>
  <si>
    <t>998862</t>
  </si>
  <si>
    <t>90726526001</t>
  </si>
  <si>
    <t>998663</t>
  </si>
  <si>
    <t>LIGA NORTERIOGRANDENSE CONTRA O CANCER</t>
  </si>
  <si>
    <t>90842826001</t>
  </si>
  <si>
    <t>997524</t>
  </si>
  <si>
    <t>90842826002</t>
  </si>
  <si>
    <t>997523</t>
  </si>
  <si>
    <t>90842826003</t>
  </si>
  <si>
    <t>998345</t>
  </si>
  <si>
    <t>90911226008</t>
  </si>
  <si>
    <t>998825</t>
  </si>
  <si>
    <t>PETROLINA</t>
  </si>
  <si>
    <t>ASS PETROLINENSE DE AMPARO A MATERNIDADE E A INFANCIA</t>
  </si>
  <si>
    <t>91073026001</t>
  </si>
  <si>
    <t>998828</t>
  </si>
  <si>
    <t>SOCIEDADE PERNAMBUCANA DO COMBATE AO CANCER</t>
  </si>
  <si>
    <t>91089426001</t>
  </si>
  <si>
    <t>997354</t>
  </si>
  <si>
    <t>91089426002</t>
  </si>
  <si>
    <t>997357</t>
  </si>
  <si>
    <t>91089426003</t>
  </si>
  <si>
    <t>998829</t>
  </si>
  <si>
    <t>PRESIDENTE PRUDENTE</t>
  </si>
  <si>
    <t>FUNDACAO HOSPITAL REGIONAL DO CANCER DA SANTA CASA DE MISERI</t>
  </si>
  <si>
    <t>91163626001</t>
  </si>
  <si>
    <t>997510</t>
  </si>
  <si>
    <t>ITAPERUNA</t>
  </si>
  <si>
    <t>92964026001</t>
  </si>
  <si>
    <t>CONFERENCIA SAO JOSE DO AVAI</t>
  </si>
  <si>
    <t>998861</t>
  </si>
  <si>
    <t>VALENCA</t>
  </si>
  <si>
    <t>FUNDACAO EDUCACIONAL D ANDRE ARCOVERDE</t>
  </si>
  <si>
    <t>93235426003</t>
  </si>
  <si>
    <t>997347</t>
  </si>
  <si>
    <t>997531</t>
  </si>
  <si>
    <t>95075326001</t>
  </si>
  <si>
    <t>FUNDACAO DR AMARAL CARVALHO</t>
  </si>
  <si>
    <t>ENGENHEIRO CALDAS</t>
  </si>
  <si>
    <t>97549976000126002</t>
  </si>
  <si>
    <t>CENTRO DE ATENCAO ESPECIALIZADA</t>
  </si>
  <si>
    <t>997346</t>
  </si>
  <si>
    <t>97659126002</t>
  </si>
  <si>
    <t>Foco Cirúrgico de Teto com Câmera de Vídeo</t>
  </si>
  <si>
    <t>97863326001</t>
  </si>
  <si>
    <t>997358</t>
  </si>
  <si>
    <t>97863326002</t>
  </si>
  <si>
    <t>997474</t>
  </si>
  <si>
    <t>BENTO GONCALVES</t>
  </si>
  <si>
    <t>ASSOCIACAO DR BARTHOLOMEU TACCHINI</t>
  </si>
  <si>
    <t>98754726003</t>
  </si>
  <si>
    <t>999306</t>
  </si>
  <si>
    <t>REGIÃO</t>
  </si>
  <si>
    <t>QUANTIDADE</t>
  </si>
  <si>
    <t>TOTAL:</t>
  </si>
  <si>
    <t>12116247000123064</t>
  </si>
  <si>
    <t>Brasilia</t>
  </si>
  <si>
    <t>HOSPITAL DE APOIO DE BRASILIA HAB</t>
  </si>
  <si>
    <t>Aparelho de Raios X</t>
  </si>
  <si>
    <t>INSTITUTO ESTADUAL DE HEMATOLOGIA ARTHUR SIQUEIRA CAVALCANTI</t>
  </si>
  <si>
    <t>'35949791000123030</t>
  </si>
  <si>
    <t>'90096123003</t>
  </si>
  <si>
    <t>949372</t>
  </si>
  <si>
    <t>943991</t>
  </si>
  <si>
    <t>'90158523001</t>
  </si>
  <si>
    <t>950111</t>
  </si>
  <si>
    <t>'90158523003</t>
  </si>
  <si>
    <t>'90416923011</t>
  </si>
  <si>
    <t>947255</t>
  </si>
  <si>
    <t>ASSOCIACAO NORTE PARANANENSE DE COMBATE AO CANCER</t>
  </si>
  <si>
    <t>Computador</t>
  </si>
  <si>
    <t>'90842823003</t>
  </si>
  <si>
    <t>943865</t>
  </si>
  <si>
    <t>'90842823004</t>
  </si>
  <si>
    <t>944490</t>
  </si>
  <si>
    <t>'90842823005</t>
  </si>
  <si>
    <t>944491</t>
  </si>
  <si>
    <t>'90911223008</t>
  </si>
  <si>
    <t>947238</t>
  </si>
  <si>
    <t>91089423002</t>
  </si>
  <si>
    <t>'91089423004</t>
  </si>
  <si>
    <t>'91089423005</t>
  </si>
  <si>
    <t>'91089423006</t>
  </si>
  <si>
    <t>'91751323001</t>
  </si>
  <si>
    <t>'92813723003</t>
  </si>
  <si>
    <t>CENTRO INFANTIL DE INVESTIGACAO HEMAT DR DOMINGOS A BOLDRINI</t>
  </si>
  <si>
    <t>'95004623003</t>
  </si>
  <si>
    <t>'95075323001</t>
  </si>
  <si>
    <t>'95075323002</t>
  </si>
  <si>
    <t>'95075323003</t>
  </si>
  <si>
    <t>FUNDACAO FACULDADE DE MEDICINA MEC MPAS</t>
  </si>
  <si>
    <t>'95657723021</t>
  </si>
  <si>
    <t>Berço</t>
  </si>
  <si>
    <t>'96094523001</t>
  </si>
  <si>
    <t>'96094523012</t>
  </si>
  <si>
    <t>'96718523001</t>
  </si>
  <si>
    <t>'97148523003</t>
  </si>
  <si>
    <t>'97659123003</t>
  </si>
  <si>
    <t>'97659123021</t>
  </si>
  <si>
    <t>'97659123027</t>
  </si>
  <si>
    <t>GUARAPUAVA</t>
  </si>
  <si>
    <t>'97789323008</t>
  </si>
  <si>
    <t>'97863323002</t>
  </si>
  <si>
    <t>'98127023006</t>
  </si>
  <si>
    <t>'98754723001</t>
  </si>
  <si>
    <t>'98754723003</t>
  </si>
  <si>
    <t>'98754723004</t>
  </si>
  <si>
    <t>Foco Cirúrgico de teto</t>
  </si>
  <si>
    <t>SANTA CRUZ DO SUL</t>
  </si>
  <si>
    <t>HOSPITAL ANA NERY SANTA CRUZ DO SUL</t>
  </si>
  <si>
    <t>'99542223007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</si>
</sst>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24242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7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4" borderId="0" xfId="0" applyFill="1"/>
    <xf numFmtId="9" fontId="2" fillId="5" borderId="1" xfId="2" applyFont="1" applyFill="1" applyBorder="1" applyAlignment="1">
      <alignment horizontal="left" vertical="center"/>
    </xf>
    <xf numFmtId="9" fontId="2" fillId="6" borderId="1" xfId="2" applyFont="1" applyFill="1" applyBorder="1" applyAlignment="1">
      <alignment horizontal="left" vertical="center"/>
    </xf>
    <xf numFmtId="9" fontId="2" fillId="4" borderId="1" xfId="2" applyFont="1" applyFill="1" applyBorder="1" applyAlignment="1">
      <alignment horizontal="left" vertical="center"/>
    </xf>
    <xf numFmtId="0" fontId="0" fillId="3" borderId="0" xfId="0" applyFill="1"/>
    <xf numFmtId="9" fontId="2" fillId="4" borderId="1" xfId="2" applyFont="1" applyFill="1" applyBorder="1" applyAlignment="1">
      <alignment horizontal="left" vertical="center" wrapText="1"/>
    </xf>
    <xf numFmtId="164" fontId="0" fillId="0" borderId="1" xfId="1" applyNumberFormat="1" applyFont="1" applyBorder="1"/>
    <xf numFmtId="0" fontId="0" fillId="3" borderId="1" xfId="0" applyFill="1" applyBorder="1"/>
    <xf numFmtId="9" fontId="2" fillId="4" borderId="1" xfId="2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0" borderId="0" xfId="0"/>
    <xf numFmtId="9" fontId="2" fillId="4" borderId="1" xfId="2" applyFont="1" applyFill="1" applyBorder="1" applyAlignment="1"/>
    <xf numFmtId="0" fontId="0" fillId="4" borderId="0" xfId="0" applyFill="1"/>
    <xf numFmtId="0" fontId="0" fillId="0" borderId="1" xfId="0" applyBorder="1"/>
    <xf numFmtId="164" fontId="2" fillId="4" borderId="1" xfId="1" applyNumberFormat="1" applyFont="1" applyFill="1" applyBorder="1" applyAlignment="1">
      <alignment horizontal="left"/>
    </xf>
    <xf numFmtId="9" fontId="2" fillId="5" borderId="1" xfId="2" applyFont="1" applyFill="1" applyBorder="1" applyAlignment="1">
      <alignment horizontal="left"/>
    </xf>
    <xf numFmtId="164" fontId="2" fillId="5" borderId="1" xfId="1" applyNumberFormat="1" applyFont="1" applyFill="1" applyBorder="1" applyAlignment="1">
      <alignment horizontal="left"/>
    </xf>
    <xf numFmtId="9" fontId="2" fillId="4" borderId="1" xfId="2" applyFont="1" applyFill="1" applyBorder="1" applyAlignment="1">
      <alignment horizontal="left" wrapText="1"/>
    </xf>
    <xf numFmtId="164" fontId="2" fillId="4" borderId="1" xfId="3" applyNumberFormat="1" applyFont="1" applyFill="1" applyBorder="1" applyAlignment="1">
      <alignment horizontal="left"/>
    </xf>
    <xf numFmtId="9" fontId="2" fillId="5" borderId="5" xfId="2" applyFont="1" applyFill="1" applyBorder="1" applyAlignment="1">
      <alignment horizontal="left"/>
    </xf>
    <xf numFmtId="164" fontId="2" fillId="5" borderId="1" xfId="3" applyNumberFormat="1" applyFont="1" applyFill="1" applyBorder="1" applyAlignment="1">
      <alignment horizontal="left"/>
    </xf>
    <xf numFmtId="9" fontId="2" fillId="4" borderId="5" xfId="2" applyFont="1" applyFill="1" applyBorder="1" applyAlignment="1">
      <alignment horizontal="left"/>
    </xf>
    <xf numFmtId="9" fontId="6" fillId="4" borderId="1" xfId="2" applyFont="1" applyFill="1" applyBorder="1" applyAlignment="1">
      <alignment horizontal="left"/>
    </xf>
    <xf numFmtId="9" fontId="3" fillId="8" borderId="1" xfId="2" applyFont="1" applyFill="1" applyBorder="1" applyAlignment="1">
      <alignment horizontal="left"/>
    </xf>
    <xf numFmtId="164" fontId="3" fillId="8" borderId="1" xfId="1" applyNumberFormat="1" applyFont="1" applyFill="1" applyBorder="1" applyAlignment="1">
      <alignment horizontal="left"/>
    </xf>
    <xf numFmtId="0" fontId="2" fillId="4" borderId="2" xfId="2" applyNumberFormat="1" applyFont="1" applyFill="1" applyBorder="1" applyAlignment="1"/>
    <xf numFmtId="0" fontId="2" fillId="6" borderId="1" xfId="2" applyNumberFormat="1" applyFont="1" applyFill="1" applyBorder="1" applyAlignment="1"/>
    <xf numFmtId="9" fontId="6" fillId="4" borderId="1" xfId="2" applyFont="1" applyFill="1" applyBorder="1" applyAlignment="1"/>
    <xf numFmtId="0" fontId="6" fillId="4" borderId="1" xfId="2" applyNumberFormat="1" applyFont="1" applyFill="1" applyBorder="1" applyAlignment="1"/>
    <xf numFmtId="0" fontId="2" fillId="5" borderId="2" xfId="2" applyNumberFormat="1" applyFont="1" applyFill="1" applyBorder="1" applyAlignment="1"/>
    <xf numFmtId="9" fontId="6" fillId="4" borderId="1" xfId="2" applyFont="1" applyFill="1" applyBorder="1" applyAlignment="1">
      <alignment horizontal="left" vertical="center"/>
    </xf>
    <xf numFmtId="9" fontId="2" fillId="4" borderId="2" xfId="2" applyFont="1" applyFill="1" applyBorder="1" applyAlignment="1">
      <alignment horizontal="left" vertical="center"/>
    </xf>
    <xf numFmtId="164" fontId="2" fillId="4" borderId="1" xfId="1" applyNumberFormat="1" applyFont="1" applyFill="1" applyBorder="1" applyAlignment="1">
      <alignment vertical="center"/>
    </xf>
    <xf numFmtId="0" fontId="2" fillId="4" borderId="1" xfId="2" applyNumberFormat="1" applyFont="1" applyFill="1" applyBorder="1" applyAlignment="1">
      <alignment vertical="center"/>
    </xf>
    <xf numFmtId="0" fontId="2" fillId="4" borderId="2" xfId="2" applyNumberFormat="1" applyFont="1" applyFill="1" applyBorder="1" applyAlignment="1">
      <alignment vertical="center"/>
    </xf>
    <xf numFmtId="0" fontId="6" fillId="4" borderId="1" xfId="2" applyNumberFormat="1" applyFont="1" applyFill="1" applyBorder="1" applyAlignment="1">
      <alignment horizontal="center"/>
    </xf>
    <xf numFmtId="0" fontId="5" fillId="3" borderId="0" xfId="0" applyFont="1" applyFill="1"/>
    <xf numFmtId="0" fontId="5" fillId="0" borderId="0" xfId="0" applyFont="1"/>
    <xf numFmtId="164" fontId="6" fillId="4" borderId="1" xfId="1" applyNumberFormat="1" applyFont="1" applyFill="1" applyBorder="1" applyAlignment="1">
      <alignment vertical="center"/>
    </xf>
    <xf numFmtId="0" fontId="9" fillId="0" borderId="7" xfId="0" applyFont="1" applyBorder="1" applyAlignment="1">
      <alignment horizontal="center" vertical="top"/>
    </xf>
    <xf numFmtId="0" fontId="10" fillId="0" borderId="0" xfId="0" applyFont="1"/>
    <xf numFmtId="164" fontId="0" fillId="3" borderId="1" xfId="0" applyNumberFormat="1" applyFill="1" applyBorder="1"/>
    <xf numFmtId="9" fontId="6" fillId="4" borderId="1" xfId="2" quotePrefix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9" fontId="2" fillId="4" borderId="3" xfId="2" quotePrefix="1" applyFont="1" applyFill="1" applyBorder="1" applyAlignment="1">
      <alignment horizontal="center"/>
    </xf>
    <xf numFmtId="9" fontId="2" fillId="4" borderId="2" xfId="2" applyFont="1" applyFill="1" applyBorder="1" applyAlignment="1"/>
    <xf numFmtId="0" fontId="2" fillId="4" borderId="4" xfId="2" applyNumberFormat="1" applyFont="1" applyFill="1" applyBorder="1" applyAlignment="1">
      <alignment horizontal="center"/>
    </xf>
    <xf numFmtId="0" fontId="2" fillId="4" borderId="3" xfId="2" quotePrefix="1" applyNumberFormat="1" applyFont="1" applyFill="1" applyBorder="1" applyAlignment="1">
      <alignment horizontal="center"/>
    </xf>
    <xf numFmtId="0" fontId="2" fillId="4" borderId="1" xfId="2" applyNumberFormat="1" applyFont="1" applyFill="1" applyBorder="1" applyAlignment="1"/>
    <xf numFmtId="0" fontId="0" fillId="4" borderId="1" xfId="0" applyFill="1" applyBorder="1"/>
    <xf numFmtId="0" fontId="2" fillId="4" borderId="1" xfId="2" applyNumberFormat="1" applyFont="1" applyFill="1" applyBorder="1" applyAlignment="1">
      <alignment horizontal="center"/>
    </xf>
    <xf numFmtId="0" fontId="7" fillId="9" borderId="1" xfId="0" quotePrefix="1" applyFont="1" applyFill="1" applyBorder="1" applyAlignment="1">
      <alignment horizontal="center" vertical="center" wrapText="1"/>
    </xf>
    <xf numFmtId="0" fontId="0" fillId="10" borderId="1" xfId="0" applyFill="1" applyBorder="1"/>
    <xf numFmtId="164" fontId="2" fillId="5" borderId="2" xfId="1" applyNumberFormat="1" applyFont="1" applyFill="1" applyBorder="1" applyAlignment="1">
      <alignment horizontal="left"/>
    </xf>
    <xf numFmtId="0" fontId="2" fillId="4" borderId="2" xfId="2" applyNumberFormat="1" applyFont="1" applyFill="1" applyBorder="1" applyAlignment="1">
      <alignment horizontal="center" vertical="center"/>
    </xf>
    <xf numFmtId="0" fontId="2" fillId="4" borderId="3" xfId="2" applyNumberFormat="1" applyFont="1" applyFill="1" applyBorder="1" applyAlignment="1">
      <alignment horizontal="center" vertical="center"/>
    </xf>
    <xf numFmtId="0" fontId="2" fillId="4" borderId="2" xfId="2" quotePrefix="1" applyNumberFormat="1" applyFont="1" applyFill="1" applyBorder="1" applyAlignment="1">
      <alignment horizontal="center" vertical="center"/>
    </xf>
    <xf numFmtId="0" fontId="2" fillId="4" borderId="3" xfId="2" quotePrefix="1" applyNumberFormat="1" applyFont="1" applyFill="1" applyBorder="1" applyAlignment="1">
      <alignment horizontal="center" vertical="center"/>
    </xf>
    <xf numFmtId="9" fontId="2" fillId="4" borderId="2" xfId="2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4" borderId="3" xfId="2" applyNumberFormat="1" applyFont="1" applyFill="1" applyBorder="1" applyAlignment="1">
      <alignment horizontal="center"/>
    </xf>
    <xf numFmtId="9" fontId="2" fillId="4" borderId="2" xfId="2" applyFont="1" applyFill="1" applyBorder="1" applyAlignment="1">
      <alignment horizontal="center"/>
    </xf>
    <xf numFmtId="9" fontId="2" fillId="4" borderId="3" xfId="2" applyFont="1" applyFill="1" applyBorder="1" applyAlignment="1">
      <alignment horizontal="center"/>
    </xf>
    <xf numFmtId="0" fontId="2" fillId="4" borderId="3" xfId="2" quotePrefix="1" applyNumberFormat="1" applyFont="1" applyFill="1" applyBorder="1" applyAlignment="1">
      <alignment horizontal="center" wrapText="1"/>
    </xf>
    <xf numFmtId="0" fontId="2" fillId="4" borderId="2" xfId="2" applyNumberFormat="1" applyFont="1" applyFill="1" applyBorder="1" applyAlignment="1">
      <alignment horizontal="center"/>
    </xf>
    <xf numFmtId="9" fontId="2" fillId="4" borderId="1" xfId="2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/>
    </xf>
    <xf numFmtId="9" fontId="2" fillId="4" borderId="1" xfId="2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9" fontId="2" fillId="4" borderId="1" xfId="2" quotePrefix="1" applyFont="1" applyFill="1" applyBorder="1" applyAlignment="1">
      <alignment horizontal="center"/>
    </xf>
    <xf numFmtId="9" fontId="2" fillId="4" borderId="1" xfId="2" quotePrefix="1" applyFont="1" applyFill="1" applyBorder="1" applyAlignment="1">
      <alignment horizontal="center" vertical="center"/>
    </xf>
    <xf numFmtId="0" fontId="2" fillId="4" borderId="1" xfId="2" applyNumberFormat="1" applyFont="1" applyFill="1" applyBorder="1" applyAlignment="1">
      <alignment horizontal="center" vertical="center"/>
    </xf>
    <xf numFmtId="9" fontId="6" fillId="4" borderId="1" xfId="2" applyFont="1" applyFill="1" applyBorder="1" applyAlignment="1">
      <alignment horizontal="center"/>
    </xf>
    <xf numFmtId="0" fontId="0" fillId="4" borderId="3" xfId="0" quotePrefix="1" applyFill="1" applyBorder="1" applyAlignment="1">
      <alignment horizontal="center"/>
    </xf>
    <xf numFmtId="9" fontId="2" fillId="4" borderId="3" xfId="2" applyFont="1" applyFill="1" applyBorder="1" applyAlignment="1">
      <alignment horizontal="center" wrapText="1"/>
    </xf>
    <xf numFmtId="9" fontId="6" fillId="4" borderId="1" xfId="2" applyFont="1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8" xfId="0" applyFill="1" applyBorder="1" applyAlignment="1"/>
    <xf numFmtId="9" fontId="2" fillId="4" borderId="1" xfId="2" quotePrefix="1" applyFont="1" applyFill="1" applyBorder="1" applyAlignment="1"/>
    <xf numFmtId="0" fontId="0" fillId="4" borderId="1" xfId="0" applyFill="1" applyBorder="1" applyAlignment="1"/>
    <xf numFmtId="0" fontId="0" fillId="4" borderId="3" xfId="0" applyFill="1" applyBorder="1" applyAlignment="1"/>
    <xf numFmtId="0" fontId="0" fillId="4" borderId="3" xfId="0" quotePrefix="1" applyFill="1" applyBorder="1" applyAlignment="1"/>
    <xf numFmtId="0" fontId="2" fillId="4" borderId="3" xfId="2" applyNumberFormat="1" applyFont="1" applyFill="1" applyBorder="1" applyAlignment="1"/>
    <xf numFmtId="9" fontId="2" fillId="4" borderId="1" xfId="2" applyFont="1" applyFill="1" applyBorder="1" applyAlignment="1">
      <alignment wrapText="1"/>
    </xf>
    <xf numFmtId="9" fontId="2" fillId="4" borderId="3" xfId="2" applyFont="1" applyFill="1" applyBorder="1" applyAlignment="1"/>
    <xf numFmtId="9" fontId="2" fillId="4" borderId="3" xfId="2" applyFont="1" applyFill="1" applyBorder="1" applyAlignment="1">
      <alignment wrapText="1"/>
    </xf>
    <xf numFmtId="0" fontId="2" fillId="4" borderId="3" xfId="2" quotePrefix="1" applyNumberFormat="1" applyFont="1" applyFill="1" applyBorder="1" applyAlignment="1"/>
    <xf numFmtId="0" fontId="2" fillId="4" borderId="4" xfId="2" applyNumberFormat="1" applyFont="1" applyFill="1" applyBorder="1" applyAlignment="1"/>
    <xf numFmtId="0" fontId="2" fillId="4" borderId="2" xfId="2" quotePrefix="1" applyNumberFormat="1" applyFont="1" applyFill="1" applyBorder="1" applyAlignment="1"/>
    <xf numFmtId="0" fontId="2" fillId="4" borderId="3" xfId="2" quotePrefix="1" applyNumberFormat="1" applyFont="1" applyFill="1" applyBorder="1" applyAlignment="1">
      <alignment wrapText="1"/>
    </xf>
    <xf numFmtId="0" fontId="7" fillId="9" borderId="1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0" fillId="4" borderId="1" xfId="0" quotePrefix="1" applyFill="1" applyBorder="1" applyAlignment="1">
      <alignment horizontal="center"/>
    </xf>
    <xf numFmtId="0" fontId="0" fillId="4" borderId="0" xfId="0" applyFill="1" applyAlignment="1">
      <alignment horizontal="center"/>
    </xf>
    <xf numFmtId="9" fontId="2" fillId="4" borderId="0" xfId="2" quotePrefix="1" applyFont="1" applyFill="1" applyBorder="1" applyAlignment="1">
      <alignment horizontal="center"/>
    </xf>
    <xf numFmtId="0" fontId="6" fillId="4" borderId="1" xfId="2" quotePrefix="1" applyNumberFormat="1" applyFont="1" applyFill="1" applyBorder="1" applyAlignment="1">
      <alignment horizontal="center"/>
    </xf>
    <xf numFmtId="0" fontId="8" fillId="9" borderId="6" xfId="0" quotePrefix="1" applyFont="1" applyFill="1" applyBorder="1" applyAlignment="1">
      <alignment horizontal="center" wrapText="1"/>
    </xf>
    <xf numFmtId="9" fontId="2" fillId="4" borderId="1" xfId="2" applyFont="1" applyFill="1" applyBorder="1" applyAlignment="1">
      <alignment horizontal="center" wrapText="1"/>
    </xf>
    <xf numFmtId="0" fontId="2" fillId="4" borderId="2" xfId="2" quotePrefix="1" applyNumberFormat="1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wrapText="1"/>
    </xf>
    <xf numFmtId="0" fontId="7" fillId="9" borderId="1" xfId="0" quotePrefix="1" applyFont="1" applyFill="1" applyBorder="1" applyAlignment="1">
      <alignment horizontal="center" wrapText="1"/>
    </xf>
    <xf numFmtId="0" fontId="7" fillId="9" borderId="3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6" fillId="4" borderId="1" xfId="2" applyNumberFormat="1" applyFont="1" applyFill="1" applyBorder="1" applyAlignment="1">
      <alignment horizontal="left"/>
    </xf>
    <xf numFmtId="9" fontId="2" fillId="4" borderId="2" xfId="2" applyFont="1" applyFill="1" applyBorder="1" applyAlignment="1">
      <alignment horizontal="left"/>
    </xf>
    <xf numFmtId="0" fontId="0" fillId="4" borderId="1" xfId="0" applyFont="1" applyFill="1" applyBorder="1" applyAlignment="1">
      <alignment horizontal="center"/>
    </xf>
    <xf numFmtId="164" fontId="0" fillId="4" borderId="1" xfId="1" applyNumberFormat="1" applyFont="1" applyFill="1" applyBorder="1"/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0" fillId="4" borderId="0" xfId="0" applyFill="1" applyBorder="1" applyAlignment="1"/>
    <xf numFmtId="0" fontId="0" fillId="4" borderId="8" xfId="0" applyFill="1" applyBorder="1" applyAlignment="1">
      <alignment horizontal="left"/>
    </xf>
    <xf numFmtId="0" fontId="0" fillId="4" borderId="1" xfId="0" quotePrefix="1" applyFill="1" applyBorder="1" applyAlignment="1">
      <alignment horizontal="center" vertical="center"/>
    </xf>
    <xf numFmtId="0" fontId="0" fillId="4" borderId="2" xfId="0" quotePrefix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/>
    <xf numFmtId="0" fontId="0" fillId="4" borderId="2" xfId="0" quotePrefix="1" applyFill="1" applyBorder="1" applyAlignment="1"/>
    <xf numFmtId="9" fontId="2" fillId="4" borderId="2" xfId="2" applyFont="1" applyFill="1" applyBorder="1" applyAlignment="1">
      <alignment wrapText="1"/>
    </xf>
    <xf numFmtId="9" fontId="2" fillId="4" borderId="4" xfId="2" applyFont="1" applyFill="1" applyBorder="1" applyAlignment="1"/>
    <xf numFmtId="0" fontId="2" fillId="4" borderId="4" xfId="2" quotePrefix="1" applyNumberFormat="1" applyFont="1" applyFill="1" applyBorder="1" applyAlignment="1"/>
    <xf numFmtId="0" fontId="2" fillId="4" borderId="2" xfId="2" quotePrefix="1" applyNumberFormat="1" applyFont="1" applyFill="1" applyBorder="1" applyAlignment="1">
      <alignment wrapText="1"/>
    </xf>
    <xf numFmtId="0" fontId="11" fillId="4" borderId="1" xfId="0" applyFont="1" applyFill="1" applyBorder="1" applyAlignment="1"/>
    <xf numFmtId="0" fontId="11" fillId="4" borderId="2" xfId="0" quotePrefix="1" applyNumberFormat="1" applyFont="1" applyFill="1" applyBorder="1" applyAlignment="1"/>
    <xf numFmtId="0" fontId="11" fillId="4" borderId="4" xfId="0" applyNumberFormat="1" applyFont="1" applyFill="1" applyBorder="1" applyAlignment="1"/>
    <xf numFmtId="0" fontId="11" fillId="4" borderId="3" xfId="0" applyNumberFormat="1" applyFont="1" applyFill="1" applyBorder="1" applyAlignment="1"/>
    <xf numFmtId="0" fontId="7" fillId="9" borderId="2" xfId="0" applyFont="1" applyFill="1" applyBorder="1" applyAlignment="1">
      <alignment wrapText="1"/>
    </xf>
    <xf numFmtId="0" fontId="7" fillId="9" borderId="4" xfId="0" applyFont="1" applyFill="1" applyBorder="1" applyAlignment="1">
      <alignment wrapText="1"/>
    </xf>
    <xf numFmtId="9" fontId="4" fillId="4" borderId="1" xfId="2" applyFont="1" applyFill="1" applyBorder="1" applyAlignment="1"/>
    <xf numFmtId="9" fontId="4" fillId="7" borderId="1" xfId="2" applyFont="1" applyFill="1" applyBorder="1" applyAlignment="1"/>
    <xf numFmtId="49" fontId="2" fillId="4" borderId="1" xfId="2" applyNumberFormat="1" applyFont="1" applyFill="1" applyBorder="1" applyAlignment="1"/>
    <xf numFmtId="0" fontId="0" fillId="4" borderId="11" xfId="0" applyFill="1" applyBorder="1" applyAlignment="1"/>
    <xf numFmtId="0" fontId="0" fillId="4" borderId="12" xfId="0" applyFill="1" applyBorder="1" applyAlignment="1"/>
    <xf numFmtId="0" fontId="0" fillId="4" borderId="9" xfId="0" applyFill="1" applyBorder="1" applyAlignment="1"/>
    <xf numFmtId="0" fontId="0" fillId="4" borderId="10" xfId="0" applyFill="1" applyBorder="1" applyAlignment="1"/>
    <xf numFmtId="0" fontId="12" fillId="11" borderId="0" xfId="0" applyFont="1" applyFill="1"/>
    <xf numFmtId="9" fontId="3" fillId="11" borderId="1" xfId="2" applyFont="1" applyFill="1" applyBorder="1" applyAlignment="1">
      <alignment horizontal="left"/>
    </xf>
    <xf numFmtId="0" fontId="12" fillId="0" borderId="1" xfId="0" applyFont="1" applyBorder="1"/>
    <xf numFmtId="0" fontId="13" fillId="0" borderId="1" xfId="0" applyFont="1" applyBorder="1"/>
    <xf numFmtId="0" fontId="2" fillId="4" borderId="1" xfId="2" quotePrefix="1" applyNumberFormat="1" applyFont="1" applyFill="1" applyBorder="1" applyAlignment="1">
      <alignment horizontal="center"/>
    </xf>
  </cellXfs>
  <cellStyles count="4">
    <cellStyle name="Normal" xfId="0" builtinId="0"/>
    <cellStyle name="Porcentagem" xfId="2" builtinId="5"/>
    <cellStyle name="Vírgula" xfId="1" builtinId="3"/>
    <cellStyle name="Vírgula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una.machado/Downloads/Propost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20">
          <cell r="G120" t="str">
            <v>998345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Y347"/>
  <sheetViews>
    <sheetView tabSelected="1" zoomScale="85" zoomScaleNormal="85" workbookViewId="0">
      <pane ySplit="1" topLeftCell="A2" activePane="bottomLeft" state="frozen"/>
      <selection pane="bottomLeft" activeCell="D14" sqref="D14"/>
    </sheetView>
  </sheetViews>
  <sheetFormatPr defaultRowHeight="15"/>
  <cols>
    <col min="1" max="1" width="14.28515625" style="13" customWidth="1"/>
    <col min="3" max="3" width="28.140625" customWidth="1"/>
    <col min="4" max="4" width="72.140625" bestFit="1" customWidth="1"/>
    <col min="5" max="5" width="22.42578125" bestFit="1" customWidth="1"/>
    <col min="6" max="6" width="22.28515625" bestFit="1" customWidth="1"/>
    <col min="7" max="7" width="22.42578125" bestFit="1" customWidth="1"/>
    <col min="9" max="9" width="42.140625" customWidth="1"/>
    <col min="10" max="10" width="9.7109375" style="1" bestFit="1" customWidth="1"/>
    <col min="11" max="311" width="9.140625" style="7"/>
  </cols>
  <sheetData>
    <row r="1" spans="1:311">
      <c r="A1" s="13" t="s">
        <v>664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7" t="s">
        <v>8</v>
      </c>
    </row>
    <row r="2" spans="1:311" s="13" customFormat="1">
      <c r="A2" s="67" t="s">
        <v>667</v>
      </c>
      <c r="B2" s="74" t="s">
        <v>51</v>
      </c>
      <c r="C2" s="74" t="s">
        <v>52</v>
      </c>
      <c r="D2" s="74" t="s">
        <v>53</v>
      </c>
      <c r="E2" s="77" t="s">
        <v>718</v>
      </c>
      <c r="F2" s="74"/>
      <c r="G2" s="74"/>
      <c r="H2" s="53">
        <v>2021</v>
      </c>
      <c r="I2" s="110" t="s">
        <v>565</v>
      </c>
      <c r="J2" s="17">
        <v>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</row>
    <row r="3" spans="1:311" s="13" customFormat="1">
      <c r="A3" s="67" t="s">
        <v>667</v>
      </c>
      <c r="B3" s="67" t="s">
        <v>78</v>
      </c>
      <c r="C3" s="67" t="s">
        <v>713</v>
      </c>
      <c r="D3" s="67" t="s">
        <v>715</v>
      </c>
      <c r="E3" s="100" t="s">
        <v>719</v>
      </c>
      <c r="F3" s="67"/>
      <c r="G3" s="67"/>
      <c r="H3" s="53">
        <v>2021</v>
      </c>
      <c r="I3" s="110" t="s">
        <v>565</v>
      </c>
      <c r="J3" s="52">
        <v>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</row>
    <row r="4" spans="1:311" s="13" customFormat="1">
      <c r="A4" s="67" t="s">
        <v>667</v>
      </c>
      <c r="B4" s="67" t="s">
        <v>78</v>
      </c>
      <c r="C4" s="67" t="s">
        <v>714</v>
      </c>
      <c r="D4" s="67" t="s">
        <v>716</v>
      </c>
      <c r="E4" s="100" t="s">
        <v>720</v>
      </c>
      <c r="F4" s="67"/>
      <c r="G4" s="67"/>
      <c r="H4" s="53">
        <v>2017</v>
      </c>
      <c r="I4" s="110" t="s">
        <v>565</v>
      </c>
      <c r="J4" s="52">
        <v>1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</row>
    <row r="5" spans="1:311" s="13" customFormat="1">
      <c r="A5" s="67" t="s">
        <v>741</v>
      </c>
      <c r="B5" s="67" t="s">
        <v>338</v>
      </c>
      <c r="C5" s="67" t="s">
        <v>339</v>
      </c>
      <c r="D5" s="67" t="s">
        <v>717</v>
      </c>
      <c r="E5" s="100" t="s">
        <v>721</v>
      </c>
      <c r="F5" s="67"/>
      <c r="G5" s="67"/>
      <c r="H5" s="53">
        <v>2015</v>
      </c>
      <c r="I5" s="110" t="s">
        <v>565</v>
      </c>
      <c r="J5" s="52">
        <v>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</row>
    <row r="6" spans="1:311" s="13" customFormat="1">
      <c r="A6" s="67" t="s">
        <v>666</v>
      </c>
      <c r="B6" s="67" t="s">
        <v>36</v>
      </c>
      <c r="C6" s="67" t="s">
        <v>37</v>
      </c>
      <c r="D6" s="67" t="s">
        <v>748</v>
      </c>
      <c r="E6" s="100" t="s">
        <v>712</v>
      </c>
      <c r="F6" s="100" t="s">
        <v>749</v>
      </c>
      <c r="G6" s="67">
        <v>943884</v>
      </c>
      <c r="H6" s="53">
        <v>2023</v>
      </c>
      <c r="I6" s="110" t="s">
        <v>750</v>
      </c>
      <c r="J6" s="52">
        <v>1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</row>
    <row r="7" spans="1:311" s="13" customFormat="1">
      <c r="A7" s="67" t="s">
        <v>668</v>
      </c>
      <c r="B7" s="67" t="s">
        <v>226</v>
      </c>
      <c r="C7" s="67" t="s">
        <v>232</v>
      </c>
      <c r="D7" s="67" t="s">
        <v>755</v>
      </c>
      <c r="E7" s="100" t="s">
        <v>756</v>
      </c>
      <c r="F7" s="100" t="s">
        <v>757</v>
      </c>
      <c r="G7" s="67">
        <v>949404</v>
      </c>
      <c r="H7" s="53">
        <v>2023</v>
      </c>
      <c r="I7" s="110" t="s">
        <v>290</v>
      </c>
      <c r="J7" s="52">
        <v>1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</row>
    <row r="8" spans="1:311" s="13" customFormat="1">
      <c r="A8" s="67" t="s">
        <v>667</v>
      </c>
      <c r="B8" s="67" t="s">
        <v>78</v>
      </c>
      <c r="C8" s="67" t="s">
        <v>714</v>
      </c>
      <c r="D8" s="67" t="s">
        <v>716</v>
      </c>
      <c r="E8" s="100" t="s">
        <v>786</v>
      </c>
      <c r="F8" s="100" t="s">
        <v>787</v>
      </c>
      <c r="G8" s="67">
        <v>950115</v>
      </c>
      <c r="H8" s="53">
        <v>2023</v>
      </c>
      <c r="I8" s="110" t="s">
        <v>21</v>
      </c>
      <c r="J8" s="52">
        <v>10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</row>
    <row r="9" spans="1:311" s="13" customFormat="1">
      <c r="A9" s="67" t="s">
        <v>665</v>
      </c>
      <c r="B9" s="67" t="s">
        <v>102</v>
      </c>
      <c r="C9" s="67" t="s">
        <v>117</v>
      </c>
      <c r="D9" s="67" t="s">
        <v>118</v>
      </c>
      <c r="E9" s="100" t="s">
        <v>722</v>
      </c>
      <c r="F9" s="67"/>
      <c r="G9" s="67"/>
      <c r="H9" s="53">
        <v>2017</v>
      </c>
      <c r="I9" s="110" t="s">
        <v>565</v>
      </c>
      <c r="J9" s="52">
        <v>1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</row>
    <row r="10" spans="1:311" s="13" customFormat="1">
      <c r="A10" s="87" t="s">
        <v>667</v>
      </c>
      <c r="B10" s="123" t="s">
        <v>247</v>
      </c>
      <c r="C10" s="123" t="s">
        <v>758</v>
      </c>
      <c r="D10" s="123" t="s">
        <v>759</v>
      </c>
      <c r="E10" s="124" t="s">
        <v>760</v>
      </c>
      <c r="F10" s="124" t="s">
        <v>761</v>
      </c>
      <c r="G10" s="123">
        <v>947256</v>
      </c>
      <c r="H10" s="28">
        <v>2023</v>
      </c>
      <c r="I10" s="110" t="s">
        <v>762</v>
      </c>
      <c r="J10" s="52">
        <v>8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</row>
    <row r="11" spans="1:311" s="13" customFormat="1">
      <c r="A11" s="87"/>
      <c r="B11" s="88"/>
      <c r="C11" s="88"/>
      <c r="D11" s="88"/>
      <c r="E11" s="89"/>
      <c r="F11" s="88"/>
      <c r="G11" s="88"/>
      <c r="H11" s="90"/>
      <c r="I11" s="110" t="s">
        <v>290</v>
      </c>
      <c r="J11" s="52">
        <v>1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</row>
    <row r="12" spans="1:311" s="13" customFormat="1">
      <c r="A12" s="87" t="s">
        <v>741</v>
      </c>
      <c r="B12" s="123" t="s">
        <v>778</v>
      </c>
      <c r="C12" s="123" t="s">
        <v>779</v>
      </c>
      <c r="D12" s="123" t="s">
        <v>780</v>
      </c>
      <c r="E12" s="124" t="s">
        <v>781</v>
      </c>
      <c r="F12" s="124" t="s">
        <v>782</v>
      </c>
      <c r="G12" s="123"/>
      <c r="H12" s="28">
        <v>2023</v>
      </c>
      <c r="I12" s="110" t="s">
        <v>762</v>
      </c>
      <c r="J12" s="52">
        <v>13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</row>
    <row r="13" spans="1:311" s="13" customFormat="1">
      <c r="A13" s="87"/>
      <c r="B13" s="138"/>
      <c r="C13" s="118"/>
      <c r="D13" s="118"/>
      <c r="E13" s="118"/>
      <c r="F13" s="118"/>
      <c r="G13" s="118"/>
      <c r="H13" s="85"/>
      <c r="I13" s="111" t="s">
        <v>289</v>
      </c>
      <c r="J13" s="55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</row>
    <row r="14" spans="1:311" s="13" customFormat="1">
      <c r="A14" s="87"/>
      <c r="B14" s="139"/>
      <c r="C14" s="140"/>
      <c r="D14" s="140"/>
      <c r="E14" s="140"/>
      <c r="F14" s="140"/>
      <c r="G14" s="140"/>
      <c r="H14" s="141"/>
      <c r="I14" s="111" t="s">
        <v>783</v>
      </c>
      <c r="J14" s="55">
        <v>1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</row>
    <row r="15" spans="1:311" s="13" customFormat="1">
      <c r="A15" s="67" t="s">
        <v>666</v>
      </c>
      <c r="B15" s="64" t="s">
        <v>93</v>
      </c>
      <c r="C15" s="64" t="s">
        <v>770</v>
      </c>
      <c r="D15" s="64" t="s">
        <v>771</v>
      </c>
      <c r="E15" s="81" t="s">
        <v>772</v>
      </c>
      <c r="F15" s="81" t="s">
        <v>769</v>
      </c>
      <c r="G15" s="64" t="s">
        <v>703</v>
      </c>
      <c r="H15" s="68">
        <v>2023</v>
      </c>
      <c r="I15" s="110" t="s">
        <v>289</v>
      </c>
      <c r="J15" s="52">
        <v>1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</row>
    <row r="16" spans="1:311" s="13" customFormat="1">
      <c r="A16" s="87" t="s">
        <v>741</v>
      </c>
      <c r="B16" s="123" t="s">
        <v>774</v>
      </c>
      <c r="C16" s="123" t="s">
        <v>773</v>
      </c>
      <c r="D16" s="123" t="s">
        <v>775</v>
      </c>
      <c r="E16" s="124" t="s">
        <v>776</v>
      </c>
      <c r="F16" s="124" t="s">
        <v>777</v>
      </c>
      <c r="G16" s="123" t="s">
        <v>703</v>
      </c>
      <c r="H16" s="28">
        <v>2023</v>
      </c>
      <c r="I16" s="110" t="s">
        <v>762</v>
      </c>
      <c r="J16" s="5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</row>
    <row r="17" spans="1:311" s="13" customFormat="1">
      <c r="A17" s="87"/>
      <c r="B17" s="88"/>
      <c r="C17" s="88"/>
      <c r="D17" s="88"/>
      <c r="E17" s="89"/>
      <c r="F17" s="88"/>
      <c r="G17" s="88"/>
      <c r="H17" s="90"/>
      <c r="I17" s="110" t="s">
        <v>289</v>
      </c>
      <c r="J17" s="52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</row>
    <row r="18" spans="1:311" s="13" customFormat="1">
      <c r="A18" s="67" t="s">
        <v>667</v>
      </c>
      <c r="B18" s="67" t="s">
        <v>78</v>
      </c>
      <c r="C18" s="67" t="s">
        <v>751</v>
      </c>
      <c r="D18" s="67" t="s">
        <v>752</v>
      </c>
      <c r="E18" s="100" t="s">
        <v>753</v>
      </c>
      <c r="F18" s="100" t="s">
        <v>754</v>
      </c>
      <c r="G18" s="67">
        <v>942625</v>
      </c>
      <c r="H18" s="53">
        <v>2023</v>
      </c>
      <c r="I18" s="110" t="s">
        <v>750</v>
      </c>
      <c r="J18" s="52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</row>
    <row r="19" spans="1:311" s="13" customFormat="1">
      <c r="A19" s="67" t="s">
        <v>665</v>
      </c>
      <c r="B19" s="74" t="s">
        <v>9</v>
      </c>
      <c r="C19" s="74" t="s">
        <v>519</v>
      </c>
      <c r="D19" s="74" t="s">
        <v>520</v>
      </c>
      <c r="E19" s="74" t="s">
        <v>521</v>
      </c>
      <c r="F19" s="74" t="s">
        <v>522</v>
      </c>
      <c r="G19" s="74" t="s">
        <v>523</v>
      </c>
      <c r="H19" s="74" t="s">
        <v>524</v>
      </c>
      <c r="I19" s="6" t="s">
        <v>20</v>
      </c>
      <c r="J19" s="35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</row>
    <row r="20" spans="1:311" s="13" customFormat="1">
      <c r="A20" s="67" t="s">
        <v>668</v>
      </c>
      <c r="B20" s="74" t="s">
        <v>241</v>
      </c>
      <c r="C20" s="74" t="s">
        <v>693</v>
      </c>
      <c r="D20" s="74" t="s">
        <v>694</v>
      </c>
      <c r="E20" s="77" t="s">
        <v>695</v>
      </c>
      <c r="F20" s="102" t="s">
        <v>696</v>
      </c>
      <c r="G20" s="53">
        <v>954413</v>
      </c>
      <c r="H20" s="74" t="s">
        <v>524</v>
      </c>
      <c r="I20" s="6" t="s">
        <v>20</v>
      </c>
      <c r="J20" s="35">
        <v>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</row>
    <row r="21" spans="1:311" s="40" customFormat="1">
      <c r="A21" s="117" t="s">
        <v>668</v>
      </c>
      <c r="B21" s="80" t="s">
        <v>226</v>
      </c>
      <c r="C21" s="80" t="s">
        <v>232</v>
      </c>
      <c r="D21" s="80" t="s">
        <v>639</v>
      </c>
      <c r="E21" s="103" t="s">
        <v>637</v>
      </c>
      <c r="F21" s="104" t="s">
        <v>636</v>
      </c>
      <c r="G21" s="80" t="s">
        <v>638</v>
      </c>
      <c r="H21" s="80" t="s">
        <v>524</v>
      </c>
      <c r="I21" s="33" t="s">
        <v>20</v>
      </c>
      <c r="J21" s="41">
        <v>1</v>
      </c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9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39"/>
      <c r="JQ21" s="39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9"/>
      <c r="KI21" s="39"/>
      <c r="KJ21" s="39"/>
      <c r="KK21" s="39"/>
      <c r="KL21" s="39"/>
      <c r="KM21" s="39"/>
      <c r="KN21" s="39"/>
      <c r="KO21" s="39"/>
      <c r="KP21" s="39"/>
      <c r="KQ21" s="39"/>
      <c r="KR21" s="39"/>
      <c r="KS21" s="39"/>
      <c r="KT21" s="39"/>
      <c r="KU21" s="39"/>
      <c r="KV21" s="39"/>
      <c r="KW21" s="39"/>
      <c r="KX21" s="39"/>
      <c r="KY21" s="39"/>
    </row>
    <row r="22" spans="1:311" s="13" customFormat="1">
      <c r="A22" s="67" t="s">
        <v>665</v>
      </c>
      <c r="B22" s="74" t="s">
        <v>9</v>
      </c>
      <c r="C22" s="74" t="s">
        <v>232</v>
      </c>
      <c r="D22" s="74" t="s">
        <v>22</v>
      </c>
      <c r="E22" s="74" t="s">
        <v>525</v>
      </c>
      <c r="F22" s="74" t="s">
        <v>526</v>
      </c>
      <c r="G22" s="74" t="s">
        <v>527</v>
      </c>
      <c r="H22" s="74" t="s">
        <v>524</v>
      </c>
      <c r="I22" s="6" t="s">
        <v>20</v>
      </c>
      <c r="J22" s="35">
        <v>1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</row>
    <row r="23" spans="1:311" s="13" customFormat="1">
      <c r="A23" s="67" t="s">
        <v>665</v>
      </c>
      <c r="B23" s="74" t="s">
        <v>26</v>
      </c>
      <c r="C23" s="74" t="s">
        <v>528</v>
      </c>
      <c r="D23" s="74" t="s">
        <v>529</v>
      </c>
      <c r="E23" s="74" t="s">
        <v>530</v>
      </c>
      <c r="F23" s="74" t="s">
        <v>531</v>
      </c>
      <c r="G23" s="53">
        <v>947524</v>
      </c>
      <c r="H23" s="74" t="s">
        <v>524</v>
      </c>
      <c r="I23" s="6" t="s">
        <v>20</v>
      </c>
      <c r="J23" s="35">
        <v>1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</row>
    <row r="24" spans="1:311" s="13" customFormat="1">
      <c r="A24" s="67" t="s">
        <v>665</v>
      </c>
      <c r="B24" s="74" t="s">
        <v>26</v>
      </c>
      <c r="C24" s="74" t="s">
        <v>27</v>
      </c>
      <c r="D24" s="74" t="s">
        <v>28</v>
      </c>
      <c r="E24" s="74" t="s">
        <v>532</v>
      </c>
      <c r="F24" s="74" t="s">
        <v>534</v>
      </c>
      <c r="G24" s="74" t="s">
        <v>536</v>
      </c>
      <c r="H24" s="74" t="s">
        <v>524</v>
      </c>
      <c r="I24" s="6" t="s">
        <v>20</v>
      </c>
      <c r="J24" s="35">
        <v>1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</row>
    <row r="25" spans="1:311" s="13" customFormat="1">
      <c r="A25" s="67" t="s">
        <v>665</v>
      </c>
      <c r="B25" s="74" t="s">
        <v>26</v>
      </c>
      <c r="C25" s="74" t="s">
        <v>27</v>
      </c>
      <c r="D25" s="74" t="s">
        <v>28</v>
      </c>
      <c r="E25" s="74" t="s">
        <v>533</v>
      </c>
      <c r="F25" s="74" t="s">
        <v>535</v>
      </c>
      <c r="G25" s="74" t="s">
        <v>537</v>
      </c>
      <c r="H25" s="74" t="s">
        <v>524</v>
      </c>
      <c r="I25" s="6" t="s">
        <v>20</v>
      </c>
      <c r="J25" s="35">
        <v>1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</row>
    <row r="26" spans="1:311" s="13" customFormat="1">
      <c r="A26" s="67" t="s">
        <v>665</v>
      </c>
      <c r="B26" s="74" t="s">
        <v>26</v>
      </c>
      <c r="C26" s="74" t="s">
        <v>309</v>
      </c>
      <c r="D26" s="74" t="s">
        <v>310</v>
      </c>
      <c r="E26" s="74" t="s">
        <v>538</v>
      </c>
      <c r="F26" s="74" t="s">
        <v>539</v>
      </c>
      <c r="G26" s="74" t="s">
        <v>540</v>
      </c>
      <c r="H26" s="74" t="s">
        <v>524</v>
      </c>
      <c r="I26" s="6" t="s">
        <v>20</v>
      </c>
      <c r="J26" s="35">
        <v>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</row>
    <row r="27" spans="1:311" s="13" customFormat="1">
      <c r="A27" s="67" t="s">
        <v>666</v>
      </c>
      <c r="B27" s="74" t="s">
        <v>36</v>
      </c>
      <c r="C27" s="74" t="s">
        <v>37</v>
      </c>
      <c r="D27" s="74" t="s">
        <v>44</v>
      </c>
      <c r="E27" s="74" t="s">
        <v>541</v>
      </c>
      <c r="F27" s="74" t="s">
        <v>542</v>
      </c>
      <c r="G27" s="74" t="s">
        <v>543</v>
      </c>
      <c r="H27" s="74" t="s">
        <v>524</v>
      </c>
      <c r="I27" s="6" t="s">
        <v>20</v>
      </c>
      <c r="J27" s="35">
        <v>1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</row>
    <row r="28" spans="1:311" s="13" customFormat="1">
      <c r="A28" s="67" t="s">
        <v>667</v>
      </c>
      <c r="B28" s="74" t="s">
        <v>51</v>
      </c>
      <c r="C28" s="74" t="s">
        <v>544</v>
      </c>
      <c r="D28" s="105" t="s">
        <v>545</v>
      </c>
      <c r="E28" s="74" t="s">
        <v>546</v>
      </c>
      <c r="F28" s="74" t="s">
        <v>547</v>
      </c>
      <c r="G28" s="74" t="s">
        <v>548</v>
      </c>
      <c r="H28" s="74" t="s">
        <v>524</v>
      </c>
      <c r="I28" s="6" t="s">
        <v>20</v>
      </c>
      <c r="J28" s="35">
        <v>1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</row>
    <row r="29" spans="1:311" s="13" customFormat="1">
      <c r="A29" s="87" t="s">
        <v>667</v>
      </c>
      <c r="B29" s="48" t="s">
        <v>78</v>
      </c>
      <c r="C29" s="48" t="s">
        <v>552</v>
      </c>
      <c r="D29" s="125" t="s">
        <v>553</v>
      </c>
      <c r="E29" s="28">
        <v>91751323002</v>
      </c>
      <c r="F29" s="96" t="s">
        <v>554</v>
      </c>
      <c r="G29" s="28">
        <v>949775</v>
      </c>
      <c r="H29" s="28">
        <v>2023</v>
      </c>
      <c r="I29" s="6" t="s">
        <v>20</v>
      </c>
      <c r="J29" s="35">
        <v>1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</row>
    <row r="30" spans="1:311" s="13" customFormat="1">
      <c r="A30" s="87"/>
      <c r="B30" s="92"/>
      <c r="C30" s="92"/>
      <c r="D30" s="93"/>
      <c r="E30" s="90"/>
      <c r="F30" s="90"/>
      <c r="G30" s="90"/>
      <c r="H30" s="90"/>
      <c r="I30" s="18" t="s">
        <v>21</v>
      </c>
      <c r="J30" s="29">
        <v>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</row>
    <row r="31" spans="1:311" s="13" customFormat="1">
      <c r="A31" s="67" t="s">
        <v>667</v>
      </c>
      <c r="B31" s="70" t="s">
        <v>247</v>
      </c>
      <c r="C31" s="70" t="s">
        <v>697</v>
      </c>
      <c r="D31" s="82" t="s">
        <v>698</v>
      </c>
      <c r="E31" s="50" t="s">
        <v>699</v>
      </c>
      <c r="F31" s="50" t="s">
        <v>700</v>
      </c>
      <c r="G31" s="49">
        <v>954420</v>
      </c>
      <c r="H31" s="68">
        <v>2023</v>
      </c>
      <c r="I31" s="11" t="s">
        <v>20</v>
      </c>
      <c r="J31" s="51">
        <v>1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</row>
    <row r="32" spans="1:311" s="13" customFormat="1">
      <c r="A32" s="67" t="s">
        <v>667</v>
      </c>
      <c r="B32" s="74" t="s">
        <v>78</v>
      </c>
      <c r="C32" s="74" t="s">
        <v>555</v>
      </c>
      <c r="D32" s="74" t="s">
        <v>556</v>
      </c>
      <c r="E32" s="74" t="s">
        <v>557</v>
      </c>
      <c r="F32" s="74" t="s">
        <v>558</v>
      </c>
      <c r="G32" s="72">
        <v>954398</v>
      </c>
      <c r="H32" s="74" t="s">
        <v>524</v>
      </c>
      <c r="I32" s="6" t="s">
        <v>20</v>
      </c>
      <c r="J32" s="35">
        <v>1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</row>
    <row r="33" spans="1:311" s="13" customFormat="1">
      <c r="A33" s="67" t="s">
        <v>668</v>
      </c>
      <c r="B33" s="74" t="s">
        <v>226</v>
      </c>
      <c r="C33" s="74" t="s">
        <v>676</v>
      </c>
      <c r="D33" s="74" t="s">
        <v>677</v>
      </c>
      <c r="E33" s="77" t="s">
        <v>678</v>
      </c>
      <c r="F33" s="77" t="s">
        <v>679</v>
      </c>
      <c r="G33" s="106" t="s">
        <v>680</v>
      </c>
      <c r="H33" s="53">
        <v>2023</v>
      </c>
      <c r="I33" s="6" t="s">
        <v>20</v>
      </c>
      <c r="J33" s="35">
        <v>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</row>
    <row r="34" spans="1:311" s="13" customFormat="1">
      <c r="A34" s="67" t="s">
        <v>667</v>
      </c>
      <c r="B34" s="74" t="s">
        <v>78</v>
      </c>
      <c r="C34" s="74" t="s">
        <v>559</v>
      </c>
      <c r="D34" s="105" t="s">
        <v>560</v>
      </c>
      <c r="E34" s="74" t="s">
        <v>561</v>
      </c>
      <c r="F34" s="74" t="s">
        <v>562</v>
      </c>
      <c r="G34" s="74" t="s">
        <v>563</v>
      </c>
      <c r="H34" s="74" t="s">
        <v>524</v>
      </c>
      <c r="I34" s="6" t="s">
        <v>20</v>
      </c>
      <c r="J34" s="35">
        <v>1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</row>
    <row r="35" spans="1:311" s="13" customFormat="1">
      <c r="A35" s="87" t="s">
        <v>667</v>
      </c>
      <c r="B35" s="48" t="s">
        <v>78</v>
      </c>
      <c r="C35" s="48" t="s">
        <v>549</v>
      </c>
      <c r="D35" s="48" t="s">
        <v>550</v>
      </c>
      <c r="E35" s="28">
        <v>92543823002</v>
      </c>
      <c r="F35" s="96" t="s">
        <v>551</v>
      </c>
      <c r="G35" s="28">
        <v>950114</v>
      </c>
      <c r="H35" s="28">
        <v>2023</v>
      </c>
      <c r="I35" s="11" t="s">
        <v>21</v>
      </c>
      <c r="J35" s="17">
        <v>5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</row>
    <row r="36" spans="1:311" s="13" customFormat="1">
      <c r="A36" s="87"/>
      <c r="B36" s="126"/>
      <c r="C36" s="126"/>
      <c r="D36" s="126"/>
      <c r="E36" s="95"/>
      <c r="F36" s="127"/>
      <c r="G36" s="95"/>
      <c r="H36" s="95"/>
      <c r="I36" s="18" t="s">
        <v>289</v>
      </c>
      <c r="J36" s="19">
        <v>1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</row>
    <row r="37" spans="1:311" s="13" customFormat="1">
      <c r="A37" s="87"/>
      <c r="B37" s="126"/>
      <c r="C37" s="126"/>
      <c r="D37" s="126"/>
      <c r="E37" s="95"/>
      <c r="F37" s="127"/>
      <c r="G37" s="95"/>
      <c r="H37" s="95"/>
      <c r="I37" s="18" t="s">
        <v>564</v>
      </c>
      <c r="J37" s="19">
        <v>1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</row>
    <row r="38" spans="1:311" s="13" customFormat="1">
      <c r="A38" s="87"/>
      <c r="B38" s="92"/>
      <c r="C38" s="92"/>
      <c r="D38" s="92"/>
      <c r="E38" s="90"/>
      <c r="F38" s="94"/>
      <c r="G38" s="90"/>
      <c r="H38" s="90"/>
      <c r="I38" s="18" t="s">
        <v>565</v>
      </c>
      <c r="J38" s="19">
        <v>1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</row>
    <row r="39" spans="1:311" s="13" customFormat="1">
      <c r="A39" s="67" t="s">
        <v>665</v>
      </c>
      <c r="B39" s="70" t="s">
        <v>130</v>
      </c>
      <c r="C39" s="70" t="s">
        <v>131</v>
      </c>
      <c r="D39" s="70" t="s">
        <v>711</v>
      </c>
      <c r="E39" s="50" t="s">
        <v>712</v>
      </c>
      <c r="F39" s="50"/>
      <c r="G39" s="68">
        <v>942842</v>
      </c>
      <c r="H39" s="68">
        <v>2023</v>
      </c>
      <c r="I39" s="11" t="s">
        <v>565</v>
      </c>
      <c r="J39" s="17">
        <v>1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</row>
    <row r="40" spans="1:311" s="13" customFormat="1">
      <c r="A40" s="67" t="s">
        <v>667</v>
      </c>
      <c r="B40" s="74" t="s">
        <v>78</v>
      </c>
      <c r="C40" s="74" t="s">
        <v>566</v>
      </c>
      <c r="D40" s="74" t="s">
        <v>75</v>
      </c>
      <c r="E40" s="74" t="s">
        <v>567</v>
      </c>
      <c r="F40" s="74"/>
      <c r="G40" s="74" t="s">
        <v>568</v>
      </c>
      <c r="H40" s="74" t="s">
        <v>524</v>
      </c>
      <c r="I40" s="6" t="s">
        <v>20</v>
      </c>
      <c r="J40" s="36">
        <v>1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</row>
    <row r="41" spans="1:311" s="13" customFormat="1">
      <c r="A41" s="67" t="s">
        <v>665</v>
      </c>
      <c r="B41" s="74" t="s">
        <v>102</v>
      </c>
      <c r="C41" s="74" t="s">
        <v>103</v>
      </c>
      <c r="D41" s="74" t="s">
        <v>104</v>
      </c>
      <c r="E41" s="74" t="s">
        <v>569</v>
      </c>
      <c r="F41" s="74" t="s">
        <v>570</v>
      </c>
      <c r="G41" s="74" t="s">
        <v>571</v>
      </c>
      <c r="H41" s="74" t="s">
        <v>524</v>
      </c>
      <c r="I41" s="6" t="s">
        <v>20</v>
      </c>
      <c r="J41" s="36">
        <v>1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</row>
    <row r="42" spans="1:311" s="13" customFormat="1">
      <c r="A42" s="67" t="s">
        <v>665</v>
      </c>
      <c r="B42" s="80" t="s">
        <v>102</v>
      </c>
      <c r="C42" s="80" t="s">
        <v>117</v>
      </c>
      <c r="D42" s="80" t="s">
        <v>118</v>
      </c>
      <c r="E42" s="80" t="s">
        <v>572</v>
      </c>
      <c r="F42" s="80" t="s">
        <v>575</v>
      </c>
      <c r="G42" s="80" t="s">
        <v>578</v>
      </c>
      <c r="H42" s="80" t="s">
        <v>524</v>
      </c>
      <c r="I42" s="25" t="s">
        <v>580</v>
      </c>
      <c r="J42" s="31" t="s">
        <v>581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</row>
    <row r="43" spans="1:311" s="13" customFormat="1">
      <c r="A43" s="67" t="s">
        <v>665</v>
      </c>
      <c r="B43" s="80" t="s">
        <v>102</v>
      </c>
      <c r="C43" s="80" t="s">
        <v>117</v>
      </c>
      <c r="D43" s="80" t="s">
        <v>118</v>
      </c>
      <c r="E43" s="80" t="s">
        <v>573</v>
      </c>
      <c r="F43" s="80" t="s">
        <v>576</v>
      </c>
      <c r="G43" s="80" t="s">
        <v>579</v>
      </c>
      <c r="H43" s="80" t="s">
        <v>524</v>
      </c>
      <c r="I43" s="25" t="s">
        <v>582</v>
      </c>
      <c r="J43" s="31" t="s">
        <v>583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</row>
    <row r="44" spans="1:311" s="13" customFormat="1">
      <c r="A44" s="67" t="s">
        <v>668</v>
      </c>
      <c r="B44" s="80" t="s">
        <v>241</v>
      </c>
      <c r="C44" s="80" t="s">
        <v>242</v>
      </c>
      <c r="D44" s="80" t="s">
        <v>673</v>
      </c>
      <c r="E44" s="45" t="s">
        <v>674</v>
      </c>
      <c r="F44" s="45" t="s">
        <v>675</v>
      </c>
      <c r="G44" s="38">
        <v>948696</v>
      </c>
      <c r="H44" s="38">
        <v>2023</v>
      </c>
      <c r="I44" s="112" t="s">
        <v>20</v>
      </c>
      <c r="J44" s="31">
        <v>1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</row>
    <row r="45" spans="1:311" s="13" customFormat="1">
      <c r="A45" s="67" t="s">
        <v>668</v>
      </c>
      <c r="B45" s="80" t="s">
        <v>226</v>
      </c>
      <c r="C45" s="80" t="s">
        <v>669</v>
      </c>
      <c r="D45" s="80" t="s">
        <v>670</v>
      </c>
      <c r="E45" s="45" t="s">
        <v>671</v>
      </c>
      <c r="F45" s="45" t="s">
        <v>672</v>
      </c>
      <c r="G45" s="46">
        <v>948694</v>
      </c>
      <c r="H45" s="38">
        <v>2023</v>
      </c>
      <c r="I45" s="112" t="s">
        <v>20</v>
      </c>
      <c r="J45" s="31">
        <v>1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</row>
    <row r="46" spans="1:311" s="13" customFormat="1">
      <c r="A46" s="67" t="s">
        <v>665</v>
      </c>
      <c r="B46" s="80" t="s">
        <v>102</v>
      </c>
      <c r="C46" s="80" t="s">
        <v>117</v>
      </c>
      <c r="D46" s="80" t="s">
        <v>118</v>
      </c>
      <c r="E46" s="80" t="s">
        <v>574</v>
      </c>
      <c r="F46" s="80" t="s">
        <v>577</v>
      </c>
      <c r="G46" s="38">
        <v>945989</v>
      </c>
      <c r="H46" s="80" t="s">
        <v>524</v>
      </c>
      <c r="I46" s="25" t="s">
        <v>584</v>
      </c>
      <c r="J46" s="31" t="s">
        <v>585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</row>
    <row r="47" spans="1:311" s="13" customFormat="1">
      <c r="A47" s="67" t="s">
        <v>665</v>
      </c>
      <c r="B47" s="80" t="s">
        <v>586</v>
      </c>
      <c r="C47" s="80" t="s">
        <v>587</v>
      </c>
      <c r="D47" s="80" t="s">
        <v>588</v>
      </c>
      <c r="E47" s="80" t="s">
        <v>589</v>
      </c>
      <c r="F47" s="80" t="s">
        <v>590</v>
      </c>
      <c r="G47" s="38">
        <v>947527</v>
      </c>
      <c r="H47" s="80" t="s">
        <v>524</v>
      </c>
      <c r="I47" s="6" t="s">
        <v>20</v>
      </c>
      <c r="J47" s="36">
        <v>2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</row>
    <row r="48" spans="1:311" s="13" customFormat="1">
      <c r="A48" s="67" t="s">
        <v>668</v>
      </c>
      <c r="B48" s="74" t="s">
        <v>149</v>
      </c>
      <c r="C48" s="74" t="s">
        <v>163</v>
      </c>
      <c r="D48" s="74" t="s">
        <v>164</v>
      </c>
      <c r="E48" s="74" t="s">
        <v>591</v>
      </c>
      <c r="F48" s="74" t="s">
        <v>592</v>
      </c>
      <c r="G48" s="53" t="s">
        <v>593</v>
      </c>
      <c r="H48" s="74" t="s">
        <v>524</v>
      </c>
      <c r="I48" s="6" t="s">
        <v>20</v>
      </c>
      <c r="J48" s="36">
        <v>2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</row>
    <row r="49" spans="1:311" s="13" customFormat="1">
      <c r="A49" s="67" t="s">
        <v>668</v>
      </c>
      <c r="B49" s="74" t="s">
        <v>149</v>
      </c>
      <c r="C49" s="74" t="s">
        <v>173</v>
      </c>
      <c r="D49" s="74" t="s">
        <v>174</v>
      </c>
      <c r="E49" s="74" t="s">
        <v>594</v>
      </c>
      <c r="F49" s="74" t="s">
        <v>595</v>
      </c>
      <c r="G49" s="53" t="s">
        <v>596</v>
      </c>
      <c r="H49" s="74" t="s">
        <v>524</v>
      </c>
      <c r="I49" s="6" t="s">
        <v>20</v>
      </c>
      <c r="J49" s="36">
        <v>1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</row>
    <row r="50" spans="1:311" s="13" customFormat="1">
      <c r="A50" s="67" t="s">
        <v>667</v>
      </c>
      <c r="B50" s="74" t="s">
        <v>181</v>
      </c>
      <c r="C50" s="74" t="s">
        <v>182</v>
      </c>
      <c r="D50" s="74" t="s">
        <v>597</v>
      </c>
      <c r="E50" s="74" t="s">
        <v>598</v>
      </c>
      <c r="F50" s="74"/>
      <c r="G50" s="53" t="s">
        <v>599</v>
      </c>
      <c r="H50" s="74" t="s">
        <v>524</v>
      </c>
      <c r="I50" s="6" t="s">
        <v>20</v>
      </c>
      <c r="J50" s="36">
        <v>1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</row>
    <row r="51" spans="1:311" s="13" customFormat="1">
      <c r="A51" s="67" t="s">
        <v>665</v>
      </c>
      <c r="B51" s="74" t="s">
        <v>191</v>
      </c>
      <c r="C51" s="74" t="s">
        <v>206</v>
      </c>
      <c r="D51" s="74" t="s">
        <v>207</v>
      </c>
      <c r="E51" s="74" t="s">
        <v>600</v>
      </c>
      <c r="F51" s="74" t="s">
        <v>601</v>
      </c>
      <c r="G51" s="53">
        <v>953716</v>
      </c>
      <c r="H51" s="74" t="s">
        <v>524</v>
      </c>
      <c r="I51" s="6" t="s">
        <v>20</v>
      </c>
      <c r="J51" s="36">
        <v>1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</row>
    <row r="52" spans="1:311" s="13" customFormat="1">
      <c r="A52" s="67" t="s">
        <v>667</v>
      </c>
      <c r="B52" s="74" t="s">
        <v>247</v>
      </c>
      <c r="C52" s="74" t="s">
        <v>488</v>
      </c>
      <c r="D52" s="74" t="s">
        <v>701</v>
      </c>
      <c r="E52" s="77" t="s">
        <v>630</v>
      </c>
      <c r="F52" s="77" t="s">
        <v>702</v>
      </c>
      <c r="G52" s="53" t="s">
        <v>703</v>
      </c>
      <c r="H52" s="74" t="s">
        <v>524</v>
      </c>
      <c r="I52" s="6" t="s">
        <v>20</v>
      </c>
      <c r="J52" s="36">
        <v>1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</row>
    <row r="53" spans="1:311" s="13" customFormat="1">
      <c r="A53" s="67" t="s">
        <v>667</v>
      </c>
      <c r="B53" s="74" t="s">
        <v>247</v>
      </c>
      <c r="C53" s="74" t="s">
        <v>488</v>
      </c>
      <c r="D53" s="74" t="s">
        <v>602</v>
      </c>
      <c r="E53" s="74" t="s">
        <v>603</v>
      </c>
      <c r="F53" s="74" t="s">
        <v>604</v>
      </c>
      <c r="G53" s="53">
        <v>953741</v>
      </c>
      <c r="H53" s="74" t="s">
        <v>524</v>
      </c>
      <c r="I53" s="6" t="s">
        <v>20</v>
      </c>
      <c r="J53" s="36">
        <v>1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</row>
    <row r="54" spans="1:311" s="13" customFormat="1">
      <c r="A54" s="67" t="s">
        <v>667</v>
      </c>
      <c r="B54" s="74" t="s">
        <v>247</v>
      </c>
      <c r="C54" s="74" t="s">
        <v>605</v>
      </c>
      <c r="D54" s="74" t="s">
        <v>606</v>
      </c>
      <c r="E54" s="74" t="s">
        <v>607</v>
      </c>
      <c r="F54" s="74" t="s">
        <v>608</v>
      </c>
      <c r="G54" s="53" t="s">
        <v>609</v>
      </c>
      <c r="H54" s="74" t="s">
        <v>524</v>
      </c>
      <c r="I54" s="6" t="s">
        <v>20</v>
      </c>
      <c r="J54" s="36">
        <v>1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</row>
    <row r="55" spans="1:311" s="13" customFormat="1">
      <c r="A55" s="67" t="s">
        <v>667</v>
      </c>
      <c r="B55" s="74" t="s">
        <v>247</v>
      </c>
      <c r="C55" s="74" t="s">
        <v>500</v>
      </c>
      <c r="D55" s="74" t="s">
        <v>501</v>
      </c>
      <c r="E55" s="74" t="s">
        <v>610</v>
      </c>
      <c r="F55" s="74" t="s">
        <v>611</v>
      </c>
      <c r="G55" s="53">
        <v>953401</v>
      </c>
      <c r="H55" s="74" t="s">
        <v>524</v>
      </c>
      <c r="I55" s="6" t="s">
        <v>20</v>
      </c>
      <c r="J55" s="36">
        <v>1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</row>
    <row r="56" spans="1:311" s="13" customFormat="1">
      <c r="A56" s="67" t="s">
        <v>667</v>
      </c>
      <c r="B56" s="74" t="s">
        <v>247</v>
      </c>
      <c r="C56" s="74" t="s">
        <v>612</v>
      </c>
      <c r="D56" s="74" t="s">
        <v>613</v>
      </c>
      <c r="E56" s="74" t="s">
        <v>614</v>
      </c>
      <c r="F56" s="74" t="s">
        <v>615</v>
      </c>
      <c r="G56" s="53" t="s">
        <v>616</v>
      </c>
      <c r="H56" s="74" t="s">
        <v>524</v>
      </c>
      <c r="I56" s="6" t="s">
        <v>20</v>
      </c>
      <c r="J56" s="36">
        <v>1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</row>
    <row r="57" spans="1:311" s="13" customFormat="1">
      <c r="A57" s="67" t="s">
        <v>667</v>
      </c>
      <c r="B57" s="74" t="s">
        <v>247</v>
      </c>
      <c r="C57" s="74" t="s">
        <v>253</v>
      </c>
      <c r="D57" s="74" t="s">
        <v>617</v>
      </c>
      <c r="E57" s="74" t="s">
        <v>618</v>
      </c>
      <c r="F57" s="74" t="s">
        <v>619</v>
      </c>
      <c r="G57" s="74" t="s">
        <v>620</v>
      </c>
      <c r="H57" s="74" t="s">
        <v>524</v>
      </c>
      <c r="I57" s="6" t="s">
        <v>20</v>
      </c>
      <c r="J57" s="36">
        <v>1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</row>
    <row r="58" spans="1:311" s="13" customFormat="1">
      <c r="A58" s="67" t="s">
        <v>681</v>
      </c>
      <c r="B58" s="69" t="s">
        <v>247</v>
      </c>
      <c r="C58" s="69" t="s">
        <v>263</v>
      </c>
      <c r="D58" s="69" t="s">
        <v>621</v>
      </c>
      <c r="E58" s="69" t="s">
        <v>622</v>
      </c>
      <c r="F58" s="69" t="s">
        <v>623</v>
      </c>
      <c r="G58" s="69" t="s">
        <v>624</v>
      </c>
      <c r="H58" s="69" t="s">
        <v>524</v>
      </c>
      <c r="I58" s="34" t="s">
        <v>20</v>
      </c>
      <c r="J58" s="37">
        <v>1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</row>
    <row r="59" spans="1:311" s="13" customFormat="1">
      <c r="A59" s="87" t="s">
        <v>667</v>
      </c>
      <c r="B59" s="48" t="s">
        <v>247</v>
      </c>
      <c r="C59" s="48" t="s">
        <v>263</v>
      </c>
      <c r="D59" s="48" t="s">
        <v>621</v>
      </c>
      <c r="E59" s="128" t="s">
        <v>625</v>
      </c>
      <c r="F59" s="48"/>
      <c r="G59" s="28">
        <v>949415</v>
      </c>
      <c r="H59" s="28">
        <v>2023</v>
      </c>
      <c r="I59" s="11" t="s">
        <v>21</v>
      </c>
      <c r="J59" s="28">
        <v>3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</row>
    <row r="60" spans="1:311" s="13" customFormat="1">
      <c r="A60" s="87"/>
      <c r="B60" s="92"/>
      <c r="C60" s="92"/>
      <c r="D60" s="92"/>
      <c r="E60" s="97"/>
      <c r="F60" s="92"/>
      <c r="G60" s="90"/>
      <c r="H60" s="90"/>
      <c r="I60" s="18" t="s">
        <v>343</v>
      </c>
      <c r="J60" s="32">
        <v>1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</row>
    <row r="61" spans="1:311" s="13" customFormat="1">
      <c r="A61" s="67" t="s">
        <v>667</v>
      </c>
      <c r="B61" s="70" t="s">
        <v>247</v>
      </c>
      <c r="C61" s="70" t="s">
        <v>682</v>
      </c>
      <c r="D61" s="70" t="s">
        <v>271</v>
      </c>
      <c r="E61" s="71" t="s">
        <v>683</v>
      </c>
      <c r="F61" s="47" t="s">
        <v>684</v>
      </c>
      <c r="G61" s="68">
        <v>954006</v>
      </c>
      <c r="H61" s="68">
        <v>2023</v>
      </c>
      <c r="I61" s="113" t="s">
        <v>20</v>
      </c>
      <c r="J61" s="28">
        <v>1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</row>
    <row r="62" spans="1:311" s="13" customFormat="1">
      <c r="A62" s="67" t="s">
        <v>667</v>
      </c>
      <c r="B62" s="74" t="s">
        <v>247</v>
      </c>
      <c r="C62" s="74" t="s">
        <v>263</v>
      </c>
      <c r="D62" s="74" t="s">
        <v>626</v>
      </c>
      <c r="E62" s="74" t="s">
        <v>627</v>
      </c>
      <c r="F62" s="74" t="s">
        <v>628</v>
      </c>
      <c r="G62" s="74" t="s">
        <v>629</v>
      </c>
      <c r="H62" s="74" t="s">
        <v>524</v>
      </c>
      <c r="I62" s="34" t="s">
        <v>20</v>
      </c>
      <c r="J62" s="37">
        <v>1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</row>
    <row r="63" spans="1:311" s="13" customFormat="1">
      <c r="A63" s="67"/>
      <c r="B63" s="74" t="s">
        <v>36</v>
      </c>
      <c r="C63" s="74" t="s">
        <v>882</v>
      </c>
      <c r="D63" s="74" t="s">
        <v>883</v>
      </c>
      <c r="E63" s="77" t="s">
        <v>881</v>
      </c>
      <c r="F63" s="74"/>
      <c r="G63" s="74"/>
      <c r="H63" s="74" t="s">
        <v>524</v>
      </c>
      <c r="I63" s="34" t="s">
        <v>884</v>
      </c>
      <c r="J63" s="37">
        <v>1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</row>
    <row r="64" spans="1:311" s="13" customFormat="1">
      <c r="A64" s="67"/>
      <c r="B64" s="74" t="s">
        <v>181</v>
      </c>
      <c r="C64" s="74" t="s">
        <v>182</v>
      </c>
      <c r="D64" s="74" t="s">
        <v>885</v>
      </c>
      <c r="E64" s="77" t="s">
        <v>886</v>
      </c>
      <c r="F64" s="74"/>
      <c r="G64" s="74"/>
      <c r="H64" s="74" t="s">
        <v>524</v>
      </c>
      <c r="I64" s="34" t="s">
        <v>21</v>
      </c>
      <c r="J64" s="37">
        <v>38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</row>
    <row r="65" spans="1:311" s="13" customFormat="1">
      <c r="A65" s="67"/>
      <c r="B65" s="16" t="s">
        <v>78</v>
      </c>
      <c r="C65" s="16" t="s">
        <v>714</v>
      </c>
      <c r="D65" s="74" t="s">
        <v>716</v>
      </c>
      <c r="E65" s="77" t="s">
        <v>887</v>
      </c>
      <c r="F65" s="74"/>
      <c r="G65" s="77" t="s">
        <v>888</v>
      </c>
      <c r="H65" s="74" t="s">
        <v>524</v>
      </c>
      <c r="I65" s="34" t="s">
        <v>21</v>
      </c>
      <c r="J65" s="37">
        <v>15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</row>
    <row r="66" spans="1:311" s="13" customFormat="1">
      <c r="A66" s="67"/>
      <c r="B66" s="16" t="s">
        <v>66</v>
      </c>
      <c r="C66" s="16" t="s">
        <v>67</v>
      </c>
      <c r="D66" s="74" t="s">
        <v>68</v>
      </c>
      <c r="E66" s="77" t="s">
        <v>890</v>
      </c>
      <c r="F66" s="74"/>
      <c r="G66" s="77" t="s">
        <v>889</v>
      </c>
      <c r="H66" s="74" t="s">
        <v>524</v>
      </c>
      <c r="I66" s="34" t="s">
        <v>21</v>
      </c>
      <c r="J66" s="37">
        <v>6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</row>
    <row r="67" spans="1:311" s="13" customFormat="1">
      <c r="A67" s="67"/>
      <c r="B67" s="16" t="s">
        <v>66</v>
      </c>
      <c r="C67" s="16" t="s">
        <v>67</v>
      </c>
      <c r="D67" s="74" t="s">
        <v>68</v>
      </c>
      <c r="E67" s="77" t="s">
        <v>892</v>
      </c>
      <c r="F67" s="74"/>
      <c r="G67" s="77" t="s">
        <v>891</v>
      </c>
      <c r="H67" s="74" t="s">
        <v>524</v>
      </c>
      <c r="I67" s="34" t="s">
        <v>21</v>
      </c>
      <c r="J67" s="37">
        <v>3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</row>
    <row r="68" spans="1:311" s="13" customFormat="1">
      <c r="A68" s="67"/>
      <c r="B68" s="16" t="s">
        <v>149</v>
      </c>
      <c r="C68" s="16" t="s">
        <v>150</v>
      </c>
      <c r="D68" s="74" t="s">
        <v>895</v>
      </c>
      <c r="E68" s="77" t="s">
        <v>893</v>
      </c>
      <c r="F68" s="74"/>
      <c r="G68" s="77" t="s">
        <v>894</v>
      </c>
      <c r="H68" s="74" t="s">
        <v>524</v>
      </c>
      <c r="I68" s="34" t="s">
        <v>896</v>
      </c>
      <c r="J68" s="37">
        <v>22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</row>
    <row r="69" spans="1:311" s="13" customFormat="1">
      <c r="A69" s="67"/>
      <c r="B69" s="16" t="s">
        <v>191</v>
      </c>
      <c r="C69" s="16" t="s">
        <v>206</v>
      </c>
      <c r="D69" s="74" t="s">
        <v>829</v>
      </c>
      <c r="E69" s="77" t="s">
        <v>897</v>
      </c>
      <c r="F69" s="74"/>
      <c r="G69" s="77" t="s">
        <v>898</v>
      </c>
      <c r="H69" s="74" t="s">
        <v>524</v>
      </c>
      <c r="I69" s="34" t="s">
        <v>21</v>
      </c>
      <c r="J69" s="37">
        <v>3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</row>
    <row r="70" spans="1:311" s="13" customFormat="1">
      <c r="A70" s="67"/>
      <c r="B70" s="16" t="s">
        <v>191</v>
      </c>
      <c r="C70" s="16" t="s">
        <v>206</v>
      </c>
      <c r="D70" s="74" t="s">
        <v>829</v>
      </c>
      <c r="E70" s="77" t="s">
        <v>899</v>
      </c>
      <c r="F70" s="74"/>
      <c r="G70" s="77" t="s">
        <v>900</v>
      </c>
      <c r="H70" s="74" t="s">
        <v>524</v>
      </c>
      <c r="I70" s="34" t="s">
        <v>21</v>
      </c>
      <c r="J70" s="37">
        <v>13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</row>
    <row r="71" spans="1:311" s="13" customFormat="1">
      <c r="A71" s="67"/>
      <c r="B71" s="16" t="s">
        <v>191</v>
      </c>
      <c r="C71" s="16" t="s">
        <v>206</v>
      </c>
      <c r="D71" s="74" t="s">
        <v>829</v>
      </c>
      <c r="E71" s="77" t="s">
        <v>901</v>
      </c>
      <c r="F71" s="74"/>
      <c r="G71" s="77" t="s">
        <v>902</v>
      </c>
      <c r="H71" s="74" t="s">
        <v>524</v>
      </c>
      <c r="I71" s="34" t="s">
        <v>21</v>
      </c>
      <c r="J71" s="37">
        <v>7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</row>
    <row r="72" spans="1:311" s="13" customFormat="1">
      <c r="A72" s="67"/>
      <c r="B72" s="16" t="s">
        <v>102</v>
      </c>
      <c r="C72" s="16" t="s">
        <v>117</v>
      </c>
      <c r="D72" s="74" t="s">
        <v>118</v>
      </c>
      <c r="E72" s="77" t="s">
        <v>903</v>
      </c>
      <c r="F72" s="74"/>
      <c r="G72" s="77" t="s">
        <v>904</v>
      </c>
      <c r="H72" s="74" t="s">
        <v>524</v>
      </c>
      <c r="I72" s="34" t="s">
        <v>21</v>
      </c>
      <c r="J72" s="37">
        <v>24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</row>
    <row r="73" spans="1:311" s="13" customFormat="1">
      <c r="A73" s="67"/>
      <c r="B73" s="16" t="s">
        <v>130</v>
      </c>
      <c r="C73" s="16" t="s">
        <v>131</v>
      </c>
      <c r="D73" s="74" t="s">
        <v>842</v>
      </c>
      <c r="E73" s="77" t="s">
        <v>905</v>
      </c>
      <c r="F73" s="74"/>
      <c r="G73" s="146">
        <v>943918</v>
      </c>
      <c r="H73" s="74" t="s">
        <v>524</v>
      </c>
      <c r="I73" s="34" t="s">
        <v>21</v>
      </c>
      <c r="J73" s="37">
        <v>6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</row>
    <row r="74" spans="1:311" s="13" customFormat="1">
      <c r="A74" s="67"/>
      <c r="B74" s="16" t="s">
        <v>130</v>
      </c>
      <c r="C74" s="16" t="s">
        <v>131</v>
      </c>
      <c r="D74" s="74" t="s">
        <v>842</v>
      </c>
      <c r="E74" s="77" t="s">
        <v>906</v>
      </c>
      <c r="F74" s="74"/>
      <c r="G74" s="146">
        <v>945441</v>
      </c>
      <c r="H74" s="74" t="s">
        <v>524</v>
      </c>
      <c r="I74" s="34" t="s">
        <v>21</v>
      </c>
      <c r="J74" s="37">
        <v>15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</row>
    <row r="75" spans="1:311" s="13" customFormat="1">
      <c r="A75" s="67"/>
      <c r="B75" s="16" t="s">
        <v>130</v>
      </c>
      <c r="C75" s="16" t="s">
        <v>131</v>
      </c>
      <c r="D75" s="74" t="s">
        <v>842</v>
      </c>
      <c r="E75" s="77" t="s">
        <v>907</v>
      </c>
      <c r="F75" s="74"/>
      <c r="G75" s="146">
        <v>947247</v>
      </c>
      <c r="H75" s="74" t="s">
        <v>524</v>
      </c>
      <c r="I75" s="34" t="s">
        <v>21</v>
      </c>
      <c r="J75" s="37">
        <v>9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</row>
    <row r="76" spans="1:311" s="13" customFormat="1">
      <c r="A76" s="67"/>
      <c r="B76" s="16" t="s">
        <v>130</v>
      </c>
      <c r="C76" s="16" t="s">
        <v>131</v>
      </c>
      <c r="D76" s="74" t="s">
        <v>842</v>
      </c>
      <c r="E76" s="77" t="s">
        <v>908</v>
      </c>
      <c r="F76" s="74"/>
      <c r="G76" s="146">
        <v>947249</v>
      </c>
      <c r="H76" s="74" t="s">
        <v>524</v>
      </c>
      <c r="I76" s="34" t="s">
        <v>21</v>
      </c>
      <c r="J76" s="37">
        <v>17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</row>
    <row r="77" spans="1:311" s="13" customFormat="1">
      <c r="A77" s="67"/>
      <c r="B77" s="16" t="s">
        <v>78</v>
      </c>
      <c r="C77" s="16" t="s">
        <v>552</v>
      </c>
      <c r="D77" s="74" t="s">
        <v>553</v>
      </c>
      <c r="E77" s="77" t="s">
        <v>909</v>
      </c>
      <c r="F77" s="74"/>
      <c r="G77" s="146">
        <v>947098</v>
      </c>
      <c r="H77" s="74" t="s">
        <v>524</v>
      </c>
      <c r="I77" s="34" t="s">
        <v>21</v>
      </c>
      <c r="J77" s="37">
        <v>5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</row>
    <row r="78" spans="1:311" s="13" customFormat="1">
      <c r="A78" s="67"/>
      <c r="B78" s="16" t="s">
        <v>51</v>
      </c>
      <c r="C78" s="16" t="s">
        <v>52</v>
      </c>
      <c r="D78" s="74" t="s">
        <v>53</v>
      </c>
      <c r="E78" s="77" t="s">
        <v>910</v>
      </c>
      <c r="F78" s="74"/>
      <c r="G78" s="146">
        <v>947097</v>
      </c>
      <c r="H78" s="74" t="s">
        <v>524</v>
      </c>
      <c r="I78" s="34" t="s">
        <v>21</v>
      </c>
      <c r="J78" s="37">
        <v>14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</row>
    <row r="79" spans="1:311" s="13" customFormat="1">
      <c r="A79" s="67"/>
      <c r="B79" s="16" t="s">
        <v>247</v>
      </c>
      <c r="C79" s="16" t="s">
        <v>488</v>
      </c>
      <c r="D79" s="74" t="s">
        <v>911</v>
      </c>
      <c r="E79" s="77" t="s">
        <v>912</v>
      </c>
      <c r="F79" s="74"/>
      <c r="G79" s="146">
        <v>947198</v>
      </c>
      <c r="H79" s="74" t="s">
        <v>524</v>
      </c>
      <c r="I79" s="34" t="s">
        <v>21</v>
      </c>
      <c r="J79" s="37">
        <v>2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</row>
    <row r="80" spans="1:311" s="13" customFormat="1">
      <c r="A80" s="67"/>
      <c r="B80" s="16" t="s">
        <v>247</v>
      </c>
      <c r="C80" s="16" t="s">
        <v>500</v>
      </c>
      <c r="D80" s="74" t="s">
        <v>863</v>
      </c>
      <c r="E80" s="77" t="s">
        <v>913</v>
      </c>
      <c r="F80" s="74"/>
      <c r="G80" s="146">
        <v>945693</v>
      </c>
      <c r="H80" s="74" t="s">
        <v>524</v>
      </c>
      <c r="I80" s="34" t="s">
        <v>21</v>
      </c>
      <c r="J80" s="37">
        <v>77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</row>
    <row r="81" spans="1:311" s="13" customFormat="1">
      <c r="A81" s="67"/>
      <c r="B81" s="16" t="s">
        <v>247</v>
      </c>
      <c r="C81" s="16" t="s">
        <v>500</v>
      </c>
      <c r="D81" s="74" t="s">
        <v>863</v>
      </c>
      <c r="E81" s="77" t="s">
        <v>914</v>
      </c>
      <c r="F81" s="74"/>
      <c r="G81" s="146">
        <v>944132</v>
      </c>
      <c r="H81" s="74" t="s">
        <v>524</v>
      </c>
      <c r="I81" s="34" t="s">
        <v>21</v>
      </c>
      <c r="J81" s="37">
        <v>5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</row>
    <row r="82" spans="1:311" s="13" customFormat="1">
      <c r="A82" s="67"/>
      <c r="B82" s="16" t="s">
        <v>247</v>
      </c>
      <c r="C82" s="16" t="s">
        <v>500</v>
      </c>
      <c r="D82" s="74" t="s">
        <v>863</v>
      </c>
      <c r="E82" s="77" t="s">
        <v>915</v>
      </c>
      <c r="F82" s="74"/>
      <c r="G82" s="146">
        <v>944519</v>
      </c>
      <c r="H82" s="74" t="s">
        <v>524</v>
      </c>
      <c r="I82" s="34" t="s">
        <v>21</v>
      </c>
      <c r="J82" s="37">
        <v>29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</row>
    <row r="83" spans="1:311" s="13" customFormat="1">
      <c r="A83" s="67"/>
      <c r="B83" s="16" t="s">
        <v>247</v>
      </c>
      <c r="C83" s="16" t="s">
        <v>263</v>
      </c>
      <c r="D83" s="74" t="s">
        <v>916</v>
      </c>
      <c r="E83" s="77" t="s">
        <v>917</v>
      </c>
      <c r="F83" s="74"/>
      <c r="G83" s="146">
        <v>949766</v>
      </c>
      <c r="H83" s="74" t="s">
        <v>524</v>
      </c>
      <c r="I83" s="34" t="s">
        <v>918</v>
      </c>
      <c r="J83" s="37">
        <v>12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</row>
    <row r="84" spans="1:311" s="13" customFormat="1">
      <c r="A84" s="67"/>
      <c r="B84" s="16" t="s">
        <v>247</v>
      </c>
      <c r="C84" s="16" t="s">
        <v>263</v>
      </c>
      <c r="D84" s="74" t="s">
        <v>273</v>
      </c>
      <c r="E84" s="77" t="s">
        <v>919</v>
      </c>
      <c r="F84" s="74"/>
      <c r="G84" s="146">
        <v>946563</v>
      </c>
      <c r="H84" s="74" t="s">
        <v>524</v>
      </c>
      <c r="I84" s="34" t="s">
        <v>21</v>
      </c>
      <c r="J84" s="37">
        <v>167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</row>
    <row r="85" spans="1:311" s="13" customFormat="1">
      <c r="A85" s="67"/>
      <c r="B85" s="16" t="s">
        <v>247</v>
      </c>
      <c r="C85" s="16" t="s">
        <v>263</v>
      </c>
      <c r="D85" s="74" t="s">
        <v>273</v>
      </c>
      <c r="E85" s="77" t="s">
        <v>920</v>
      </c>
      <c r="F85" s="74"/>
      <c r="G85" s="146">
        <v>954419</v>
      </c>
      <c r="H85" s="74" t="s">
        <v>524</v>
      </c>
      <c r="I85" s="34" t="s">
        <v>21</v>
      </c>
      <c r="J85" s="37">
        <v>10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</row>
    <row r="86" spans="1:311" s="13" customFormat="1">
      <c r="A86" s="67"/>
      <c r="B86" s="16" t="s">
        <v>247</v>
      </c>
      <c r="C86" s="16" t="s">
        <v>512</v>
      </c>
      <c r="D86" s="70" t="s">
        <v>662</v>
      </c>
      <c r="E86" s="77" t="s">
        <v>922</v>
      </c>
      <c r="F86" s="74"/>
      <c r="G86" s="146">
        <v>946446</v>
      </c>
      <c r="H86" s="74" t="s">
        <v>524</v>
      </c>
      <c r="I86" s="34" t="s">
        <v>21</v>
      </c>
      <c r="J86" s="37">
        <v>35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</row>
    <row r="87" spans="1:311" s="13" customFormat="1">
      <c r="A87" s="67"/>
      <c r="B87" s="16" t="s">
        <v>149</v>
      </c>
      <c r="C87" s="16" t="s">
        <v>163</v>
      </c>
      <c r="D87" s="70" t="s">
        <v>164</v>
      </c>
      <c r="E87" s="77" t="s">
        <v>923</v>
      </c>
      <c r="F87" s="74"/>
      <c r="G87" s="146">
        <v>943960</v>
      </c>
      <c r="H87" s="74" t="s">
        <v>524</v>
      </c>
      <c r="I87" s="34" t="s">
        <v>21</v>
      </c>
      <c r="J87" s="37">
        <v>57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</row>
    <row r="88" spans="1:311" s="13" customFormat="1">
      <c r="A88" s="67"/>
      <c r="B88" s="16" t="s">
        <v>149</v>
      </c>
      <c r="C88" s="16" t="s">
        <v>163</v>
      </c>
      <c r="D88" s="70" t="s">
        <v>164</v>
      </c>
      <c r="E88" s="77" t="s">
        <v>924</v>
      </c>
      <c r="F88" s="74"/>
      <c r="G88" s="146">
        <v>949355</v>
      </c>
      <c r="H88" s="74" t="s">
        <v>524</v>
      </c>
      <c r="I88" s="34" t="s">
        <v>21</v>
      </c>
      <c r="J88" s="37">
        <v>51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</row>
    <row r="89" spans="1:311" s="13" customFormat="1">
      <c r="A89" s="67"/>
      <c r="B89" s="16" t="s">
        <v>149</v>
      </c>
      <c r="C89" s="16" t="s">
        <v>163</v>
      </c>
      <c r="D89" s="70" t="s">
        <v>164</v>
      </c>
      <c r="E89" s="77" t="s">
        <v>925</v>
      </c>
      <c r="F89" s="74"/>
      <c r="G89" s="146">
        <v>955299</v>
      </c>
      <c r="H89" s="74" t="s">
        <v>524</v>
      </c>
      <c r="I89" s="34" t="s">
        <v>21</v>
      </c>
      <c r="J89" s="37">
        <v>12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</row>
    <row r="90" spans="1:311" s="13" customFormat="1">
      <c r="A90" s="67"/>
      <c r="B90" s="16" t="s">
        <v>149</v>
      </c>
      <c r="C90" s="16" t="s">
        <v>926</v>
      </c>
      <c r="D90" s="70" t="s">
        <v>613</v>
      </c>
      <c r="E90" s="77" t="s">
        <v>927</v>
      </c>
      <c r="F90" s="74"/>
      <c r="G90" s="146">
        <v>947263</v>
      </c>
      <c r="H90" s="74" t="s">
        <v>524</v>
      </c>
      <c r="I90" s="34" t="s">
        <v>21</v>
      </c>
      <c r="J90" s="37">
        <v>73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</row>
    <row r="91" spans="1:311" s="13" customFormat="1">
      <c r="A91" s="67"/>
      <c r="B91" s="16" t="s">
        <v>149</v>
      </c>
      <c r="C91" s="16" t="s">
        <v>173</v>
      </c>
      <c r="D91" s="70" t="s">
        <v>174</v>
      </c>
      <c r="E91" s="77" t="s">
        <v>928</v>
      </c>
      <c r="F91" s="74"/>
      <c r="G91" s="146">
        <v>947277</v>
      </c>
      <c r="H91" s="74" t="s">
        <v>524</v>
      </c>
      <c r="I91" s="34" t="s">
        <v>21</v>
      </c>
      <c r="J91" s="37">
        <v>164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</row>
    <row r="92" spans="1:311" s="13" customFormat="1">
      <c r="A92" s="67"/>
      <c r="B92" s="16" t="s">
        <v>149</v>
      </c>
      <c r="C92" s="16" t="s">
        <v>155</v>
      </c>
      <c r="D92" s="70" t="s">
        <v>156</v>
      </c>
      <c r="E92" s="77" t="s">
        <v>929</v>
      </c>
      <c r="F92" s="74"/>
      <c r="G92" s="146">
        <v>947285</v>
      </c>
      <c r="H92" s="74" t="s">
        <v>524</v>
      </c>
      <c r="I92" s="34" t="s">
        <v>21</v>
      </c>
      <c r="J92" s="37">
        <v>6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</row>
    <row r="93" spans="1:311" s="13" customFormat="1">
      <c r="A93" s="67"/>
      <c r="B93" s="16" t="s">
        <v>226</v>
      </c>
      <c r="C93" s="16" t="s">
        <v>874</v>
      </c>
      <c r="D93" s="70" t="s">
        <v>875</v>
      </c>
      <c r="E93" s="77" t="s">
        <v>930</v>
      </c>
      <c r="F93" s="74"/>
      <c r="G93" s="146">
        <v>943922</v>
      </c>
      <c r="H93" s="74" t="s">
        <v>524</v>
      </c>
      <c r="I93" s="34" t="s">
        <v>21</v>
      </c>
      <c r="J93" s="37">
        <v>6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</row>
    <row r="94" spans="1:311" s="13" customFormat="1">
      <c r="A94" s="67"/>
      <c r="B94" s="16" t="s">
        <v>226</v>
      </c>
      <c r="C94" s="16" t="s">
        <v>874</v>
      </c>
      <c r="D94" s="70" t="s">
        <v>875</v>
      </c>
      <c r="E94" s="77" t="s">
        <v>931</v>
      </c>
      <c r="F94" s="74"/>
      <c r="G94" s="146">
        <v>943926</v>
      </c>
      <c r="H94" s="74" t="s">
        <v>524</v>
      </c>
      <c r="I94" s="34" t="s">
        <v>21</v>
      </c>
      <c r="J94" s="37">
        <v>6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</row>
    <row r="95" spans="1:311" s="13" customFormat="1">
      <c r="A95" s="67"/>
      <c r="B95" s="16" t="s">
        <v>226</v>
      </c>
      <c r="C95" s="16" t="s">
        <v>874</v>
      </c>
      <c r="D95" s="70" t="s">
        <v>875</v>
      </c>
      <c r="E95" s="77" t="s">
        <v>932</v>
      </c>
      <c r="F95" s="74"/>
      <c r="G95" s="146">
        <v>942629</v>
      </c>
      <c r="H95" s="74" t="s">
        <v>524</v>
      </c>
      <c r="I95" s="34" t="s">
        <v>933</v>
      </c>
      <c r="J95" s="37">
        <v>2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</row>
    <row r="96" spans="1:311" s="13" customFormat="1">
      <c r="A96" s="67"/>
      <c r="B96" s="16" t="s">
        <v>226</v>
      </c>
      <c r="C96" s="16" t="s">
        <v>934</v>
      </c>
      <c r="D96" s="70" t="s">
        <v>935</v>
      </c>
      <c r="E96" s="77" t="s">
        <v>936</v>
      </c>
      <c r="F96" s="74"/>
      <c r="G96" s="146">
        <v>947321</v>
      </c>
      <c r="H96" s="74" t="s">
        <v>524</v>
      </c>
      <c r="I96" s="34" t="s">
        <v>21</v>
      </c>
      <c r="J96" s="37">
        <v>9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</row>
    <row r="97" spans="1:311" s="13" customFormat="1">
      <c r="A97" s="67"/>
      <c r="B97" s="70" t="s">
        <v>247</v>
      </c>
      <c r="C97" s="70" t="s">
        <v>682</v>
      </c>
      <c r="D97" s="70" t="s">
        <v>271</v>
      </c>
      <c r="E97" s="77" t="s">
        <v>921</v>
      </c>
      <c r="F97" s="74"/>
      <c r="G97" s="146">
        <v>944147</v>
      </c>
      <c r="H97" s="74" t="s">
        <v>524</v>
      </c>
      <c r="I97" s="34" t="s">
        <v>21</v>
      </c>
      <c r="J97" s="37">
        <v>7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</row>
    <row r="98" spans="1:311" s="13" customFormat="1" ht="18" customHeight="1">
      <c r="A98" s="67" t="s">
        <v>668</v>
      </c>
      <c r="B98" s="74" t="s">
        <v>226</v>
      </c>
      <c r="C98" s="74" t="s">
        <v>685</v>
      </c>
      <c r="D98" s="74" t="s">
        <v>686</v>
      </c>
      <c r="E98" s="77" t="s">
        <v>687</v>
      </c>
      <c r="F98" s="77" t="s">
        <v>688</v>
      </c>
      <c r="G98" s="53">
        <v>953718</v>
      </c>
      <c r="H98" s="53">
        <v>2023</v>
      </c>
      <c r="I98" s="34" t="s">
        <v>20</v>
      </c>
      <c r="J98" s="37">
        <v>1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</row>
    <row r="99" spans="1:311" s="13" customFormat="1">
      <c r="A99" s="67" t="s">
        <v>667</v>
      </c>
      <c r="B99" s="74" t="s">
        <v>247</v>
      </c>
      <c r="C99" s="74" t="s">
        <v>689</v>
      </c>
      <c r="D99" s="74" t="s">
        <v>690</v>
      </c>
      <c r="E99" s="77" t="s">
        <v>691</v>
      </c>
      <c r="F99" s="77" t="s">
        <v>692</v>
      </c>
      <c r="G99" s="53">
        <v>953743</v>
      </c>
      <c r="H99" s="53">
        <v>2023</v>
      </c>
      <c r="I99" s="34" t="s">
        <v>20</v>
      </c>
      <c r="J99" s="37">
        <v>1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</row>
    <row r="100" spans="1:311" s="13" customFormat="1">
      <c r="A100" s="67" t="s">
        <v>667</v>
      </c>
      <c r="B100" s="74" t="s">
        <v>247</v>
      </c>
      <c r="C100" s="74" t="s">
        <v>263</v>
      </c>
      <c r="D100" s="74" t="s">
        <v>264</v>
      </c>
      <c r="E100" s="74" t="s">
        <v>630</v>
      </c>
      <c r="F100" s="74"/>
      <c r="G100" s="74" t="s">
        <v>631</v>
      </c>
      <c r="H100" s="74" t="s">
        <v>524</v>
      </c>
      <c r="I100" s="6" t="s">
        <v>20</v>
      </c>
      <c r="J100" s="37">
        <v>1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</row>
    <row r="101" spans="1:311" s="13" customFormat="1">
      <c r="A101" s="87" t="s">
        <v>665</v>
      </c>
      <c r="B101" s="14" t="s">
        <v>26</v>
      </c>
      <c r="C101" s="14" t="s">
        <v>27</v>
      </c>
      <c r="D101" s="14" t="s">
        <v>28</v>
      </c>
      <c r="E101" s="129">
        <v>90726523001</v>
      </c>
      <c r="F101" s="130" t="s">
        <v>660</v>
      </c>
      <c r="G101" s="98">
        <v>946461</v>
      </c>
      <c r="H101" s="14" t="s">
        <v>524</v>
      </c>
      <c r="I101" s="11" t="s">
        <v>657</v>
      </c>
      <c r="J101" s="17">
        <v>1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</row>
    <row r="102" spans="1:311" s="13" customFormat="1">
      <c r="A102" s="87"/>
      <c r="B102" s="14"/>
      <c r="C102" s="14"/>
      <c r="D102" s="14"/>
      <c r="E102" s="129"/>
      <c r="F102" s="131"/>
      <c r="G102" s="98"/>
      <c r="H102" s="14"/>
      <c r="I102" s="18" t="s">
        <v>289</v>
      </c>
      <c r="J102" s="19">
        <v>1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</row>
    <row r="103" spans="1:311" s="13" customFormat="1">
      <c r="A103" s="87"/>
      <c r="B103" s="14"/>
      <c r="C103" s="14"/>
      <c r="D103" s="14"/>
      <c r="E103" s="129"/>
      <c r="F103" s="131"/>
      <c r="G103" s="98"/>
      <c r="H103" s="14"/>
      <c r="I103" s="18" t="s">
        <v>658</v>
      </c>
      <c r="J103" s="19">
        <v>1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</row>
    <row r="104" spans="1:311" s="13" customFormat="1">
      <c r="A104" s="87"/>
      <c r="B104" s="14"/>
      <c r="C104" s="14"/>
      <c r="D104" s="14"/>
      <c r="E104" s="129"/>
      <c r="F104" s="132"/>
      <c r="G104" s="98"/>
      <c r="H104" s="14"/>
      <c r="I104" s="18" t="s">
        <v>299</v>
      </c>
      <c r="J104" s="19">
        <v>3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</row>
    <row r="105" spans="1:311" s="13" customFormat="1">
      <c r="A105" s="87" t="s">
        <v>666</v>
      </c>
      <c r="B105" s="48" t="s">
        <v>36</v>
      </c>
      <c r="C105" s="48" t="s">
        <v>37</v>
      </c>
      <c r="D105" s="48" t="s">
        <v>661</v>
      </c>
      <c r="E105" s="28">
        <v>92848123008</v>
      </c>
      <c r="F105" s="96" t="s">
        <v>659</v>
      </c>
      <c r="G105" s="98">
        <v>943969</v>
      </c>
      <c r="H105" s="28">
        <v>2023</v>
      </c>
      <c r="I105" s="11" t="s">
        <v>21</v>
      </c>
      <c r="J105" s="17">
        <v>2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</row>
    <row r="106" spans="1:311" s="13" customFormat="1">
      <c r="A106" s="87"/>
      <c r="B106" s="126"/>
      <c r="C106" s="126"/>
      <c r="D106" s="126"/>
      <c r="E106" s="95"/>
      <c r="F106" s="127"/>
      <c r="G106" s="98"/>
      <c r="H106" s="95"/>
      <c r="I106" s="18" t="s">
        <v>299</v>
      </c>
      <c r="J106" s="19">
        <v>1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</row>
    <row r="107" spans="1:311" s="13" customFormat="1">
      <c r="A107" s="87"/>
      <c r="B107" s="92"/>
      <c r="C107" s="92"/>
      <c r="D107" s="92"/>
      <c r="E107" s="90"/>
      <c r="F107" s="94"/>
      <c r="G107" s="98"/>
      <c r="H107" s="90"/>
      <c r="I107" s="18" t="s">
        <v>289</v>
      </c>
      <c r="J107" s="19">
        <v>1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</row>
    <row r="108" spans="1:311" s="13" customFormat="1">
      <c r="A108" s="87" t="s">
        <v>667</v>
      </c>
      <c r="B108" s="98" t="s">
        <v>247</v>
      </c>
      <c r="C108" s="98" t="s">
        <v>512</v>
      </c>
      <c r="D108" s="98" t="s">
        <v>662</v>
      </c>
      <c r="E108" s="98">
        <v>97148523008</v>
      </c>
      <c r="F108" s="96" t="s">
        <v>663</v>
      </c>
      <c r="G108" s="133">
        <v>950511</v>
      </c>
      <c r="H108" s="28">
        <v>2023</v>
      </c>
      <c r="I108" s="11" t="s">
        <v>21</v>
      </c>
      <c r="J108" s="17">
        <v>10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</row>
    <row r="109" spans="1:311" s="13" customFormat="1">
      <c r="A109" s="87"/>
      <c r="B109" s="98"/>
      <c r="C109" s="98"/>
      <c r="D109" s="98"/>
      <c r="E109" s="98"/>
      <c r="F109" s="127"/>
      <c r="G109" s="134"/>
      <c r="H109" s="95"/>
      <c r="I109" s="18" t="s">
        <v>299</v>
      </c>
      <c r="J109" s="19">
        <v>2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</row>
    <row r="110" spans="1:311" s="13" customFormat="1">
      <c r="A110" s="87"/>
      <c r="B110" s="98"/>
      <c r="C110" s="98"/>
      <c r="D110" s="98"/>
      <c r="E110" s="98"/>
      <c r="F110" s="127"/>
      <c r="G110" s="134"/>
      <c r="H110" s="95"/>
      <c r="I110" s="18" t="s">
        <v>289</v>
      </c>
      <c r="J110" s="19">
        <v>2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</row>
    <row r="111" spans="1:311" s="13" customFormat="1">
      <c r="A111" s="87"/>
      <c r="B111" s="98"/>
      <c r="C111" s="98"/>
      <c r="D111" s="98"/>
      <c r="E111" s="98"/>
      <c r="F111" s="94"/>
      <c r="G111" s="99"/>
      <c r="H111" s="90"/>
      <c r="I111" s="18" t="s">
        <v>564</v>
      </c>
      <c r="J111" s="19">
        <v>1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</row>
    <row r="112" spans="1:311" s="13" customFormat="1">
      <c r="A112" s="67" t="s">
        <v>666</v>
      </c>
      <c r="B112" s="107" t="s">
        <v>36</v>
      </c>
      <c r="C112" s="107" t="s">
        <v>37</v>
      </c>
      <c r="D112" s="107" t="s">
        <v>746</v>
      </c>
      <c r="E112" s="108" t="s">
        <v>745</v>
      </c>
      <c r="F112" s="50" t="s">
        <v>747</v>
      </c>
      <c r="G112" s="109" t="s">
        <v>703</v>
      </c>
      <c r="H112" s="68"/>
      <c r="I112" s="11" t="s">
        <v>289</v>
      </c>
      <c r="J112" s="17">
        <v>1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</row>
    <row r="113" spans="1:311" s="3" customFormat="1">
      <c r="A113" s="67" t="s">
        <v>665</v>
      </c>
      <c r="B113" s="74" t="s">
        <v>9</v>
      </c>
      <c r="C113" s="74" t="s">
        <v>704</v>
      </c>
      <c r="D113" s="74" t="s">
        <v>11</v>
      </c>
      <c r="E113" s="74" t="s">
        <v>13</v>
      </c>
      <c r="F113" s="74" t="s">
        <v>15</v>
      </c>
      <c r="G113" s="74" t="s">
        <v>17</v>
      </c>
      <c r="H113" s="74" t="s">
        <v>19</v>
      </c>
      <c r="I113" s="6" t="s">
        <v>20</v>
      </c>
      <c r="J113" s="35">
        <v>1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</row>
    <row r="114" spans="1:311" s="3" customFormat="1">
      <c r="A114" s="67" t="s">
        <v>665</v>
      </c>
      <c r="B114" s="74" t="s">
        <v>9</v>
      </c>
      <c r="C114" s="74" t="s">
        <v>10</v>
      </c>
      <c r="D114" s="74" t="s">
        <v>12</v>
      </c>
      <c r="E114" s="74" t="s">
        <v>14</v>
      </c>
      <c r="F114" s="74" t="s">
        <v>16</v>
      </c>
      <c r="G114" s="74" t="s">
        <v>18</v>
      </c>
      <c r="H114" s="74" t="s">
        <v>19</v>
      </c>
      <c r="I114" s="11" t="s">
        <v>21</v>
      </c>
      <c r="J114" s="17">
        <v>2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</row>
    <row r="115" spans="1:311" s="3" customFormat="1">
      <c r="A115" s="67" t="s">
        <v>665</v>
      </c>
      <c r="B115" s="74" t="s">
        <v>9</v>
      </c>
      <c r="C115" s="74" t="s">
        <v>10</v>
      </c>
      <c r="D115" s="74" t="s">
        <v>22</v>
      </c>
      <c r="E115" s="74" t="s">
        <v>23</v>
      </c>
      <c r="F115" s="74" t="s">
        <v>24</v>
      </c>
      <c r="G115" s="74" t="s">
        <v>25</v>
      </c>
      <c r="H115" s="74" t="s">
        <v>19</v>
      </c>
      <c r="I115" s="11" t="s">
        <v>21</v>
      </c>
      <c r="J115" s="17">
        <v>2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</row>
    <row r="116" spans="1:311" s="3" customFormat="1">
      <c r="A116" s="67" t="s">
        <v>665</v>
      </c>
      <c r="B116" s="74" t="s">
        <v>26</v>
      </c>
      <c r="C116" s="74" t="s">
        <v>27</v>
      </c>
      <c r="D116" s="74" t="s">
        <v>28</v>
      </c>
      <c r="E116" s="74" t="s">
        <v>29</v>
      </c>
      <c r="F116" s="74" t="s">
        <v>30</v>
      </c>
      <c r="G116" s="74" t="s">
        <v>31</v>
      </c>
      <c r="H116" s="74" t="s">
        <v>19</v>
      </c>
      <c r="I116" s="11" t="s">
        <v>21</v>
      </c>
      <c r="J116" s="17">
        <v>30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</row>
    <row r="117" spans="1:311" s="3" customFormat="1">
      <c r="A117" s="67" t="s">
        <v>665</v>
      </c>
      <c r="B117" s="74" t="s">
        <v>26</v>
      </c>
      <c r="C117" s="74" t="s">
        <v>32</v>
      </c>
      <c r="D117" s="74" t="s">
        <v>33</v>
      </c>
      <c r="E117" s="74" t="s">
        <v>34</v>
      </c>
      <c r="F117" s="74"/>
      <c r="G117" s="74" t="s">
        <v>35</v>
      </c>
      <c r="H117" s="74" t="s">
        <v>19</v>
      </c>
      <c r="I117" s="12" t="s">
        <v>289</v>
      </c>
      <c r="J117" s="17">
        <v>1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</row>
    <row r="118" spans="1:311" s="3" customFormat="1">
      <c r="A118" s="67" t="s">
        <v>666</v>
      </c>
      <c r="B118" s="74" t="s">
        <v>36</v>
      </c>
      <c r="C118" s="74" t="s">
        <v>37</v>
      </c>
      <c r="D118" s="74" t="s">
        <v>38</v>
      </c>
      <c r="E118" s="74" t="s">
        <v>39</v>
      </c>
      <c r="F118" s="74"/>
      <c r="G118" s="74" t="s">
        <v>41</v>
      </c>
      <c r="H118" s="74" t="s">
        <v>19</v>
      </c>
      <c r="I118" s="11" t="s">
        <v>21</v>
      </c>
      <c r="J118" s="17">
        <v>23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</row>
    <row r="119" spans="1:311" s="3" customFormat="1">
      <c r="A119" s="67" t="s">
        <v>666</v>
      </c>
      <c r="B119" s="74" t="s">
        <v>36</v>
      </c>
      <c r="C119" s="74" t="s">
        <v>37</v>
      </c>
      <c r="D119" s="74" t="s">
        <v>38</v>
      </c>
      <c r="E119" s="74" t="s">
        <v>40</v>
      </c>
      <c r="F119" s="74"/>
      <c r="G119" s="74" t="s">
        <v>41</v>
      </c>
      <c r="H119" s="74" t="s">
        <v>19</v>
      </c>
      <c r="I119" s="11" t="s">
        <v>21</v>
      </c>
      <c r="J119" s="17">
        <v>2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</row>
    <row r="120" spans="1:311">
      <c r="A120" s="87" t="s">
        <v>666</v>
      </c>
      <c r="B120" s="14" t="s">
        <v>36</v>
      </c>
      <c r="C120" s="14" t="s">
        <v>37</v>
      </c>
      <c r="D120" s="14" t="s">
        <v>38</v>
      </c>
      <c r="E120" s="14" t="s">
        <v>42</v>
      </c>
      <c r="F120" s="14"/>
      <c r="G120" s="14" t="s">
        <v>43</v>
      </c>
      <c r="H120" s="14" t="s">
        <v>19</v>
      </c>
      <c r="I120" s="11" t="s">
        <v>21</v>
      </c>
      <c r="J120" s="17">
        <v>2</v>
      </c>
    </row>
    <row r="121" spans="1:311">
      <c r="A121" s="87"/>
      <c r="B121" s="14"/>
      <c r="C121" s="14"/>
      <c r="D121" s="14"/>
      <c r="E121" s="14"/>
      <c r="F121" s="14"/>
      <c r="G121" s="14"/>
      <c r="H121" s="14"/>
      <c r="I121" s="18" t="s">
        <v>300</v>
      </c>
      <c r="J121" s="19">
        <v>1</v>
      </c>
    </row>
    <row r="122" spans="1:311" s="3" customFormat="1">
      <c r="A122" s="67" t="s">
        <v>666</v>
      </c>
      <c r="B122" s="74" t="s">
        <v>36</v>
      </c>
      <c r="C122" s="74" t="s">
        <v>37</v>
      </c>
      <c r="D122" s="74" t="s">
        <v>44</v>
      </c>
      <c r="E122" s="74" t="s">
        <v>45</v>
      </c>
      <c r="F122" s="74" t="s">
        <v>47</v>
      </c>
      <c r="G122" s="74" t="s">
        <v>49</v>
      </c>
      <c r="H122" s="74" t="s">
        <v>19</v>
      </c>
      <c r="I122" s="6" t="s">
        <v>343</v>
      </c>
      <c r="J122" s="17">
        <v>1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</row>
    <row r="123" spans="1:311" s="3" customFormat="1">
      <c r="A123" s="67" t="s">
        <v>666</v>
      </c>
      <c r="B123" s="74" t="s">
        <v>36</v>
      </c>
      <c r="C123" s="74" t="s">
        <v>37</v>
      </c>
      <c r="D123" s="74" t="s">
        <v>44</v>
      </c>
      <c r="E123" s="74" t="s">
        <v>46</v>
      </c>
      <c r="F123" s="74" t="s">
        <v>48</v>
      </c>
      <c r="G123" s="74" t="s">
        <v>50</v>
      </c>
      <c r="H123" s="74" t="s">
        <v>19</v>
      </c>
      <c r="I123" s="11" t="s">
        <v>21</v>
      </c>
      <c r="J123" s="17">
        <v>33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  <c r="KS123" s="7"/>
      <c r="KT123" s="7"/>
      <c r="KU123" s="7"/>
      <c r="KV123" s="7"/>
      <c r="KW123" s="7"/>
      <c r="KX123" s="7"/>
      <c r="KY123" s="7"/>
    </row>
    <row r="124" spans="1:311" s="3" customFormat="1">
      <c r="A124" s="67" t="s">
        <v>667</v>
      </c>
      <c r="B124" s="74" t="s">
        <v>51</v>
      </c>
      <c r="C124" s="74" t="s">
        <v>52</v>
      </c>
      <c r="D124" s="74" t="s">
        <v>53</v>
      </c>
      <c r="E124" s="74" t="s">
        <v>54</v>
      </c>
      <c r="F124" s="74" t="s">
        <v>58</v>
      </c>
      <c r="G124" s="74" t="s">
        <v>62</v>
      </c>
      <c r="H124" s="74" t="s">
        <v>19</v>
      </c>
      <c r="I124" s="11" t="s">
        <v>21</v>
      </c>
      <c r="J124" s="17">
        <v>3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</row>
    <row r="125" spans="1:311" s="3" customFormat="1">
      <c r="A125" s="67" t="s">
        <v>667</v>
      </c>
      <c r="B125" s="74" t="s">
        <v>51</v>
      </c>
      <c r="C125" s="74" t="s">
        <v>52</v>
      </c>
      <c r="D125" s="74" t="s">
        <v>53</v>
      </c>
      <c r="E125" s="74" t="s">
        <v>55</v>
      </c>
      <c r="F125" s="74" t="s">
        <v>59</v>
      </c>
      <c r="G125" s="74" t="s">
        <v>63</v>
      </c>
      <c r="H125" s="74" t="s">
        <v>19</v>
      </c>
      <c r="I125" s="11" t="s">
        <v>21</v>
      </c>
      <c r="J125" s="17">
        <v>2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  <c r="KS125" s="7"/>
      <c r="KT125" s="7"/>
      <c r="KU125" s="7"/>
      <c r="KV125" s="7"/>
      <c r="KW125" s="7"/>
      <c r="KX125" s="7"/>
      <c r="KY125" s="7"/>
    </row>
    <row r="126" spans="1:311" s="15" customFormat="1">
      <c r="A126" s="67" t="s">
        <v>665</v>
      </c>
      <c r="B126" s="74" t="s">
        <v>586</v>
      </c>
      <c r="C126" s="74" t="s">
        <v>587</v>
      </c>
      <c r="D126" s="74" t="s">
        <v>742</v>
      </c>
      <c r="E126" s="77" t="s">
        <v>743</v>
      </c>
      <c r="F126" s="77" t="s">
        <v>744</v>
      </c>
      <c r="G126" s="53">
        <v>943920</v>
      </c>
      <c r="H126" s="74" t="s">
        <v>19</v>
      </c>
      <c r="I126" s="11" t="s">
        <v>289</v>
      </c>
      <c r="J126" s="17">
        <v>1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7"/>
      <c r="KU126" s="7"/>
      <c r="KV126" s="7"/>
      <c r="KW126" s="7"/>
      <c r="KX126" s="7"/>
      <c r="KY126" s="7"/>
    </row>
    <row r="127" spans="1:311" s="3" customFormat="1">
      <c r="A127" s="67" t="s">
        <v>667</v>
      </c>
      <c r="B127" s="74" t="s">
        <v>51</v>
      </c>
      <c r="C127" s="74" t="s">
        <v>52</v>
      </c>
      <c r="D127" s="74" t="s">
        <v>53</v>
      </c>
      <c r="E127" s="74" t="s">
        <v>56</v>
      </c>
      <c r="F127" s="74" t="s">
        <v>60</v>
      </c>
      <c r="G127" s="74" t="s">
        <v>64</v>
      </c>
      <c r="H127" s="74" t="s">
        <v>19</v>
      </c>
      <c r="I127" s="11" t="s">
        <v>21</v>
      </c>
      <c r="J127" s="17">
        <v>3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  <c r="KS127" s="7"/>
      <c r="KT127" s="7"/>
      <c r="KU127" s="7"/>
      <c r="KV127" s="7"/>
      <c r="KW127" s="7"/>
      <c r="KX127" s="7"/>
      <c r="KY127" s="7"/>
    </row>
    <row r="128" spans="1:311" s="3" customFormat="1">
      <c r="A128" s="87" t="s">
        <v>667</v>
      </c>
      <c r="B128" s="14" t="s">
        <v>51</v>
      </c>
      <c r="C128" s="30" t="s">
        <v>52</v>
      </c>
      <c r="D128" s="14" t="s">
        <v>53</v>
      </c>
      <c r="E128" s="14" t="s">
        <v>57</v>
      </c>
      <c r="F128" s="14" t="s">
        <v>61</v>
      </c>
      <c r="G128" s="14" t="s">
        <v>65</v>
      </c>
      <c r="H128" s="14" t="s">
        <v>19</v>
      </c>
      <c r="I128" s="11" t="s">
        <v>21</v>
      </c>
      <c r="J128" s="17">
        <v>2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  <c r="KS128" s="7"/>
      <c r="KT128" s="7"/>
      <c r="KU128" s="7"/>
      <c r="KV128" s="7"/>
      <c r="KW128" s="7"/>
      <c r="KX128" s="7"/>
      <c r="KY128" s="7"/>
    </row>
    <row r="129" spans="1:311" s="2" customFormat="1">
      <c r="A129" s="87"/>
      <c r="B129" s="14"/>
      <c r="C129" s="135"/>
      <c r="D129" s="14"/>
      <c r="E129" s="14"/>
      <c r="F129" s="14"/>
      <c r="G129" s="14"/>
      <c r="H129" s="14"/>
      <c r="I129" s="18" t="s">
        <v>289</v>
      </c>
      <c r="J129" s="19">
        <v>1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  <c r="KS129" s="7"/>
      <c r="KT129" s="7"/>
      <c r="KU129" s="7"/>
      <c r="KV129" s="7"/>
      <c r="KW129" s="7"/>
      <c r="KX129" s="7"/>
      <c r="KY129" s="7"/>
    </row>
    <row r="130" spans="1:311" s="3" customFormat="1">
      <c r="A130" s="67" t="s">
        <v>666</v>
      </c>
      <c r="B130" s="74" t="s">
        <v>66</v>
      </c>
      <c r="C130" s="74" t="s">
        <v>67</v>
      </c>
      <c r="D130" s="74" t="s">
        <v>68</v>
      </c>
      <c r="E130" s="74" t="s">
        <v>69</v>
      </c>
      <c r="F130" s="74" t="s">
        <v>71</v>
      </c>
      <c r="G130" s="74" t="s">
        <v>73</v>
      </c>
      <c r="H130" s="74" t="s">
        <v>19</v>
      </c>
      <c r="I130" s="11" t="s">
        <v>21</v>
      </c>
      <c r="J130" s="17">
        <v>27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</row>
    <row r="131" spans="1:311" s="3" customFormat="1">
      <c r="A131" s="67" t="s">
        <v>666</v>
      </c>
      <c r="B131" s="74" t="s">
        <v>66</v>
      </c>
      <c r="C131" s="74" t="s">
        <v>67</v>
      </c>
      <c r="D131" s="74" t="s">
        <v>68</v>
      </c>
      <c r="E131" s="74" t="s">
        <v>70</v>
      </c>
      <c r="F131" s="74" t="s">
        <v>72</v>
      </c>
      <c r="G131" s="74" t="s">
        <v>74</v>
      </c>
      <c r="H131" s="74" t="s">
        <v>19</v>
      </c>
      <c r="I131" s="11" t="s">
        <v>21</v>
      </c>
      <c r="J131" s="17">
        <v>13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7"/>
      <c r="KS131" s="7"/>
      <c r="KT131" s="7"/>
      <c r="KU131" s="7"/>
      <c r="KV131" s="7"/>
      <c r="KW131" s="7"/>
      <c r="KX131" s="7"/>
      <c r="KY131" s="7"/>
    </row>
    <row r="132" spans="1:311">
      <c r="A132" s="67" t="s">
        <v>666</v>
      </c>
      <c r="B132" s="74" t="s">
        <v>66</v>
      </c>
      <c r="C132" s="80" t="s">
        <v>67</v>
      </c>
      <c r="D132" s="74" t="s">
        <v>75</v>
      </c>
      <c r="E132" s="74" t="s">
        <v>76</v>
      </c>
      <c r="F132" s="74"/>
      <c r="G132" s="74" t="s">
        <v>77</v>
      </c>
      <c r="H132" s="74" t="s">
        <v>19</v>
      </c>
      <c r="I132" s="11" t="s">
        <v>289</v>
      </c>
      <c r="J132" s="17">
        <v>1</v>
      </c>
    </row>
    <row r="133" spans="1:311" s="2" customFormat="1">
      <c r="A133" s="67" t="s">
        <v>667</v>
      </c>
      <c r="B133" s="74" t="s">
        <v>78</v>
      </c>
      <c r="C133" s="74" t="s">
        <v>79</v>
      </c>
      <c r="D133" s="74" t="s">
        <v>80</v>
      </c>
      <c r="E133" s="74" t="s">
        <v>81</v>
      </c>
      <c r="F133" s="74" t="s">
        <v>82</v>
      </c>
      <c r="G133" s="74" t="s">
        <v>83</v>
      </c>
      <c r="H133" s="74" t="s">
        <v>19</v>
      </c>
      <c r="I133" s="11" t="s">
        <v>21</v>
      </c>
      <c r="J133" s="17">
        <v>10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  <c r="KT133" s="7"/>
      <c r="KU133" s="7"/>
      <c r="KV133" s="7"/>
      <c r="KW133" s="7"/>
      <c r="KX133" s="7"/>
      <c r="KY133" s="7"/>
    </row>
    <row r="134" spans="1:311" s="2" customFormat="1">
      <c r="A134" s="67" t="s">
        <v>666</v>
      </c>
      <c r="B134" s="74" t="s">
        <v>84</v>
      </c>
      <c r="C134" s="74" t="s">
        <v>85</v>
      </c>
      <c r="D134" s="74" t="s">
        <v>86</v>
      </c>
      <c r="E134" s="74" t="s">
        <v>87</v>
      </c>
      <c r="F134" s="74" t="s">
        <v>89</v>
      </c>
      <c r="G134" s="74" t="s">
        <v>91</v>
      </c>
      <c r="H134" s="74" t="s">
        <v>19</v>
      </c>
      <c r="I134" s="6" t="s">
        <v>20</v>
      </c>
      <c r="J134" s="35">
        <v>1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</row>
    <row r="135" spans="1:311">
      <c r="A135" s="87" t="s">
        <v>666</v>
      </c>
      <c r="B135" s="14" t="s">
        <v>84</v>
      </c>
      <c r="C135" s="14" t="s">
        <v>85</v>
      </c>
      <c r="D135" s="14" t="s">
        <v>86</v>
      </c>
      <c r="E135" s="14" t="s">
        <v>88</v>
      </c>
      <c r="F135" s="14" t="s">
        <v>90</v>
      </c>
      <c r="G135" s="14" t="s">
        <v>92</v>
      </c>
      <c r="H135" s="14" t="s">
        <v>19</v>
      </c>
      <c r="I135" s="11" t="s">
        <v>21</v>
      </c>
      <c r="J135" s="17">
        <v>1</v>
      </c>
    </row>
    <row r="136" spans="1:311">
      <c r="A136" s="87"/>
      <c r="B136" s="14"/>
      <c r="C136" s="14"/>
      <c r="D136" s="14"/>
      <c r="E136" s="14"/>
      <c r="F136" s="14"/>
      <c r="G136" s="14"/>
      <c r="H136" s="14"/>
      <c r="I136" s="5" t="s">
        <v>299</v>
      </c>
      <c r="J136" s="19">
        <v>1</v>
      </c>
    </row>
    <row r="137" spans="1:311">
      <c r="A137" s="87" t="s">
        <v>666</v>
      </c>
      <c r="B137" s="14" t="s">
        <v>93</v>
      </c>
      <c r="C137" s="14" t="s">
        <v>94</v>
      </c>
      <c r="D137" s="14" t="s">
        <v>95</v>
      </c>
      <c r="E137" s="14" t="s">
        <v>96</v>
      </c>
      <c r="F137" s="14" t="s">
        <v>98</v>
      </c>
      <c r="G137" s="14" t="s">
        <v>100</v>
      </c>
      <c r="H137" s="14" t="s">
        <v>19</v>
      </c>
      <c r="I137" s="11" t="s">
        <v>21</v>
      </c>
      <c r="J137" s="17">
        <v>115</v>
      </c>
    </row>
    <row r="138" spans="1:311">
      <c r="A138" s="87"/>
      <c r="B138" s="14"/>
      <c r="C138" s="14"/>
      <c r="D138" s="14"/>
      <c r="E138" s="14"/>
      <c r="F138" s="14"/>
      <c r="G138" s="14"/>
      <c r="H138" s="14"/>
      <c r="I138" s="5" t="s">
        <v>299</v>
      </c>
      <c r="J138" s="19">
        <v>1</v>
      </c>
    </row>
    <row r="139" spans="1:311">
      <c r="A139" s="87" t="s">
        <v>666</v>
      </c>
      <c r="B139" s="14" t="s">
        <v>93</v>
      </c>
      <c r="C139" s="14" t="s">
        <v>94</v>
      </c>
      <c r="D139" s="14" t="s">
        <v>95</v>
      </c>
      <c r="E139" s="14" t="s">
        <v>97</v>
      </c>
      <c r="F139" s="14" t="s">
        <v>99</v>
      </c>
      <c r="G139" s="14" t="s">
        <v>101</v>
      </c>
      <c r="H139" s="14" t="s">
        <v>19</v>
      </c>
      <c r="I139" s="25" t="s">
        <v>21</v>
      </c>
      <c r="J139" s="17">
        <v>551</v>
      </c>
    </row>
    <row r="140" spans="1:311">
      <c r="A140" s="87"/>
      <c r="B140" s="14"/>
      <c r="C140" s="14"/>
      <c r="D140" s="14"/>
      <c r="E140" s="14"/>
      <c r="F140" s="14"/>
      <c r="G140" s="14"/>
      <c r="H140" s="14"/>
      <c r="I140" s="18" t="s">
        <v>290</v>
      </c>
      <c r="J140" s="19">
        <v>1</v>
      </c>
    </row>
    <row r="141" spans="1:311">
      <c r="A141" s="87"/>
      <c r="B141" s="14"/>
      <c r="C141" s="14"/>
      <c r="D141" s="14"/>
      <c r="E141" s="14"/>
      <c r="F141" s="14"/>
      <c r="G141" s="14"/>
      <c r="H141" s="14"/>
      <c r="I141" s="18" t="s">
        <v>289</v>
      </c>
      <c r="J141" s="19">
        <v>1</v>
      </c>
    </row>
    <row r="142" spans="1:311">
      <c r="A142" s="87"/>
      <c r="B142" s="14"/>
      <c r="C142" s="14"/>
      <c r="D142" s="14"/>
      <c r="E142" s="14"/>
      <c r="F142" s="14"/>
      <c r="G142" s="14"/>
      <c r="H142" s="14"/>
      <c r="I142" s="5" t="s">
        <v>299</v>
      </c>
      <c r="J142" s="19">
        <v>1</v>
      </c>
    </row>
    <row r="143" spans="1:311">
      <c r="A143" s="87" t="s">
        <v>665</v>
      </c>
      <c r="B143" s="14" t="s">
        <v>102</v>
      </c>
      <c r="C143" s="14" t="s">
        <v>103</v>
      </c>
      <c r="D143" s="14" t="s">
        <v>104</v>
      </c>
      <c r="E143" s="14" t="s">
        <v>105</v>
      </c>
      <c r="F143" s="14" t="s">
        <v>109</v>
      </c>
      <c r="G143" s="14" t="s">
        <v>113</v>
      </c>
      <c r="H143" s="14" t="s">
        <v>19</v>
      </c>
      <c r="I143" s="11" t="s">
        <v>21</v>
      </c>
      <c r="J143" s="17">
        <v>4</v>
      </c>
    </row>
    <row r="144" spans="1:311">
      <c r="A144" s="87"/>
      <c r="B144" s="14"/>
      <c r="C144" s="14"/>
      <c r="D144" s="14"/>
      <c r="E144" s="14"/>
      <c r="F144" s="14"/>
      <c r="G144" s="14"/>
      <c r="H144" s="14"/>
      <c r="I144" s="18" t="s">
        <v>291</v>
      </c>
      <c r="J144" s="19">
        <v>1</v>
      </c>
    </row>
    <row r="145" spans="1:10" ht="26.25" customHeight="1">
      <c r="A145" s="67" t="s">
        <v>665</v>
      </c>
      <c r="B145" s="74" t="s">
        <v>102</v>
      </c>
      <c r="C145" s="74" t="s">
        <v>103</v>
      </c>
      <c r="D145" s="74" t="s">
        <v>104</v>
      </c>
      <c r="E145" s="74" t="s">
        <v>106</v>
      </c>
      <c r="F145" s="74" t="s">
        <v>110</v>
      </c>
      <c r="G145" s="74" t="s">
        <v>114</v>
      </c>
      <c r="H145" s="74" t="s">
        <v>19</v>
      </c>
      <c r="I145" s="20" t="s">
        <v>635</v>
      </c>
      <c r="J145" s="17" t="s">
        <v>292</v>
      </c>
    </row>
    <row r="146" spans="1:10" ht="27" customHeight="1">
      <c r="A146" s="67" t="s">
        <v>665</v>
      </c>
      <c r="B146" s="74" t="s">
        <v>102</v>
      </c>
      <c r="C146" s="74" t="s">
        <v>103</v>
      </c>
      <c r="D146" s="74" t="s">
        <v>104</v>
      </c>
      <c r="E146" s="74" t="s">
        <v>107</v>
      </c>
      <c r="F146" s="74" t="s">
        <v>111</v>
      </c>
      <c r="G146" s="74" t="s">
        <v>115</v>
      </c>
      <c r="H146" s="74" t="s">
        <v>19</v>
      </c>
      <c r="I146" s="20" t="s">
        <v>293</v>
      </c>
      <c r="J146" s="17" t="s">
        <v>294</v>
      </c>
    </row>
    <row r="147" spans="1:10" ht="26.25" customHeight="1">
      <c r="A147" s="67" t="s">
        <v>665</v>
      </c>
      <c r="B147" s="74" t="s">
        <v>102</v>
      </c>
      <c r="C147" s="74" t="s">
        <v>103</v>
      </c>
      <c r="D147" s="74" t="s">
        <v>104</v>
      </c>
      <c r="E147" s="74" t="s">
        <v>108</v>
      </c>
      <c r="F147" s="74" t="s">
        <v>112</v>
      </c>
      <c r="G147" s="74" t="s">
        <v>116</v>
      </c>
      <c r="H147" s="74" t="s">
        <v>19</v>
      </c>
      <c r="I147" s="20" t="s">
        <v>295</v>
      </c>
      <c r="J147" s="17" t="s">
        <v>296</v>
      </c>
    </row>
    <row r="148" spans="1:10">
      <c r="A148" s="87" t="s">
        <v>665</v>
      </c>
      <c r="B148" s="14" t="s">
        <v>102</v>
      </c>
      <c r="C148" s="30" t="s">
        <v>117</v>
      </c>
      <c r="D148" s="14" t="s">
        <v>118</v>
      </c>
      <c r="E148" s="14" t="s">
        <v>119</v>
      </c>
      <c r="F148" s="14" t="s">
        <v>122</v>
      </c>
      <c r="G148" s="14" t="s">
        <v>125</v>
      </c>
      <c r="H148" s="14" t="s">
        <v>19</v>
      </c>
      <c r="I148" s="11" t="s">
        <v>21</v>
      </c>
      <c r="J148" s="17">
        <v>2</v>
      </c>
    </row>
    <row r="149" spans="1:10">
      <c r="A149" s="87"/>
      <c r="B149" s="14"/>
      <c r="C149" s="136"/>
      <c r="D149" s="14"/>
      <c r="E149" s="14"/>
      <c r="F149" s="14"/>
      <c r="G149" s="14"/>
      <c r="H149" s="14"/>
      <c r="I149" s="18" t="s">
        <v>289</v>
      </c>
      <c r="J149" s="19">
        <v>2</v>
      </c>
    </row>
    <row r="150" spans="1:10">
      <c r="A150" s="87" t="s">
        <v>665</v>
      </c>
      <c r="B150" s="14" t="s">
        <v>102</v>
      </c>
      <c r="C150" s="14" t="s">
        <v>117</v>
      </c>
      <c r="D150" s="14" t="s">
        <v>118</v>
      </c>
      <c r="E150" s="14" t="s">
        <v>120</v>
      </c>
      <c r="F150" s="14" t="s">
        <v>123</v>
      </c>
      <c r="G150" s="14" t="s">
        <v>126</v>
      </c>
      <c r="H150" s="14" t="s">
        <v>19</v>
      </c>
      <c r="I150" s="11" t="s">
        <v>21</v>
      </c>
      <c r="J150" s="17">
        <v>2</v>
      </c>
    </row>
    <row r="151" spans="1:10">
      <c r="A151" s="87"/>
      <c r="B151" s="14"/>
      <c r="C151" s="14"/>
      <c r="D151" s="14"/>
      <c r="E151" s="14"/>
      <c r="F151" s="14"/>
      <c r="G151" s="14"/>
      <c r="H151" s="14"/>
      <c r="I151" s="18" t="s">
        <v>297</v>
      </c>
      <c r="J151" s="19">
        <v>1</v>
      </c>
    </row>
    <row r="152" spans="1:10" ht="51.75" customHeight="1">
      <c r="A152" s="67" t="s">
        <v>665</v>
      </c>
      <c r="B152" s="74" t="s">
        <v>102</v>
      </c>
      <c r="C152" s="74" t="s">
        <v>117</v>
      </c>
      <c r="D152" s="74" t="s">
        <v>118</v>
      </c>
      <c r="E152" s="74" t="s">
        <v>121</v>
      </c>
      <c r="F152" s="74" t="s">
        <v>124</v>
      </c>
      <c r="G152" s="74" t="s">
        <v>127</v>
      </c>
      <c r="H152" s="74" t="s">
        <v>19</v>
      </c>
      <c r="I152" s="20" t="s">
        <v>648</v>
      </c>
      <c r="J152" s="17" t="s">
        <v>298</v>
      </c>
    </row>
    <row r="153" spans="1:10">
      <c r="A153" s="87" t="s">
        <v>665</v>
      </c>
      <c r="B153" s="14" t="s">
        <v>102</v>
      </c>
      <c r="C153" s="14" t="s">
        <v>117</v>
      </c>
      <c r="D153" s="14" t="s">
        <v>75</v>
      </c>
      <c r="E153" s="14" t="s">
        <v>128</v>
      </c>
      <c r="F153" s="14"/>
      <c r="G153" s="14" t="s">
        <v>129</v>
      </c>
      <c r="H153" s="14" t="s">
        <v>19</v>
      </c>
      <c r="I153" s="11" t="s">
        <v>21</v>
      </c>
      <c r="J153" s="17">
        <v>13</v>
      </c>
    </row>
    <row r="154" spans="1:10">
      <c r="A154" s="87"/>
      <c r="B154" s="14"/>
      <c r="C154" s="14"/>
      <c r="D154" s="14"/>
      <c r="E154" s="14"/>
      <c r="F154" s="14"/>
      <c r="G154" s="14"/>
      <c r="H154" s="14"/>
      <c r="I154" s="18" t="s">
        <v>289</v>
      </c>
      <c r="J154" s="19">
        <v>1</v>
      </c>
    </row>
    <row r="155" spans="1:10">
      <c r="A155" s="87"/>
      <c r="B155" s="14"/>
      <c r="C155" s="14"/>
      <c r="D155" s="14"/>
      <c r="E155" s="14"/>
      <c r="F155" s="14"/>
      <c r="G155" s="14"/>
      <c r="H155" s="14"/>
      <c r="I155" s="5" t="s">
        <v>299</v>
      </c>
      <c r="J155" s="19">
        <v>1</v>
      </c>
    </row>
    <row r="156" spans="1:10">
      <c r="A156" s="87" t="s">
        <v>665</v>
      </c>
      <c r="B156" s="14" t="s">
        <v>130</v>
      </c>
      <c r="C156" s="14" t="s">
        <v>131</v>
      </c>
      <c r="D156" s="14" t="s">
        <v>132</v>
      </c>
      <c r="E156" s="14" t="s">
        <v>133</v>
      </c>
      <c r="F156" s="14" t="s">
        <v>134</v>
      </c>
      <c r="G156" s="14" t="s">
        <v>135</v>
      </c>
      <c r="H156" s="14" t="s">
        <v>19</v>
      </c>
      <c r="I156" s="11" t="s">
        <v>21</v>
      </c>
      <c r="J156" s="17">
        <v>3</v>
      </c>
    </row>
    <row r="157" spans="1:10">
      <c r="A157" s="87"/>
      <c r="B157" s="14"/>
      <c r="C157" s="14"/>
      <c r="D157" s="14"/>
      <c r="E157" s="14"/>
      <c r="F157" s="14"/>
      <c r="G157" s="14"/>
      <c r="H157" s="14"/>
      <c r="I157" s="5" t="s">
        <v>299</v>
      </c>
      <c r="J157" s="19">
        <v>4</v>
      </c>
    </row>
    <row r="158" spans="1:10">
      <c r="A158" s="67" t="s">
        <v>665</v>
      </c>
      <c r="B158" s="74" t="s">
        <v>130</v>
      </c>
      <c r="C158" s="74" t="s">
        <v>131</v>
      </c>
      <c r="D158" s="74" t="s">
        <v>136</v>
      </c>
      <c r="E158" s="74" t="s">
        <v>137</v>
      </c>
      <c r="F158" s="74" t="s">
        <v>141</v>
      </c>
      <c r="G158" s="74" t="s">
        <v>145</v>
      </c>
      <c r="H158" s="74" t="s">
        <v>19</v>
      </c>
      <c r="I158" s="11" t="s">
        <v>21</v>
      </c>
      <c r="J158" s="17">
        <v>39</v>
      </c>
    </row>
    <row r="159" spans="1:10">
      <c r="A159" s="87" t="s">
        <v>665</v>
      </c>
      <c r="B159" s="14" t="s">
        <v>130</v>
      </c>
      <c r="C159" s="14" t="s">
        <v>131</v>
      </c>
      <c r="D159" s="14" t="s">
        <v>136</v>
      </c>
      <c r="E159" s="14" t="s">
        <v>138</v>
      </c>
      <c r="F159" s="14" t="s">
        <v>142</v>
      </c>
      <c r="G159" s="14" t="s">
        <v>146</v>
      </c>
      <c r="H159" s="14" t="s">
        <v>19</v>
      </c>
      <c r="I159" s="11" t="s">
        <v>21</v>
      </c>
      <c r="J159" s="17">
        <v>36</v>
      </c>
    </row>
    <row r="160" spans="1:10">
      <c r="A160" s="87"/>
      <c r="B160" s="14"/>
      <c r="C160" s="14"/>
      <c r="D160" s="14"/>
      <c r="E160" s="14"/>
      <c r="F160" s="14"/>
      <c r="G160" s="14"/>
      <c r="H160" s="14"/>
      <c r="I160" s="18" t="s">
        <v>300</v>
      </c>
      <c r="J160" s="19">
        <v>1</v>
      </c>
    </row>
    <row r="161" spans="1:311">
      <c r="A161" s="67" t="s">
        <v>665</v>
      </c>
      <c r="B161" s="74" t="s">
        <v>130</v>
      </c>
      <c r="C161" s="74" t="s">
        <v>131</v>
      </c>
      <c r="D161" s="74" t="s">
        <v>136</v>
      </c>
      <c r="E161" s="74" t="s">
        <v>139</v>
      </c>
      <c r="F161" s="74" t="s">
        <v>143</v>
      </c>
      <c r="G161" s="74" t="s">
        <v>147</v>
      </c>
      <c r="H161" s="74" t="s">
        <v>19</v>
      </c>
      <c r="I161" s="11" t="s">
        <v>21</v>
      </c>
      <c r="J161" s="17">
        <v>19</v>
      </c>
    </row>
    <row r="162" spans="1:311" s="3" customFormat="1">
      <c r="A162" s="67" t="s">
        <v>665</v>
      </c>
      <c r="B162" s="74" t="s">
        <v>130</v>
      </c>
      <c r="C162" s="74" t="s">
        <v>131</v>
      </c>
      <c r="D162" s="74" t="s">
        <v>136</v>
      </c>
      <c r="E162" s="74" t="s">
        <v>140</v>
      </c>
      <c r="F162" s="74" t="s">
        <v>144</v>
      </c>
      <c r="G162" s="74" t="s">
        <v>148</v>
      </c>
      <c r="H162" s="74" t="s">
        <v>19</v>
      </c>
      <c r="I162" s="11" t="s">
        <v>21</v>
      </c>
      <c r="J162" s="17">
        <v>14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</row>
    <row r="163" spans="1:311" s="3" customFormat="1">
      <c r="A163" s="67" t="s">
        <v>668</v>
      </c>
      <c r="B163" s="74" t="s">
        <v>149</v>
      </c>
      <c r="C163" s="74" t="s">
        <v>150</v>
      </c>
      <c r="D163" s="74" t="s">
        <v>151</v>
      </c>
      <c r="E163" s="74" t="s">
        <v>152</v>
      </c>
      <c r="F163" s="74" t="s">
        <v>153</v>
      </c>
      <c r="G163" s="74" t="s">
        <v>154</v>
      </c>
      <c r="H163" s="74" t="s">
        <v>19</v>
      </c>
      <c r="I163" s="11" t="s">
        <v>21</v>
      </c>
      <c r="J163" s="17">
        <v>24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  <c r="KT163" s="7"/>
      <c r="KU163" s="7"/>
      <c r="KV163" s="7"/>
      <c r="KW163" s="7"/>
      <c r="KX163" s="7"/>
      <c r="KY163" s="7"/>
    </row>
    <row r="164" spans="1:311" s="3" customFormat="1">
      <c r="A164" s="67" t="s">
        <v>668</v>
      </c>
      <c r="B164" s="74" t="s">
        <v>149</v>
      </c>
      <c r="C164" s="74" t="s">
        <v>155</v>
      </c>
      <c r="D164" s="74" t="s">
        <v>156</v>
      </c>
      <c r="E164" s="74" t="s">
        <v>157</v>
      </c>
      <c r="F164" s="74" t="s">
        <v>159</v>
      </c>
      <c r="G164" s="74" t="s">
        <v>161</v>
      </c>
      <c r="H164" s="74" t="s">
        <v>19</v>
      </c>
      <c r="I164" s="11" t="s">
        <v>21</v>
      </c>
      <c r="J164" s="17">
        <v>63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</row>
    <row r="165" spans="1:311" s="3" customFormat="1">
      <c r="A165" s="67" t="s">
        <v>668</v>
      </c>
      <c r="B165" s="74" t="s">
        <v>149</v>
      </c>
      <c r="C165" s="74" t="s">
        <v>155</v>
      </c>
      <c r="D165" s="74" t="s">
        <v>156</v>
      </c>
      <c r="E165" s="74" t="s">
        <v>158</v>
      </c>
      <c r="F165" s="74" t="s">
        <v>160</v>
      </c>
      <c r="G165" s="74" t="s">
        <v>162</v>
      </c>
      <c r="H165" s="74" t="s">
        <v>19</v>
      </c>
      <c r="I165" s="11" t="s">
        <v>21</v>
      </c>
      <c r="J165" s="17">
        <v>1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  <c r="KT165" s="7"/>
      <c r="KU165" s="7"/>
      <c r="KV165" s="7"/>
      <c r="KW165" s="7"/>
      <c r="KX165" s="7"/>
      <c r="KY165" s="7"/>
    </row>
    <row r="166" spans="1:311">
      <c r="A166" s="87" t="s">
        <v>668</v>
      </c>
      <c r="B166" s="14" t="s">
        <v>149</v>
      </c>
      <c r="C166" s="14" t="s">
        <v>163</v>
      </c>
      <c r="D166" s="14" t="s">
        <v>164</v>
      </c>
      <c r="E166" s="14" t="s">
        <v>165</v>
      </c>
      <c r="F166" s="14" t="s">
        <v>166</v>
      </c>
      <c r="G166" s="14" t="s">
        <v>167</v>
      </c>
      <c r="H166" s="14" t="s">
        <v>19</v>
      </c>
      <c r="I166" s="11" t="s">
        <v>21</v>
      </c>
      <c r="J166" s="17">
        <v>5</v>
      </c>
    </row>
    <row r="167" spans="1:311">
      <c r="A167" s="87"/>
      <c r="B167" s="14"/>
      <c r="C167" s="14"/>
      <c r="D167" s="14"/>
      <c r="E167" s="14"/>
      <c r="F167" s="14"/>
      <c r="G167" s="14"/>
      <c r="H167" s="14"/>
      <c r="I167" s="5" t="s">
        <v>299</v>
      </c>
      <c r="J167" s="19">
        <v>2</v>
      </c>
    </row>
    <row r="168" spans="1:311" s="3" customFormat="1">
      <c r="A168" s="67" t="s">
        <v>668</v>
      </c>
      <c r="B168" s="74" t="s">
        <v>149</v>
      </c>
      <c r="C168" s="80" t="s">
        <v>168</v>
      </c>
      <c r="D168" s="74" t="s">
        <v>169</v>
      </c>
      <c r="E168" s="74" t="s">
        <v>170</v>
      </c>
      <c r="F168" s="74" t="s">
        <v>171</v>
      </c>
      <c r="G168" s="74" t="s">
        <v>172</v>
      </c>
      <c r="H168" s="74" t="s">
        <v>19</v>
      </c>
      <c r="I168" s="11" t="s">
        <v>289</v>
      </c>
      <c r="J168" s="17">
        <v>1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7"/>
      <c r="KU168" s="7"/>
      <c r="KV168" s="7"/>
      <c r="KW168" s="7"/>
      <c r="KX168" s="7"/>
      <c r="KY168" s="7"/>
    </row>
    <row r="169" spans="1:311" s="3" customFormat="1">
      <c r="A169" s="67" t="s">
        <v>668</v>
      </c>
      <c r="B169" s="74" t="s">
        <v>149</v>
      </c>
      <c r="C169" s="74" t="s">
        <v>173</v>
      </c>
      <c r="D169" s="74" t="s">
        <v>174</v>
      </c>
      <c r="E169" s="74" t="s">
        <v>175</v>
      </c>
      <c r="F169" s="74" t="s">
        <v>177</v>
      </c>
      <c r="G169" s="74" t="s">
        <v>179</v>
      </c>
      <c r="H169" s="74" t="s">
        <v>19</v>
      </c>
      <c r="I169" s="11" t="s">
        <v>21</v>
      </c>
      <c r="J169" s="17">
        <v>14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  <c r="KS169" s="7"/>
      <c r="KT169" s="7"/>
      <c r="KU169" s="7"/>
      <c r="KV169" s="7"/>
      <c r="KW169" s="7"/>
      <c r="KX169" s="7"/>
      <c r="KY169" s="7"/>
    </row>
    <row r="170" spans="1:311" s="3" customFormat="1">
      <c r="A170" s="67" t="s">
        <v>668</v>
      </c>
      <c r="B170" s="74" t="s">
        <v>149</v>
      </c>
      <c r="C170" s="74" t="s">
        <v>173</v>
      </c>
      <c r="D170" s="74" t="s">
        <v>174</v>
      </c>
      <c r="E170" s="74" t="s">
        <v>176</v>
      </c>
      <c r="F170" s="74" t="s">
        <v>178</v>
      </c>
      <c r="G170" s="74" t="s">
        <v>180</v>
      </c>
      <c r="H170" s="74" t="s">
        <v>19</v>
      </c>
      <c r="I170" s="11" t="s">
        <v>564</v>
      </c>
      <c r="J170" s="17">
        <v>1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  <c r="KS170" s="7"/>
      <c r="KT170" s="7"/>
      <c r="KU170" s="7"/>
      <c r="KV170" s="7"/>
      <c r="KW170" s="7"/>
      <c r="KX170" s="7"/>
      <c r="KY170" s="7"/>
    </row>
    <row r="171" spans="1:311" s="3" customFormat="1">
      <c r="A171" s="67" t="s">
        <v>667</v>
      </c>
      <c r="B171" s="74" t="s">
        <v>181</v>
      </c>
      <c r="C171" s="74" t="s">
        <v>182</v>
      </c>
      <c r="D171" s="74" t="s">
        <v>183</v>
      </c>
      <c r="E171" s="74" t="s">
        <v>184</v>
      </c>
      <c r="F171" s="74" t="s">
        <v>185</v>
      </c>
      <c r="G171" s="74" t="s">
        <v>186</v>
      </c>
      <c r="H171" s="74" t="s">
        <v>19</v>
      </c>
      <c r="I171" s="11" t="s">
        <v>21</v>
      </c>
      <c r="J171" s="17">
        <v>27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  <c r="KT171" s="7"/>
      <c r="KU171" s="7"/>
      <c r="KV171" s="7"/>
      <c r="KW171" s="7"/>
      <c r="KX171" s="7"/>
      <c r="KY171" s="7"/>
    </row>
    <row r="172" spans="1:311" s="15" customFormat="1">
      <c r="A172" s="67" t="s">
        <v>667</v>
      </c>
      <c r="B172" s="74" t="s">
        <v>181</v>
      </c>
      <c r="C172" s="74" t="s">
        <v>187</v>
      </c>
      <c r="D172" s="74" t="s">
        <v>188</v>
      </c>
      <c r="E172" s="74" t="s">
        <v>189</v>
      </c>
      <c r="F172" s="74"/>
      <c r="G172" s="74" t="s">
        <v>190</v>
      </c>
      <c r="H172" s="74" t="s">
        <v>19</v>
      </c>
      <c r="I172" s="11" t="s">
        <v>289</v>
      </c>
      <c r="J172" s="17">
        <v>4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  <c r="KS172" s="7"/>
      <c r="KT172" s="7"/>
      <c r="KU172" s="7"/>
      <c r="KV172" s="7"/>
      <c r="KW172" s="7"/>
      <c r="KX172" s="7"/>
      <c r="KY172" s="7"/>
    </row>
    <row r="173" spans="1:311" s="3" customFormat="1">
      <c r="A173" s="67" t="s">
        <v>665</v>
      </c>
      <c r="B173" s="74" t="s">
        <v>191</v>
      </c>
      <c r="C173" s="74" t="s">
        <v>192</v>
      </c>
      <c r="D173" s="74" t="s">
        <v>193</v>
      </c>
      <c r="E173" s="74" t="s">
        <v>194</v>
      </c>
      <c r="F173" s="74" t="s">
        <v>198</v>
      </c>
      <c r="G173" s="74" t="s">
        <v>202</v>
      </c>
      <c r="H173" s="74" t="s">
        <v>19</v>
      </c>
      <c r="I173" s="11" t="s">
        <v>517</v>
      </c>
      <c r="J173" s="17">
        <v>1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  <c r="KS173" s="7"/>
      <c r="KT173" s="7"/>
      <c r="KU173" s="7"/>
      <c r="KV173" s="7"/>
      <c r="KW173" s="7"/>
      <c r="KX173" s="7"/>
      <c r="KY173" s="7"/>
    </row>
    <row r="174" spans="1:311" s="3" customFormat="1">
      <c r="A174" s="67" t="s">
        <v>665</v>
      </c>
      <c r="B174" s="74" t="s">
        <v>191</v>
      </c>
      <c r="C174" s="74" t="s">
        <v>192</v>
      </c>
      <c r="D174" s="74" t="s">
        <v>193</v>
      </c>
      <c r="E174" s="74" t="s">
        <v>195</v>
      </c>
      <c r="F174" s="74" t="s">
        <v>199</v>
      </c>
      <c r="G174" s="74" t="s">
        <v>203</v>
      </c>
      <c r="H174" s="74" t="s">
        <v>19</v>
      </c>
      <c r="I174" s="11" t="s">
        <v>21</v>
      </c>
      <c r="J174" s="17">
        <v>1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  <c r="KT174" s="7"/>
      <c r="KU174" s="7"/>
      <c r="KV174" s="7"/>
      <c r="KW174" s="7"/>
      <c r="KX174" s="7"/>
      <c r="KY174" s="7"/>
    </row>
    <row r="175" spans="1:311">
      <c r="A175" s="87" t="s">
        <v>665</v>
      </c>
      <c r="B175" s="14" t="s">
        <v>191</v>
      </c>
      <c r="C175" s="14" t="s">
        <v>192</v>
      </c>
      <c r="D175" s="14" t="s">
        <v>193</v>
      </c>
      <c r="E175" s="14" t="s">
        <v>196</v>
      </c>
      <c r="F175" s="14" t="s">
        <v>200</v>
      </c>
      <c r="G175" s="14" t="s">
        <v>204</v>
      </c>
      <c r="H175" s="14" t="s">
        <v>19</v>
      </c>
      <c r="I175" s="11" t="s">
        <v>21</v>
      </c>
      <c r="J175" s="17">
        <v>12</v>
      </c>
    </row>
    <row r="176" spans="1:311">
      <c r="A176" s="87"/>
      <c r="B176" s="14"/>
      <c r="C176" s="14"/>
      <c r="D176" s="14"/>
      <c r="E176" s="14"/>
      <c r="F176" s="14"/>
      <c r="G176" s="14"/>
      <c r="H176" s="14"/>
      <c r="I176" s="5" t="s">
        <v>299</v>
      </c>
      <c r="J176" s="19">
        <v>1</v>
      </c>
    </row>
    <row r="177" spans="1:311" s="3" customFormat="1">
      <c r="A177" s="67" t="s">
        <v>665</v>
      </c>
      <c r="B177" s="74" t="s">
        <v>191</v>
      </c>
      <c r="C177" s="74" t="s">
        <v>192</v>
      </c>
      <c r="D177" s="74" t="s">
        <v>193</v>
      </c>
      <c r="E177" s="74" t="s">
        <v>197</v>
      </c>
      <c r="F177" s="74" t="s">
        <v>201</v>
      </c>
      <c r="G177" s="74" t="s">
        <v>205</v>
      </c>
      <c r="H177" s="74" t="s">
        <v>19</v>
      </c>
      <c r="I177" s="11" t="s">
        <v>21</v>
      </c>
      <c r="J177" s="17">
        <v>3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  <c r="KS177" s="7"/>
      <c r="KT177" s="7"/>
      <c r="KU177" s="7"/>
      <c r="KV177" s="7"/>
      <c r="KW177" s="7"/>
      <c r="KX177" s="7"/>
      <c r="KY177" s="7"/>
    </row>
    <row r="178" spans="1:311" s="3" customFormat="1">
      <c r="A178" s="67" t="s">
        <v>665</v>
      </c>
      <c r="B178" s="74" t="s">
        <v>191</v>
      </c>
      <c r="C178" s="74" t="s">
        <v>206</v>
      </c>
      <c r="D178" s="74" t="s">
        <v>207</v>
      </c>
      <c r="E178" s="74" t="s">
        <v>208</v>
      </c>
      <c r="F178" s="74" t="s">
        <v>214</v>
      </c>
      <c r="G178" s="74" t="s">
        <v>220</v>
      </c>
      <c r="H178" s="74" t="s">
        <v>19</v>
      </c>
      <c r="I178" s="11" t="s">
        <v>21</v>
      </c>
      <c r="J178" s="17">
        <v>19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  <c r="KS178" s="7"/>
      <c r="KT178" s="7"/>
      <c r="KU178" s="7"/>
      <c r="KV178" s="7"/>
      <c r="KW178" s="7"/>
      <c r="KX178" s="7"/>
      <c r="KY178" s="7"/>
    </row>
    <row r="179" spans="1:311" s="3" customFormat="1">
      <c r="A179" s="67" t="s">
        <v>665</v>
      </c>
      <c r="B179" s="74" t="s">
        <v>191</v>
      </c>
      <c r="C179" s="74" t="s">
        <v>206</v>
      </c>
      <c r="D179" s="74" t="s">
        <v>207</v>
      </c>
      <c r="E179" s="74" t="s">
        <v>209</v>
      </c>
      <c r="F179" s="74" t="s">
        <v>215</v>
      </c>
      <c r="G179" s="74" t="s">
        <v>221</v>
      </c>
      <c r="H179" s="74" t="s">
        <v>19</v>
      </c>
      <c r="I179" s="11" t="s">
        <v>21</v>
      </c>
      <c r="J179" s="17">
        <v>6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  <c r="KT179" s="7"/>
      <c r="KU179" s="7"/>
      <c r="KV179" s="7"/>
      <c r="KW179" s="7"/>
      <c r="KX179" s="7"/>
      <c r="KY179" s="7"/>
    </row>
    <row r="180" spans="1:311">
      <c r="A180" s="87" t="s">
        <v>665</v>
      </c>
      <c r="B180" s="14" t="s">
        <v>191</v>
      </c>
      <c r="C180" s="14" t="s">
        <v>206</v>
      </c>
      <c r="D180" s="14" t="s">
        <v>207</v>
      </c>
      <c r="E180" s="14" t="s">
        <v>210</v>
      </c>
      <c r="F180" s="14" t="s">
        <v>216</v>
      </c>
      <c r="G180" s="14" t="s">
        <v>222</v>
      </c>
      <c r="H180" s="14" t="s">
        <v>19</v>
      </c>
      <c r="I180" s="11" t="s">
        <v>21</v>
      </c>
      <c r="J180" s="17">
        <v>4</v>
      </c>
    </row>
    <row r="181" spans="1:311">
      <c r="A181" s="87"/>
      <c r="B181" s="14"/>
      <c r="C181" s="14"/>
      <c r="D181" s="14"/>
      <c r="E181" s="14"/>
      <c r="F181" s="14"/>
      <c r="G181" s="14"/>
      <c r="H181" s="14"/>
      <c r="I181" s="5" t="s">
        <v>299</v>
      </c>
      <c r="J181" s="19">
        <v>1</v>
      </c>
    </row>
    <row r="182" spans="1:311" s="3" customFormat="1">
      <c r="A182" s="67" t="s">
        <v>665</v>
      </c>
      <c r="B182" s="74" t="s">
        <v>191</v>
      </c>
      <c r="C182" s="74" t="s">
        <v>206</v>
      </c>
      <c r="D182" s="74" t="s">
        <v>207</v>
      </c>
      <c r="E182" s="74" t="s">
        <v>211</v>
      </c>
      <c r="F182" s="74" t="s">
        <v>217</v>
      </c>
      <c r="G182" s="74" t="s">
        <v>223</v>
      </c>
      <c r="H182" s="74" t="s">
        <v>19</v>
      </c>
      <c r="I182" s="11" t="s">
        <v>21</v>
      </c>
      <c r="J182" s="17">
        <v>4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  <c r="KN182" s="7"/>
      <c r="KO182" s="7"/>
      <c r="KP182" s="7"/>
      <c r="KQ182" s="7"/>
      <c r="KR182" s="7"/>
      <c r="KS182" s="7"/>
      <c r="KT182" s="7"/>
      <c r="KU182" s="7"/>
      <c r="KV182" s="7"/>
      <c r="KW182" s="7"/>
      <c r="KX182" s="7"/>
      <c r="KY182" s="7"/>
    </row>
    <row r="183" spans="1:311" s="3" customFormat="1">
      <c r="A183" s="67" t="s">
        <v>665</v>
      </c>
      <c r="B183" s="74" t="s">
        <v>191</v>
      </c>
      <c r="C183" s="74" t="s">
        <v>206</v>
      </c>
      <c r="D183" s="74" t="s">
        <v>207</v>
      </c>
      <c r="E183" s="74" t="s">
        <v>212</v>
      </c>
      <c r="F183" s="74" t="s">
        <v>218</v>
      </c>
      <c r="G183" s="74" t="s">
        <v>224</v>
      </c>
      <c r="H183" s="74" t="s">
        <v>19</v>
      </c>
      <c r="I183" s="11" t="s">
        <v>21</v>
      </c>
      <c r="J183" s="17">
        <v>7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7"/>
      <c r="KS183" s="7"/>
      <c r="KT183" s="7"/>
      <c r="KU183" s="7"/>
      <c r="KV183" s="7"/>
      <c r="KW183" s="7"/>
      <c r="KX183" s="7"/>
      <c r="KY183" s="7"/>
    </row>
    <row r="184" spans="1:311" s="3" customFormat="1">
      <c r="A184" s="67" t="s">
        <v>665</v>
      </c>
      <c r="B184" s="74" t="s">
        <v>191</v>
      </c>
      <c r="C184" s="74" t="s">
        <v>206</v>
      </c>
      <c r="D184" s="74" t="s">
        <v>207</v>
      </c>
      <c r="E184" s="74" t="s">
        <v>213</v>
      </c>
      <c r="F184" s="74" t="s">
        <v>219</v>
      </c>
      <c r="G184" s="74" t="s">
        <v>225</v>
      </c>
      <c r="H184" s="74" t="s">
        <v>19</v>
      </c>
      <c r="I184" s="11" t="s">
        <v>21</v>
      </c>
      <c r="J184" s="17">
        <v>5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7"/>
      <c r="KS184" s="7"/>
      <c r="KT184" s="7"/>
      <c r="KU184" s="7"/>
      <c r="KV184" s="7"/>
      <c r="KW184" s="7"/>
      <c r="KX184" s="7"/>
      <c r="KY184" s="7"/>
    </row>
    <row r="185" spans="1:311">
      <c r="A185" s="87" t="s">
        <v>668</v>
      </c>
      <c r="B185" s="14" t="s">
        <v>226</v>
      </c>
      <c r="C185" s="14" t="s">
        <v>227</v>
      </c>
      <c r="D185" s="14" t="s">
        <v>228</v>
      </c>
      <c r="E185" s="14" t="s">
        <v>229</v>
      </c>
      <c r="F185" s="14" t="s">
        <v>230</v>
      </c>
      <c r="G185" s="14" t="s">
        <v>231</v>
      </c>
      <c r="H185" s="14" t="s">
        <v>19</v>
      </c>
      <c r="I185" s="11" t="s">
        <v>21</v>
      </c>
      <c r="J185" s="17">
        <v>35</v>
      </c>
    </row>
    <row r="186" spans="1:311">
      <c r="A186" s="87"/>
      <c r="B186" s="14"/>
      <c r="C186" s="14"/>
      <c r="D186" s="14"/>
      <c r="E186" s="14"/>
      <c r="F186" s="14"/>
      <c r="G186" s="14"/>
      <c r="H186" s="14"/>
      <c r="I186" s="18" t="s">
        <v>289</v>
      </c>
      <c r="J186" s="19">
        <v>1</v>
      </c>
    </row>
    <row r="187" spans="1:311" s="3" customFormat="1">
      <c r="A187" s="67" t="s">
        <v>668</v>
      </c>
      <c r="B187" s="74" t="s">
        <v>226</v>
      </c>
      <c r="C187" s="80" t="s">
        <v>232</v>
      </c>
      <c r="D187" s="74" t="s">
        <v>233</v>
      </c>
      <c r="E187" s="74" t="s">
        <v>234</v>
      </c>
      <c r="F187" s="74" t="s">
        <v>235</v>
      </c>
      <c r="G187" s="74" t="s">
        <v>236</v>
      </c>
      <c r="H187" s="74" t="s">
        <v>19</v>
      </c>
      <c r="I187" s="11" t="s">
        <v>289</v>
      </c>
      <c r="J187" s="17">
        <v>1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7"/>
      <c r="KS187" s="7"/>
      <c r="KT187" s="7"/>
      <c r="KU187" s="7"/>
      <c r="KV187" s="7"/>
      <c r="KW187" s="7"/>
      <c r="KX187" s="7"/>
      <c r="KY187" s="7"/>
    </row>
    <row r="188" spans="1:311" s="3" customFormat="1">
      <c r="A188" s="67" t="s">
        <v>668</v>
      </c>
      <c r="B188" s="74" t="s">
        <v>226</v>
      </c>
      <c r="C188" s="74" t="s">
        <v>232</v>
      </c>
      <c r="D188" s="74" t="s">
        <v>237</v>
      </c>
      <c r="E188" s="74" t="s">
        <v>238</v>
      </c>
      <c r="F188" s="74" t="s">
        <v>239</v>
      </c>
      <c r="G188" s="74" t="s">
        <v>240</v>
      </c>
      <c r="H188" s="74" t="s">
        <v>19</v>
      </c>
      <c r="I188" s="11" t="s">
        <v>632</v>
      </c>
      <c r="J188" s="17">
        <v>1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7"/>
      <c r="KS188" s="7"/>
      <c r="KT188" s="7"/>
      <c r="KU188" s="7"/>
      <c r="KV188" s="7"/>
      <c r="KW188" s="7"/>
      <c r="KX188" s="7"/>
      <c r="KY188" s="7"/>
    </row>
    <row r="189" spans="1:311" s="3" customFormat="1">
      <c r="A189" s="67" t="s">
        <v>668</v>
      </c>
      <c r="B189" s="74" t="s">
        <v>241</v>
      </c>
      <c r="C189" s="74" t="s">
        <v>242</v>
      </c>
      <c r="D189" s="74" t="s">
        <v>243</v>
      </c>
      <c r="E189" s="74" t="s">
        <v>244</v>
      </c>
      <c r="F189" s="74" t="s">
        <v>245</v>
      </c>
      <c r="G189" s="74" t="s">
        <v>246</v>
      </c>
      <c r="H189" s="74" t="s">
        <v>19</v>
      </c>
      <c r="I189" s="11" t="s">
        <v>21</v>
      </c>
      <c r="J189" s="17">
        <v>101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  <c r="KS189" s="7"/>
      <c r="KT189" s="7"/>
      <c r="KU189" s="7"/>
      <c r="KV189" s="7"/>
      <c r="KW189" s="7"/>
      <c r="KX189" s="7"/>
      <c r="KY189" s="7"/>
    </row>
    <row r="190" spans="1:311" s="3" customFormat="1">
      <c r="A190" s="67" t="s">
        <v>667</v>
      </c>
      <c r="B190" s="74" t="s">
        <v>247</v>
      </c>
      <c r="C190" s="74" t="s">
        <v>248</v>
      </c>
      <c r="D190" s="74" t="s">
        <v>249</v>
      </c>
      <c r="E190" s="74" t="s">
        <v>250</v>
      </c>
      <c r="F190" s="74" t="s">
        <v>251</v>
      </c>
      <c r="G190" s="74" t="s">
        <v>252</v>
      </c>
      <c r="H190" s="74" t="s">
        <v>19</v>
      </c>
      <c r="I190" s="11" t="s">
        <v>21</v>
      </c>
      <c r="J190" s="17">
        <v>6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7"/>
      <c r="KS190" s="7"/>
      <c r="KT190" s="7"/>
      <c r="KU190" s="7"/>
      <c r="KV190" s="7"/>
      <c r="KW190" s="7"/>
      <c r="KX190" s="7"/>
      <c r="KY190" s="7"/>
    </row>
    <row r="191" spans="1:311" s="3" customFormat="1">
      <c r="A191" s="67" t="s">
        <v>667</v>
      </c>
      <c r="B191" s="74" t="s">
        <v>247</v>
      </c>
      <c r="C191" s="74" t="s">
        <v>253</v>
      </c>
      <c r="D191" s="74" t="s">
        <v>254</v>
      </c>
      <c r="E191" s="74" t="s">
        <v>255</v>
      </c>
      <c r="F191" s="74" t="s">
        <v>256</v>
      </c>
      <c r="G191" s="74" t="s">
        <v>257</v>
      </c>
      <c r="H191" s="74" t="s">
        <v>19</v>
      </c>
      <c r="I191" s="6" t="s">
        <v>20</v>
      </c>
      <c r="J191" s="35">
        <v>1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7"/>
      <c r="KS191" s="7"/>
      <c r="KT191" s="7"/>
      <c r="KU191" s="7"/>
      <c r="KV191" s="7"/>
      <c r="KW191" s="7"/>
      <c r="KX191" s="7"/>
      <c r="KY191" s="7"/>
    </row>
    <row r="192" spans="1:311" s="3" customFormat="1">
      <c r="A192" s="67" t="s">
        <v>667</v>
      </c>
      <c r="B192" s="74" t="s">
        <v>247</v>
      </c>
      <c r="C192" s="74" t="s">
        <v>258</v>
      </c>
      <c r="D192" s="74" t="s">
        <v>259</v>
      </c>
      <c r="E192" s="74" t="s">
        <v>260</v>
      </c>
      <c r="F192" s="74" t="s">
        <v>261</v>
      </c>
      <c r="G192" s="74" t="s">
        <v>262</v>
      </c>
      <c r="H192" s="74" t="s">
        <v>19</v>
      </c>
      <c r="I192" s="6" t="s">
        <v>20</v>
      </c>
      <c r="J192" s="35">
        <v>1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7"/>
      <c r="KS192" s="7"/>
      <c r="KT192" s="7"/>
      <c r="KU192" s="7"/>
      <c r="KV192" s="7"/>
      <c r="KW192" s="7"/>
      <c r="KX192" s="7"/>
      <c r="KY192" s="7"/>
    </row>
    <row r="193" spans="1:311">
      <c r="A193" s="87" t="s">
        <v>667</v>
      </c>
      <c r="B193" s="48" t="s">
        <v>247</v>
      </c>
      <c r="C193" s="48" t="s">
        <v>263</v>
      </c>
      <c r="D193" s="48" t="s">
        <v>264</v>
      </c>
      <c r="E193" s="48" t="s">
        <v>265</v>
      </c>
      <c r="F193" s="48"/>
      <c r="G193" s="48" t="s">
        <v>190</v>
      </c>
      <c r="H193" s="48" t="s">
        <v>19</v>
      </c>
      <c r="I193" s="11" t="s">
        <v>21</v>
      </c>
      <c r="J193" s="21">
        <v>13</v>
      </c>
    </row>
    <row r="194" spans="1:311">
      <c r="A194" s="87"/>
      <c r="B194" s="92"/>
      <c r="C194" s="92"/>
      <c r="D194" s="92"/>
      <c r="E194" s="92"/>
      <c r="F194" s="92"/>
      <c r="G194" s="92"/>
      <c r="H194" s="92"/>
      <c r="I194" s="22" t="s">
        <v>290</v>
      </c>
      <c r="J194" s="23">
        <v>1</v>
      </c>
    </row>
    <row r="195" spans="1:311">
      <c r="A195" s="67" t="s">
        <v>667</v>
      </c>
      <c r="B195" s="74" t="s">
        <v>247</v>
      </c>
      <c r="C195" s="74" t="s">
        <v>263</v>
      </c>
      <c r="D195" s="74" t="s">
        <v>264</v>
      </c>
      <c r="E195" s="74" t="s">
        <v>266</v>
      </c>
      <c r="F195" s="74"/>
      <c r="G195" s="74" t="s">
        <v>35</v>
      </c>
      <c r="H195" s="74" t="s">
        <v>19</v>
      </c>
      <c r="I195" s="24" t="s">
        <v>21</v>
      </c>
      <c r="J195" s="21">
        <v>14</v>
      </c>
    </row>
    <row r="196" spans="1:311">
      <c r="A196" s="67" t="s">
        <v>667</v>
      </c>
      <c r="B196" s="74" t="s">
        <v>247</v>
      </c>
      <c r="C196" s="74" t="s">
        <v>263</v>
      </c>
      <c r="D196" s="74" t="s">
        <v>264</v>
      </c>
      <c r="E196" s="74" t="s">
        <v>267</v>
      </c>
      <c r="F196" s="74"/>
      <c r="G196" s="74" t="s">
        <v>35</v>
      </c>
      <c r="H196" s="74" t="s">
        <v>19</v>
      </c>
      <c r="I196" s="24" t="s">
        <v>21</v>
      </c>
      <c r="J196" s="21">
        <v>2</v>
      </c>
    </row>
    <row r="197" spans="1:311" s="3" customFormat="1">
      <c r="A197" s="67" t="s">
        <v>667</v>
      </c>
      <c r="B197" s="74" t="s">
        <v>247</v>
      </c>
      <c r="C197" s="74" t="s">
        <v>488</v>
      </c>
      <c r="D197" s="74" t="s">
        <v>264</v>
      </c>
      <c r="E197" s="74" t="s">
        <v>268</v>
      </c>
      <c r="F197" s="74" t="s">
        <v>269</v>
      </c>
      <c r="G197" s="74" t="s">
        <v>270</v>
      </c>
      <c r="H197" s="74" t="s">
        <v>19</v>
      </c>
      <c r="I197" s="6" t="s">
        <v>20</v>
      </c>
      <c r="J197" s="35">
        <v>1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  <c r="KN197" s="7"/>
      <c r="KO197" s="7"/>
      <c r="KP197" s="7"/>
      <c r="KQ197" s="7"/>
      <c r="KR197" s="7"/>
      <c r="KS197" s="7"/>
      <c r="KT197" s="7"/>
      <c r="KU197" s="7"/>
      <c r="KV197" s="7"/>
      <c r="KW197" s="7"/>
      <c r="KX197" s="7"/>
      <c r="KY197" s="7"/>
    </row>
    <row r="198" spans="1:311" s="3" customFormat="1">
      <c r="A198" s="67" t="s">
        <v>667</v>
      </c>
      <c r="B198" s="74" t="s">
        <v>247</v>
      </c>
      <c r="C198" s="74" t="s">
        <v>263</v>
      </c>
      <c r="D198" s="74" t="s">
        <v>271</v>
      </c>
      <c r="E198" s="74" t="s">
        <v>274</v>
      </c>
      <c r="F198" s="74" t="s">
        <v>277</v>
      </c>
      <c r="G198" s="74" t="s">
        <v>280</v>
      </c>
      <c r="H198" s="74" t="s">
        <v>19</v>
      </c>
      <c r="I198" s="11" t="s">
        <v>21</v>
      </c>
      <c r="J198" s="17">
        <v>35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7"/>
      <c r="KS198" s="7"/>
      <c r="KT198" s="7"/>
      <c r="KU198" s="7"/>
      <c r="KV198" s="7"/>
      <c r="KW198" s="7"/>
      <c r="KX198" s="7"/>
      <c r="KY198" s="7"/>
    </row>
    <row r="199" spans="1:311" s="3" customFormat="1">
      <c r="A199" s="67" t="s">
        <v>667</v>
      </c>
      <c r="B199" s="74" t="s">
        <v>247</v>
      </c>
      <c r="C199" s="74" t="s">
        <v>263</v>
      </c>
      <c r="D199" s="74" t="s">
        <v>272</v>
      </c>
      <c r="E199" s="74" t="s">
        <v>275</v>
      </c>
      <c r="F199" s="74" t="s">
        <v>278</v>
      </c>
      <c r="G199" s="74" t="s">
        <v>281</v>
      </c>
      <c r="H199" s="74" t="s">
        <v>19</v>
      </c>
      <c r="I199" s="11" t="s">
        <v>21</v>
      </c>
      <c r="J199" s="17">
        <v>54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  <c r="KS199" s="7"/>
      <c r="KT199" s="7"/>
      <c r="KU199" s="7"/>
      <c r="KV199" s="7"/>
      <c r="KW199" s="7"/>
      <c r="KX199" s="7"/>
      <c r="KY199" s="7"/>
    </row>
    <row r="200" spans="1:311">
      <c r="A200" s="87" t="s">
        <v>667</v>
      </c>
      <c r="B200" s="14" t="s">
        <v>247</v>
      </c>
      <c r="C200" s="14" t="s">
        <v>263</v>
      </c>
      <c r="D200" s="14" t="s">
        <v>273</v>
      </c>
      <c r="E200" s="14" t="s">
        <v>276</v>
      </c>
      <c r="F200" s="14" t="s">
        <v>279</v>
      </c>
      <c r="G200" s="14" t="s">
        <v>282</v>
      </c>
      <c r="H200" s="14" t="s">
        <v>19</v>
      </c>
      <c r="I200" s="11" t="s">
        <v>21</v>
      </c>
      <c r="J200" s="17">
        <v>5</v>
      </c>
    </row>
    <row r="201" spans="1:311">
      <c r="A201" s="87"/>
      <c r="B201" s="14"/>
      <c r="C201" s="14"/>
      <c r="D201" s="14"/>
      <c r="E201" s="14"/>
      <c r="F201" s="14"/>
      <c r="G201" s="14"/>
      <c r="H201" s="14"/>
      <c r="I201" s="5" t="s">
        <v>299</v>
      </c>
      <c r="J201" s="19">
        <v>1</v>
      </c>
    </row>
    <row r="202" spans="1:311" s="3" customFormat="1">
      <c r="A202" s="67" t="s">
        <v>741</v>
      </c>
      <c r="B202" s="74" t="s">
        <v>283</v>
      </c>
      <c r="C202" s="80" t="s">
        <v>284</v>
      </c>
      <c r="D202" s="74" t="s">
        <v>285</v>
      </c>
      <c r="E202" s="74" t="s">
        <v>286</v>
      </c>
      <c r="F202" s="74" t="s">
        <v>287</v>
      </c>
      <c r="G202" s="74" t="s">
        <v>288</v>
      </c>
      <c r="H202" s="74" t="s">
        <v>19</v>
      </c>
      <c r="I202" s="11" t="s">
        <v>289</v>
      </c>
      <c r="J202" s="17">
        <v>1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7"/>
      <c r="KS202" s="7"/>
      <c r="KT202" s="7"/>
      <c r="KU202" s="7"/>
      <c r="KV202" s="7"/>
      <c r="KW202" s="7"/>
      <c r="KX202" s="7"/>
      <c r="KY202" s="7"/>
    </row>
    <row r="203" spans="1:311" s="3" customFormat="1">
      <c r="A203" s="67" t="s">
        <v>665</v>
      </c>
      <c r="B203" s="74" t="s">
        <v>9</v>
      </c>
      <c r="C203" s="74" t="s">
        <v>10</v>
      </c>
      <c r="D203" s="74" t="s">
        <v>22</v>
      </c>
      <c r="E203" s="74" t="s">
        <v>302</v>
      </c>
      <c r="F203" s="74" t="s">
        <v>303</v>
      </c>
      <c r="G203" s="74" t="s">
        <v>304</v>
      </c>
      <c r="H203" s="74" t="s">
        <v>305</v>
      </c>
      <c r="I203" s="11" t="s">
        <v>21</v>
      </c>
      <c r="J203" s="17">
        <v>15</v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  <c r="KS203" s="7"/>
      <c r="KT203" s="7"/>
      <c r="KU203" s="7"/>
      <c r="KV203" s="7"/>
      <c r="KW203" s="7"/>
      <c r="KX203" s="7"/>
      <c r="KY203" s="7"/>
    </row>
    <row r="204" spans="1:311">
      <c r="A204" s="87" t="s">
        <v>665</v>
      </c>
      <c r="B204" s="14" t="s">
        <v>26</v>
      </c>
      <c r="C204" s="14" t="s">
        <v>27</v>
      </c>
      <c r="D204" s="14" t="s">
        <v>28</v>
      </c>
      <c r="E204" s="14" t="s">
        <v>306</v>
      </c>
      <c r="F204" s="14" t="s">
        <v>307</v>
      </c>
      <c r="G204" s="14" t="s">
        <v>308</v>
      </c>
      <c r="H204" s="14" t="s">
        <v>305</v>
      </c>
      <c r="I204" s="11" t="s">
        <v>21</v>
      </c>
      <c r="J204" s="17">
        <v>31</v>
      </c>
    </row>
    <row r="205" spans="1:311">
      <c r="A205" s="87"/>
      <c r="B205" s="14"/>
      <c r="C205" s="14"/>
      <c r="D205" s="14"/>
      <c r="E205" s="14"/>
      <c r="F205" s="14"/>
      <c r="G205" s="14"/>
      <c r="H205" s="14"/>
      <c r="I205" s="4" t="s">
        <v>297</v>
      </c>
      <c r="J205" s="19">
        <v>1</v>
      </c>
    </row>
    <row r="206" spans="1:311">
      <c r="A206" s="87" t="s">
        <v>665</v>
      </c>
      <c r="B206" s="14" t="s">
        <v>26</v>
      </c>
      <c r="C206" s="14" t="s">
        <v>309</v>
      </c>
      <c r="D206" s="14" t="s">
        <v>310</v>
      </c>
      <c r="E206" s="14" t="s">
        <v>311</v>
      </c>
      <c r="F206" s="14" t="s">
        <v>312</v>
      </c>
      <c r="G206" s="137" t="s">
        <v>518</v>
      </c>
      <c r="H206" s="14" t="s">
        <v>305</v>
      </c>
      <c r="I206" s="11" t="s">
        <v>21</v>
      </c>
      <c r="J206" s="17">
        <v>13</v>
      </c>
    </row>
    <row r="207" spans="1:311">
      <c r="A207" s="87"/>
      <c r="B207" s="14"/>
      <c r="C207" s="14"/>
      <c r="D207" s="14"/>
      <c r="E207" s="14"/>
      <c r="F207" s="14"/>
      <c r="G207" s="137"/>
      <c r="H207" s="14"/>
      <c r="I207" s="4" t="s">
        <v>289</v>
      </c>
      <c r="J207" s="19">
        <v>1</v>
      </c>
    </row>
    <row r="208" spans="1:311" s="3" customFormat="1">
      <c r="A208" s="67" t="s">
        <v>666</v>
      </c>
      <c r="B208" s="74" t="s">
        <v>36</v>
      </c>
      <c r="C208" s="74" t="s">
        <v>37</v>
      </c>
      <c r="D208" s="74" t="s">
        <v>38</v>
      </c>
      <c r="E208" s="74" t="s">
        <v>313</v>
      </c>
      <c r="F208" s="74"/>
      <c r="G208" s="74" t="s">
        <v>314</v>
      </c>
      <c r="H208" s="74" t="s">
        <v>305</v>
      </c>
      <c r="I208" s="11" t="s">
        <v>21</v>
      </c>
      <c r="J208" s="17">
        <v>6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7"/>
      <c r="KS208" s="7"/>
      <c r="KT208" s="7"/>
      <c r="KU208" s="7"/>
      <c r="KV208" s="7"/>
      <c r="KW208" s="7"/>
      <c r="KX208" s="7"/>
      <c r="KY208" s="7"/>
    </row>
    <row r="209" spans="1:311" s="15" customFormat="1">
      <c r="A209" s="67" t="s">
        <v>666</v>
      </c>
      <c r="B209" s="74" t="s">
        <v>36</v>
      </c>
      <c r="C209" s="74" t="s">
        <v>37</v>
      </c>
      <c r="D209" s="74" t="s">
        <v>38</v>
      </c>
      <c r="E209" s="74" t="s">
        <v>315</v>
      </c>
      <c r="F209" s="74"/>
      <c r="G209" s="74" t="s">
        <v>316</v>
      </c>
      <c r="H209" s="74" t="s">
        <v>305</v>
      </c>
      <c r="I209" s="11" t="s">
        <v>21</v>
      </c>
      <c r="J209" s="17">
        <v>1</v>
      </c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7"/>
      <c r="KP209" s="7"/>
      <c r="KQ209" s="7"/>
      <c r="KR209" s="7"/>
      <c r="KS209" s="7"/>
      <c r="KT209" s="7"/>
      <c r="KU209" s="7"/>
      <c r="KV209" s="7"/>
      <c r="KW209" s="7"/>
      <c r="KX209" s="7"/>
      <c r="KY209" s="7"/>
    </row>
    <row r="210" spans="1:311" s="3" customFormat="1">
      <c r="A210" s="87" t="s">
        <v>666</v>
      </c>
      <c r="B210" s="14" t="s">
        <v>66</v>
      </c>
      <c r="C210" s="14" t="s">
        <v>317</v>
      </c>
      <c r="D210" s="14" t="s">
        <v>318</v>
      </c>
      <c r="E210" s="14" t="s">
        <v>319</v>
      </c>
      <c r="F210" s="14" t="s">
        <v>320</v>
      </c>
      <c r="G210" s="14" t="s">
        <v>321</v>
      </c>
      <c r="H210" s="91" t="s">
        <v>305</v>
      </c>
      <c r="I210" s="11" t="s">
        <v>21</v>
      </c>
      <c r="J210" s="17">
        <v>2</v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  <c r="KN210" s="7"/>
      <c r="KO210" s="7"/>
      <c r="KP210" s="7"/>
      <c r="KQ210" s="7"/>
      <c r="KR210" s="7"/>
      <c r="KS210" s="7"/>
      <c r="KT210" s="7"/>
      <c r="KU210" s="7"/>
      <c r="KV210" s="7"/>
      <c r="KW210" s="7"/>
      <c r="KX210" s="7"/>
      <c r="KY210" s="7"/>
    </row>
    <row r="211" spans="1:311">
      <c r="A211" s="87"/>
      <c r="B211" s="14"/>
      <c r="C211" s="14"/>
      <c r="D211" s="14"/>
      <c r="E211" s="14"/>
      <c r="F211" s="14"/>
      <c r="G211" s="14"/>
      <c r="H211" s="91"/>
      <c r="I211" s="5" t="s">
        <v>299</v>
      </c>
      <c r="J211" s="19">
        <v>1</v>
      </c>
    </row>
    <row r="212" spans="1:311" s="3" customFormat="1">
      <c r="A212" s="67" t="s">
        <v>666</v>
      </c>
      <c r="B212" s="74" t="s">
        <v>66</v>
      </c>
      <c r="C212" s="74" t="s">
        <v>322</v>
      </c>
      <c r="D212" s="74" t="s">
        <v>323</v>
      </c>
      <c r="E212" s="74" t="s">
        <v>324</v>
      </c>
      <c r="F212" s="74" t="s">
        <v>325</v>
      </c>
      <c r="G212" s="74" t="s">
        <v>326</v>
      </c>
      <c r="H212" s="74" t="s">
        <v>305</v>
      </c>
      <c r="I212" s="11" t="s">
        <v>21</v>
      </c>
      <c r="J212" s="17">
        <v>1</v>
      </c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  <c r="KM212" s="7"/>
      <c r="KN212" s="7"/>
      <c r="KO212" s="7"/>
      <c r="KP212" s="7"/>
      <c r="KQ212" s="7"/>
      <c r="KR212" s="7"/>
      <c r="KS212" s="7"/>
      <c r="KT212" s="7"/>
      <c r="KU212" s="7"/>
      <c r="KV212" s="7"/>
      <c r="KW212" s="7"/>
      <c r="KX212" s="7"/>
      <c r="KY212" s="7"/>
    </row>
    <row r="213" spans="1:311" s="3" customFormat="1">
      <c r="A213" s="67" t="s">
        <v>667</v>
      </c>
      <c r="B213" s="74" t="s">
        <v>78</v>
      </c>
      <c r="C213" s="74" t="s">
        <v>327</v>
      </c>
      <c r="D213" s="74" t="s">
        <v>328</v>
      </c>
      <c r="E213" s="74" t="s">
        <v>329</v>
      </c>
      <c r="F213" s="74" t="s">
        <v>330</v>
      </c>
      <c r="G213" s="74" t="s">
        <v>331</v>
      </c>
      <c r="H213" s="74" t="s">
        <v>305</v>
      </c>
      <c r="I213" s="11" t="s">
        <v>21</v>
      </c>
      <c r="J213" s="17">
        <v>36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7"/>
      <c r="JO213" s="7"/>
      <c r="JP213" s="7"/>
      <c r="JQ213" s="7"/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  <c r="KM213" s="7"/>
      <c r="KN213" s="7"/>
      <c r="KO213" s="7"/>
      <c r="KP213" s="7"/>
      <c r="KQ213" s="7"/>
      <c r="KR213" s="7"/>
      <c r="KS213" s="7"/>
      <c r="KT213" s="7"/>
      <c r="KU213" s="7"/>
      <c r="KV213" s="7"/>
      <c r="KW213" s="7"/>
      <c r="KX213" s="7"/>
      <c r="KY213" s="7"/>
    </row>
    <row r="214" spans="1:311" s="3" customFormat="1">
      <c r="A214" s="67" t="s">
        <v>666</v>
      </c>
      <c r="B214" s="74" t="s">
        <v>93</v>
      </c>
      <c r="C214" s="74" t="s">
        <v>94</v>
      </c>
      <c r="D214" s="74" t="s">
        <v>95</v>
      </c>
      <c r="E214" s="74" t="s">
        <v>332</v>
      </c>
      <c r="F214" s="74" t="s">
        <v>334</v>
      </c>
      <c r="G214" s="74" t="s">
        <v>336</v>
      </c>
      <c r="H214" s="74" t="s">
        <v>305</v>
      </c>
      <c r="I214" s="11" t="s">
        <v>21</v>
      </c>
      <c r="J214" s="17">
        <v>14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7"/>
      <c r="KN214" s="7"/>
      <c r="KO214" s="7"/>
      <c r="KP214" s="7"/>
      <c r="KQ214" s="7"/>
      <c r="KR214" s="7"/>
      <c r="KS214" s="7"/>
      <c r="KT214" s="7"/>
      <c r="KU214" s="7"/>
      <c r="KV214" s="7"/>
      <c r="KW214" s="7"/>
      <c r="KX214" s="7"/>
      <c r="KY214" s="7"/>
    </row>
    <row r="215" spans="1:311" s="3" customFormat="1">
      <c r="A215" s="67" t="s">
        <v>666</v>
      </c>
      <c r="B215" s="74" t="s">
        <v>93</v>
      </c>
      <c r="C215" s="74" t="s">
        <v>94</v>
      </c>
      <c r="D215" s="74" t="s">
        <v>95</v>
      </c>
      <c r="E215" s="74" t="s">
        <v>333</v>
      </c>
      <c r="F215" s="74" t="s">
        <v>335</v>
      </c>
      <c r="G215" s="74" t="s">
        <v>337</v>
      </c>
      <c r="H215" s="74" t="s">
        <v>305</v>
      </c>
      <c r="I215" s="11" t="s">
        <v>21</v>
      </c>
      <c r="J215" s="17">
        <v>62</v>
      </c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7"/>
      <c r="JO215" s="7"/>
      <c r="JP215" s="7"/>
      <c r="JQ215" s="7"/>
      <c r="JR215" s="7"/>
      <c r="JS215" s="7"/>
      <c r="JT215" s="7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7"/>
      <c r="KG215" s="7"/>
      <c r="KH215" s="7"/>
      <c r="KI215" s="7"/>
      <c r="KJ215" s="7"/>
      <c r="KK215" s="7"/>
      <c r="KL215" s="7"/>
      <c r="KM215" s="7"/>
      <c r="KN215" s="7"/>
      <c r="KO215" s="7"/>
      <c r="KP215" s="7"/>
      <c r="KQ215" s="7"/>
      <c r="KR215" s="7"/>
      <c r="KS215" s="7"/>
      <c r="KT215" s="7"/>
      <c r="KU215" s="7"/>
      <c r="KV215" s="7"/>
      <c r="KW215" s="7"/>
      <c r="KX215" s="7"/>
      <c r="KY215" s="7"/>
    </row>
    <row r="216" spans="1:311" s="3" customFormat="1">
      <c r="A216" s="67" t="s">
        <v>741</v>
      </c>
      <c r="B216" s="74" t="s">
        <v>338</v>
      </c>
      <c r="C216" s="74" t="s">
        <v>339</v>
      </c>
      <c r="D216" s="74" t="s">
        <v>340</v>
      </c>
      <c r="E216" s="74" t="s">
        <v>341</v>
      </c>
      <c r="F216" s="74" t="s">
        <v>768</v>
      </c>
      <c r="G216" s="74" t="s">
        <v>342</v>
      </c>
      <c r="H216" s="74" t="s">
        <v>305</v>
      </c>
      <c r="I216" s="6" t="s">
        <v>343</v>
      </c>
      <c r="J216" s="17">
        <v>1</v>
      </c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  <c r="KM216" s="7"/>
      <c r="KN216" s="7"/>
      <c r="KO216" s="7"/>
      <c r="KP216" s="7"/>
      <c r="KQ216" s="7"/>
      <c r="KR216" s="7"/>
      <c r="KS216" s="7"/>
      <c r="KT216" s="7"/>
      <c r="KU216" s="7"/>
      <c r="KV216" s="7"/>
      <c r="KW216" s="7"/>
      <c r="KX216" s="7"/>
      <c r="KY216" s="7"/>
    </row>
    <row r="217" spans="1:311" s="3" customFormat="1">
      <c r="A217" s="87" t="s">
        <v>665</v>
      </c>
      <c r="B217" s="14" t="s">
        <v>102</v>
      </c>
      <c r="C217" s="14" t="s">
        <v>103</v>
      </c>
      <c r="D217" s="14" t="s">
        <v>104</v>
      </c>
      <c r="E217" s="14" t="s">
        <v>344</v>
      </c>
      <c r="F217" s="14" t="s">
        <v>347</v>
      </c>
      <c r="G217" s="137">
        <v>979577</v>
      </c>
      <c r="H217" s="14" t="s">
        <v>305</v>
      </c>
      <c r="I217" s="11" t="s">
        <v>21</v>
      </c>
      <c r="J217" s="17">
        <v>77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  <c r="KN217" s="7"/>
      <c r="KO217" s="7"/>
      <c r="KP217" s="7"/>
      <c r="KQ217" s="7"/>
      <c r="KR217" s="7"/>
      <c r="KS217" s="7"/>
      <c r="KT217" s="7"/>
      <c r="KU217" s="7"/>
      <c r="KV217" s="7"/>
      <c r="KW217" s="7"/>
      <c r="KX217" s="7"/>
      <c r="KY217" s="7"/>
    </row>
    <row r="218" spans="1:311">
      <c r="A218" s="87"/>
      <c r="B218" s="14"/>
      <c r="C218" s="14"/>
      <c r="D218" s="14"/>
      <c r="E218" s="14"/>
      <c r="F218" s="14"/>
      <c r="G218" s="137"/>
      <c r="H218" s="14"/>
      <c r="I218" s="4" t="s">
        <v>297</v>
      </c>
      <c r="J218" s="19">
        <v>1</v>
      </c>
    </row>
    <row r="219" spans="1:311" s="3" customFormat="1">
      <c r="A219" s="67" t="s">
        <v>665</v>
      </c>
      <c r="B219" s="74" t="s">
        <v>102</v>
      </c>
      <c r="C219" s="74" t="s">
        <v>103</v>
      </c>
      <c r="D219" s="74" t="s">
        <v>104</v>
      </c>
      <c r="E219" s="74" t="s">
        <v>345</v>
      </c>
      <c r="F219" s="74" t="s">
        <v>348</v>
      </c>
      <c r="G219" s="74" t="s">
        <v>350</v>
      </c>
      <c r="H219" s="74" t="s">
        <v>305</v>
      </c>
      <c r="I219" s="11" t="s">
        <v>21</v>
      </c>
      <c r="J219" s="17">
        <v>4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7"/>
      <c r="KS219" s="7"/>
      <c r="KT219" s="7"/>
      <c r="KU219" s="7"/>
      <c r="KV219" s="7"/>
      <c r="KW219" s="7"/>
      <c r="KX219" s="7"/>
      <c r="KY219" s="7"/>
    </row>
    <row r="220" spans="1:311" s="3" customFormat="1">
      <c r="A220" s="87" t="s">
        <v>665</v>
      </c>
      <c r="B220" s="14" t="s">
        <v>102</v>
      </c>
      <c r="C220" s="14" t="s">
        <v>103</v>
      </c>
      <c r="D220" s="14" t="s">
        <v>104</v>
      </c>
      <c r="E220" s="14" t="s">
        <v>346</v>
      </c>
      <c r="F220" s="14" t="s">
        <v>349</v>
      </c>
      <c r="G220" s="51">
        <v>979578</v>
      </c>
      <c r="H220" s="14" t="s">
        <v>305</v>
      </c>
      <c r="I220" s="11" t="s">
        <v>21</v>
      </c>
      <c r="J220" s="17">
        <v>5</v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7"/>
      <c r="JO220" s="7"/>
      <c r="JP220" s="7"/>
      <c r="JQ220" s="7"/>
      <c r="JR220" s="7"/>
      <c r="JS220" s="7"/>
      <c r="JT220" s="7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7"/>
      <c r="KG220" s="7"/>
      <c r="KH220" s="7"/>
      <c r="KI220" s="7"/>
      <c r="KJ220" s="7"/>
      <c r="KK220" s="7"/>
      <c r="KL220" s="7"/>
      <c r="KM220" s="7"/>
      <c r="KN220" s="7"/>
      <c r="KO220" s="7"/>
      <c r="KP220" s="7"/>
      <c r="KQ220" s="7"/>
      <c r="KR220" s="7"/>
      <c r="KS220" s="7"/>
      <c r="KT220" s="7"/>
      <c r="KU220" s="7"/>
      <c r="KV220" s="7"/>
      <c r="KW220" s="7"/>
      <c r="KX220" s="7"/>
      <c r="KY220" s="7"/>
    </row>
    <row r="221" spans="1:311">
      <c r="A221" s="87"/>
      <c r="B221" s="14"/>
      <c r="C221" s="14"/>
      <c r="D221" s="14"/>
      <c r="E221" s="14"/>
      <c r="F221" s="14"/>
      <c r="G221" s="51"/>
      <c r="H221" s="14"/>
      <c r="I221" s="5" t="s">
        <v>299</v>
      </c>
      <c r="J221" s="19">
        <v>1</v>
      </c>
    </row>
    <row r="222" spans="1:311" s="3" customFormat="1">
      <c r="A222" s="67" t="s">
        <v>665</v>
      </c>
      <c r="B222" s="74" t="s">
        <v>102</v>
      </c>
      <c r="C222" s="74" t="s">
        <v>117</v>
      </c>
      <c r="D222" s="74" t="s">
        <v>118</v>
      </c>
      <c r="E222" s="74" t="s">
        <v>351</v>
      </c>
      <c r="F222" s="74" t="s">
        <v>354</v>
      </c>
      <c r="G222" s="74" t="s">
        <v>357</v>
      </c>
      <c r="H222" s="74" t="s">
        <v>305</v>
      </c>
      <c r="I222" s="6" t="s">
        <v>359</v>
      </c>
      <c r="J222" s="17" t="s">
        <v>360</v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  <c r="KM222" s="7"/>
      <c r="KN222" s="7"/>
      <c r="KO222" s="7"/>
      <c r="KP222" s="7"/>
      <c r="KQ222" s="7"/>
      <c r="KR222" s="7"/>
      <c r="KS222" s="7"/>
      <c r="KT222" s="7"/>
      <c r="KU222" s="7"/>
      <c r="KV222" s="7"/>
      <c r="KW222" s="7"/>
      <c r="KX222" s="7"/>
      <c r="KY222" s="7"/>
    </row>
    <row r="223" spans="1:311" s="3" customFormat="1" ht="51" customHeight="1">
      <c r="A223" s="67" t="s">
        <v>665</v>
      </c>
      <c r="B223" s="74" t="s">
        <v>102</v>
      </c>
      <c r="C223" s="74" t="s">
        <v>117</v>
      </c>
      <c r="D223" s="74" t="s">
        <v>118</v>
      </c>
      <c r="E223" s="74" t="s">
        <v>352</v>
      </c>
      <c r="F223" s="74" t="s">
        <v>355</v>
      </c>
      <c r="G223" s="74" t="s">
        <v>358</v>
      </c>
      <c r="H223" s="74" t="s">
        <v>305</v>
      </c>
      <c r="I223" s="8" t="s">
        <v>634</v>
      </c>
      <c r="J223" s="17" t="s">
        <v>361</v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  <c r="KM223" s="7"/>
      <c r="KN223" s="7"/>
      <c r="KO223" s="7"/>
      <c r="KP223" s="7"/>
      <c r="KQ223" s="7"/>
      <c r="KR223" s="7"/>
      <c r="KS223" s="7"/>
      <c r="KT223" s="7"/>
      <c r="KU223" s="7"/>
      <c r="KV223" s="7"/>
      <c r="KW223" s="7"/>
      <c r="KX223" s="7"/>
      <c r="KY223" s="7"/>
    </row>
    <row r="224" spans="1:311">
      <c r="A224" s="87" t="s">
        <v>665</v>
      </c>
      <c r="B224" s="14" t="s">
        <v>102</v>
      </c>
      <c r="C224" s="14" t="s">
        <v>117</v>
      </c>
      <c r="D224" s="14" t="s">
        <v>118</v>
      </c>
      <c r="E224" s="14" t="s">
        <v>353</v>
      </c>
      <c r="F224" s="14" t="s">
        <v>356</v>
      </c>
      <c r="G224" s="51">
        <v>985653</v>
      </c>
      <c r="H224" s="14" t="s">
        <v>305</v>
      </c>
      <c r="I224" s="11" t="s">
        <v>21</v>
      </c>
      <c r="J224" s="17">
        <v>1</v>
      </c>
    </row>
    <row r="225" spans="1:311">
      <c r="A225" s="87"/>
      <c r="B225" s="14"/>
      <c r="C225" s="14"/>
      <c r="D225" s="14"/>
      <c r="E225" s="14"/>
      <c r="F225" s="14"/>
      <c r="G225" s="51"/>
      <c r="H225" s="14"/>
      <c r="I225" s="18" t="s">
        <v>343</v>
      </c>
      <c r="J225" s="19">
        <v>1</v>
      </c>
    </row>
    <row r="226" spans="1:311">
      <c r="A226" s="67" t="s">
        <v>665</v>
      </c>
      <c r="B226" s="74" t="s">
        <v>102</v>
      </c>
      <c r="C226" s="74" t="s">
        <v>117</v>
      </c>
      <c r="D226" s="74" t="s">
        <v>362</v>
      </c>
      <c r="E226" s="74" t="s">
        <v>363</v>
      </c>
      <c r="F226" s="74" t="s">
        <v>365</v>
      </c>
      <c r="G226" s="74" t="s">
        <v>367</v>
      </c>
      <c r="H226" s="74" t="s">
        <v>305</v>
      </c>
      <c r="I226" s="11" t="s">
        <v>21</v>
      </c>
      <c r="J226" s="17">
        <v>34</v>
      </c>
    </row>
    <row r="227" spans="1:311">
      <c r="A227" s="67" t="s">
        <v>665</v>
      </c>
      <c r="B227" s="74" t="s">
        <v>102</v>
      </c>
      <c r="C227" s="74" t="s">
        <v>117</v>
      </c>
      <c r="D227" s="74" t="s">
        <v>362</v>
      </c>
      <c r="E227" s="74" t="s">
        <v>364</v>
      </c>
      <c r="F227" s="74" t="s">
        <v>366</v>
      </c>
      <c r="G227" s="74" t="s">
        <v>368</v>
      </c>
      <c r="H227" s="74" t="s">
        <v>305</v>
      </c>
      <c r="I227" s="11" t="s">
        <v>21</v>
      </c>
      <c r="J227" s="17">
        <v>65</v>
      </c>
    </row>
    <row r="228" spans="1:311" s="3" customFormat="1">
      <c r="A228" s="67" t="s">
        <v>665</v>
      </c>
      <c r="B228" s="74" t="s">
        <v>102</v>
      </c>
      <c r="C228" s="74" t="s">
        <v>117</v>
      </c>
      <c r="D228" s="74" t="s">
        <v>362</v>
      </c>
      <c r="E228" s="74" t="s">
        <v>369</v>
      </c>
      <c r="F228" s="74" t="s">
        <v>371</v>
      </c>
      <c r="G228" s="74" t="s">
        <v>373</v>
      </c>
      <c r="H228" s="74" t="s">
        <v>305</v>
      </c>
      <c r="I228" s="11" t="s">
        <v>21</v>
      </c>
      <c r="J228" s="17">
        <v>19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/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  <c r="KM228" s="7"/>
      <c r="KN228" s="7"/>
      <c r="KO228" s="7"/>
      <c r="KP228" s="7"/>
      <c r="KQ228" s="7"/>
      <c r="KR228" s="7"/>
      <c r="KS228" s="7"/>
      <c r="KT228" s="7"/>
      <c r="KU228" s="7"/>
      <c r="KV228" s="7"/>
      <c r="KW228" s="7"/>
      <c r="KX228" s="7"/>
      <c r="KY228" s="7"/>
    </row>
    <row r="229" spans="1:311">
      <c r="A229" s="87" t="s">
        <v>665</v>
      </c>
      <c r="B229" s="14" t="s">
        <v>102</v>
      </c>
      <c r="C229" s="14" t="s">
        <v>117</v>
      </c>
      <c r="D229" s="14" t="s">
        <v>362</v>
      </c>
      <c r="E229" s="14" t="s">
        <v>370</v>
      </c>
      <c r="F229" s="14" t="s">
        <v>372</v>
      </c>
      <c r="G229" s="51">
        <v>988835</v>
      </c>
      <c r="H229" s="14" t="s">
        <v>305</v>
      </c>
      <c r="I229" s="11" t="s">
        <v>21</v>
      </c>
      <c r="J229" s="17">
        <v>1</v>
      </c>
    </row>
    <row r="230" spans="1:311">
      <c r="A230" s="87"/>
      <c r="B230" s="14"/>
      <c r="C230" s="14"/>
      <c r="D230" s="14"/>
      <c r="E230" s="14"/>
      <c r="F230" s="14"/>
      <c r="G230" s="51"/>
      <c r="H230" s="14"/>
      <c r="I230" s="4" t="s">
        <v>289</v>
      </c>
      <c r="J230" s="19">
        <v>1</v>
      </c>
    </row>
    <row r="231" spans="1:311" s="7" customFormat="1">
      <c r="A231" s="67" t="s">
        <v>665</v>
      </c>
      <c r="B231" s="48" t="s">
        <v>102</v>
      </c>
      <c r="C231" s="48" t="s">
        <v>374</v>
      </c>
      <c r="D231" s="48" t="s">
        <v>375</v>
      </c>
      <c r="E231" s="48" t="s">
        <v>376</v>
      </c>
      <c r="F231" s="48" t="s">
        <v>377</v>
      </c>
      <c r="G231" s="48" t="s">
        <v>378</v>
      </c>
      <c r="H231" s="48" t="s">
        <v>305</v>
      </c>
      <c r="I231" s="11" t="s">
        <v>21</v>
      </c>
      <c r="J231" s="17">
        <v>43</v>
      </c>
    </row>
    <row r="232" spans="1:311" s="7" customFormat="1">
      <c r="A232" s="67"/>
      <c r="B232" s="92"/>
      <c r="C232" s="92"/>
      <c r="D232" s="92"/>
      <c r="E232" s="92"/>
      <c r="F232" s="92"/>
      <c r="G232" s="92"/>
      <c r="H232" s="92"/>
      <c r="I232" s="4" t="s">
        <v>289</v>
      </c>
      <c r="J232" s="19">
        <v>1</v>
      </c>
    </row>
    <row r="233" spans="1:311">
      <c r="A233" s="87" t="s">
        <v>665</v>
      </c>
      <c r="B233" s="14" t="s">
        <v>130</v>
      </c>
      <c r="C233" s="14" t="s">
        <v>379</v>
      </c>
      <c r="D233" s="14" t="s">
        <v>380</v>
      </c>
      <c r="E233" s="14" t="s">
        <v>381</v>
      </c>
      <c r="F233" s="14" t="s">
        <v>382</v>
      </c>
      <c r="G233" s="51">
        <v>991484</v>
      </c>
      <c r="H233" s="14" t="s">
        <v>305</v>
      </c>
      <c r="I233" s="11" t="s">
        <v>21</v>
      </c>
      <c r="J233" s="17">
        <v>3</v>
      </c>
    </row>
    <row r="234" spans="1:311">
      <c r="A234" s="87"/>
      <c r="B234" s="14"/>
      <c r="C234" s="14"/>
      <c r="D234" s="14"/>
      <c r="E234" s="14"/>
      <c r="F234" s="14"/>
      <c r="G234" s="51"/>
      <c r="H234" s="14"/>
      <c r="I234" s="5" t="s">
        <v>299</v>
      </c>
      <c r="J234" s="19">
        <v>1</v>
      </c>
    </row>
    <row r="235" spans="1:311" s="3" customFormat="1">
      <c r="A235" s="67" t="s">
        <v>665</v>
      </c>
      <c r="B235" s="74" t="s">
        <v>130</v>
      </c>
      <c r="C235" s="74" t="s">
        <v>383</v>
      </c>
      <c r="D235" s="74" t="s">
        <v>384</v>
      </c>
      <c r="E235" s="74" t="s">
        <v>385</v>
      </c>
      <c r="F235" s="74" t="s">
        <v>386</v>
      </c>
      <c r="G235" s="74" t="s">
        <v>387</v>
      </c>
      <c r="H235" s="74" t="s">
        <v>305</v>
      </c>
      <c r="I235" s="11" t="s">
        <v>21</v>
      </c>
      <c r="J235" s="17">
        <v>22</v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7"/>
      <c r="KP235" s="7"/>
      <c r="KQ235" s="7"/>
      <c r="KR235" s="7"/>
      <c r="KS235" s="7"/>
      <c r="KT235" s="7"/>
      <c r="KU235" s="7"/>
      <c r="KV235" s="7"/>
      <c r="KW235" s="7"/>
      <c r="KX235" s="7"/>
      <c r="KY235" s="7"/>
    </row>
    <row r="236" spans="1:311" s="3" customFormat="1">
      <c r="A236" s="67" t="s">
        <v>665</v>
      </c>
      <c r="B236" s="74" t="s">
        <v>130</v>
      </c>
      <c r="C236" s="74" t="s">
        <v>383</v>
      </c>
      <c r="D236" s="74" t="s">
        <v>388</v>
      </c>
      <c r="E236" s="74" t="s">
        <v>389</v>
      </c>
      <c r="F236" s="74" t="s">
        <v>390</v>
      </c>
      <c r="G236" s="74" t="s">
        <v>391</v>
      </c>
      <c r="H236" s="74" t="s">
        <v>305</v>
      </c>
      <c r="I236" s="11" t="s">
        <v>21</v>
      </c>
      <c r="J236" s="17">
        <v>99</v>
      </c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  <c r="KM236" s="7"/>
      <c r="KN236" s="7"/>
      <c r="KO236" s="7"/>
      <c r="KP236" s="7"/>
      <c r="KQ236" s="7"/>
      <c r="KR236" s="7"/>
      <c r="KS236" s="7"/>
      <c r="KT236" s="7"/>
      <c r="KU236" s="7"/>
      <c r="KV236" s="7"/>
      <c r="KW236" s="7"/>
      <c r="KX236" s="7"/>
      <c r="KY236" s="7"/>
    </row>
    <row r="237" spans="1:311" s="3" customFormat="1">
      <c r="A237" s="67" t="s">
        <v>665</v>
      </c>
      <c r="B237" s="74" t="s">
        <v>130</v>
      </c>
      <c r="C237" s="74" t="s">
        <v>131</v>
      </c>
      <c r="D237" s="74" t="s">
        <v>392</v>
      </c>
      <c r="E237" s="74" t="s">
        <v>393</v>
      </c>
      <c r="F237" s="74" t="s">
        <v>394</v>
      </c>
      <c r="G237" s="74" t="s">
        <v>395</v>
      </c>
      <c r="H237" s="74" t="s">
        <v>305</v>
      </c>
      <c r="I237" s="11" t="s">
        <v>21</v>
      </c>
      <c r="J237" s="17">
        <v>52</v>
      </c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/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7"/>
      <c r="KS237" s="7"/>
      <c r="KT237" s="7"/>
      <c r="KU237" s="7"/>
      <c r="KV237" s="7"/>
      <c r="KW237" s="7"/>
      <c r="KX237" s="7"/>
      <c r="KY237" s="7"/>
    </row>
    <row r="238" spans="1:311">
      <c r="A238" s="87" t="s">
        <v>665</v>
      </c>
      <c r="B238" s="14" t="s">
        <v>130</v>
      </c>
      <c r="C238" s="30" t="s">
        <v>131</v>
      </c>
      <c r="D238" s="14" t="s">
        <v>396</v>
      </c>
      <c r="E238" s="14" t="s">
        <v>397</v>
      </c>
      <c r="F238" s="14" t="s">
        <v>402</v>
      </c>
      <c r="G238" s="51">
        <v>991766</v>
      </c>
      <c r="H238" s="14" t="s">
        <v>305</v>
      </c>
      <c r="I238" s="11" t="s">
        <v>21</v>
      </c>
      <c r="J238" s="17">
        <v>3</v>
      </c>
    </row>
    <row r="239" spans="1:311">
      <c r="A239" s="87"/>
      <c r="B239" s="14"/>
      <c r="C239" s="30"/>
      <c r="D239" s="14"/>
      <c r="E239" s="14"/>
      <c r="F239" s="14"/>
      <c r="G239" s="51"/>
      <c r="H239" s="14"/>
      <c r="I239" s="4" t="s">
        <v>289</v>
      </c>
      <c r="J239" s="19">
        <v>1</v>
      </c>
    </row>
    <row r="240" spans="1:311" s="3" customFormat="1">
      <c r="A240" s="67" t="s">
        <v>665</v>
      </c>
      <c r="B240" s="74" t="s">
        <v>130</v>
      </c>
      <c r="C240" s="74" t="s">
        <v>131</v>
      </c>
      <c r="D240" s="74" t="s">
        <v>136</v>
      </c>
      <c r="E240" s="74" t="s">
        <v>398</v>
      </c>
      <c r="F240" s="74" t="s">
        <v>403</v>
      </c>
      <c r="G240" s="74" t="s">
        <v>407</v>
      </c>
      <c r="H240" s="74" t="s">
        <v>305</v>
      </c>
      <c r="I240" s="11" t="s">
        <v>21</v>
      </c>
      <c r="J240" s="17">
        <v>3</v>
      </c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  <c r="KN240" s="7"/>
      <c r="KO240" s="7"/>
      <c r="KP240" s="7"/>
      <c r="KQ240" s="7"/>
      <c r="KR240" s="7"/>
      <c r="KS240" s="7"/>
      <c r="KT240" s="7"/>
      <c r="KU240" s="7"/>
      <c r="KV240" s="7"/>
      <c r="KW240" s="7"/>
      <c r="KX240" s="7"/>
      <c r="KY240" s="7"/>
    </row>
    <row r="241" spans="1:311" s="3" customFormat="1">
      <c r="A241" s="67" t="s">
        <v>665</v>
      </c>
      <c r="B241" s="74" t="s">
        <v>130</v>
      </c>
      <c r="C241" s="74" t="s">
        <v>131</v>
      </c>
      <c r="D241" s="74" t="s">
        <v>136</v>
      </c>
      <c r="E241" s="74" t="s">
        <v>399</v>
      </c>
      <c r="F241" s="74" t="s">
        <v>404</v>
      </c>
      <c r="G241" s="74" t="s">
        <v>408</v>
      </c>
      <c r="H241" s="74" t="s">
        <v>305</v>
      </c>
      <c r="I241" s="11" t="s">
        <v>21</v>
      </c>
      <c r="J241" s="17">
        <v>1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  <c r="KN241" s="7"/>
      <c r="KO241" s="7"/>
      <c r="KP241" s="7"/>
      <c r="KQ241" s="7"/>
      <c r="KR241" s="7"/>
      <c r="KS241" s="7"/>
      <c r="KT241" s="7"/>
      <c r="KU241" s="7"/>
      <c r="KV241" s="7"/>
      <c r="KW241" s="7"/>
      <c r="KX241" s="7"/>
      <c r="KY241" s="7"/>
    </row>
    <row r="242" spans="1:311" s="3" customFormat="1">
      <c r="A242" s="67" t="s">
        <v>665</v>
      </c>
      <c r="B242" s="74" t="s">
        <v>130</v>
      </c>
      <c r="C242" s="74" t="s">
        <v>131</v>
      </c>
      <c r="D242" s="74" t="s">
        <v>136</v>
      </c>
      <c r="E242" s="74" t="s">
        <v>400</v>
      </c>
      <c r="F242" s="74" t="s">
        <v>405</v>
      </c>
      <c r="G242" s="74" t="s">
        <v>409</v>
      </c>
      <c r="H242" s="74" t="s">
        <v>305</v>
      </c>
      <c r="I242" s="11" t="s">
        <v>21</v>
      </c>
      <c r="J242" s="17">
        <v>9</v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  <c r="KM242" s="7"/>
      <c r="KN242" s="7"/>
      <c r="KO242" s="7"/>
      <c r="KP242" s="7"/>
      <c r="KQ242" s="7"/>
      <c r="KR242" s="7"/>
      <c r="KS242" s="7"/>
      <c r="KT242" s="7"/>
      <c r="KU242" s="7"/>
      <c r="KV242" s="7"/>
      <c r="KW242" s="7"/>
      <c r="KX242" s="7"/>
      <c r="KY242" s="7"/>
    </row>
    <row r="243" spans="1:311" s="15" customFormat="1">
      <c r="A243" s="67" t="s">
        <v>667</v>
      </c>
      <c r="B243" s="74" t="s">
        <v>247</v>
      </c>
      <c r="C243" s="74" t="s">
        <v>248</v>
      </c>
      <c r="D243" s="74" t="s">
        <v>249</v>
      </c>
      <c r="E243" s="77" t="s">
        <v>707</v>
      </c>
      <c r="F243" s="77" t="s">
        <v>709</v>
      </c>
      <c r="G243" s="53">
        <v>925320</v>
      </c>
      <c r="H243" s="101">
        <v>2021</v>
      </c>
      <c r="I243" s="11" t="s">
        <v>20</v>
      </c>
      <c r="J243" s="17">
        <v>1</v>
      </c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7"/>
      <c r="KS243" s="7"/>
      <c r="KT243" s="7"/>
      <c r="KU243" s="7"/>
      <c r="KV243" s="7"/>
      <c r="KW243" s="7"/>
      <c r="KX243" s="7"/>
      <c r="KY243" s="7"/>
    </row>
    <row r="244" spans="1:311" s="15" customFormat="1">
      <c r="A244" s="67" t="s">
        <v>667</v>
      </c>
      <c r="B244" s="74" t="s">
        <v>247</v>
      </c>
      <c r="C244" s="74" t="s">
        <v>705</v>
      </c>
      <c r="D244" s="74" t="s">
        <v>706</v>
      </c>
      <c r="E244" s="77" t="s">
        <v>708</v>
      </c>
      <c r="F244" s="77" t="s">
        <v>710</v>
      </c>
      <c r="G244" s="53">
        <v>904824</v>
      </c>
      <c r="H244" s="53">
        <v>2020</v>
      </c>
      <c r="I244" s="11" t="s">
        <v>20</v>
      </c>
      <c r="J244" s="17">
        <v>1</v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  <c r="KN244" s="7"/>
      <c r="KO244" s="7"/>
      <c r="KP244" s="7"/>
      <c r="KQ244" s="7"/>
      <c r="KR244" s="7"/>
      <c r="KS244" s="7"/>
      <c r="KT244" s="7"/>
      <c r="KU244" s="7"/>
      <c r="KV244" s="7"/>
      <c r="KW244" s="7"/>
      <c r="KX244" s="7"/>
      <c r="KY244" s="7"/>
    </row>
    <row r="245" spans="1:311" s="3" customFormat="1">
      <c r="A245" s="67" t="s">
        <v>665</v>
      </c>
      <c r="B245" s="74" t="s">
        <v>130</v>
      </c>
      <c r="C245" s="74" t="s">
        <v>131</v>
      </c>
      <c r="D245" s="74" t="s">
        <v>136</v>
      </c>
      <c r="E245" s="74" t="s">
        <v>401</v>
      </c>
      <c r="F245" s="74" t="s">
        <v>406</v>
      </c>
      <c r="G245" s="74" t="s">
        <v>410</v>
      </c>
      <c r="H245" s="74" t="s">
        <v>305</v>
      </c>
      <c r="I245" s="6" t="s">
        <v>20</v>
      </c>
      <c r="J245" s="35">
        <v>1</v>
      </c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  <c r="KM245" s="7"/>
      <c r="KN245" s="7"/>
      <c r="KO245" s="7"/>
      <c r="KP245" s="7"/>
      <c r="KQ245" s="7"/>
      <c r="KR245" s="7"/>
      <c r="KS245" s="7"/>
      <c r="KT245" s="7"/>
      <c r="KU245" s="7"/>
      <c r="KV245" s="7"/>
      <c r="KW245" s="7"/>
      <c r="KX245" s="7"/>
      <c r="KY245" s="7"/>
    </row>
    <row r="246" spans="1:311">
      <c r="A246" s="87" t="s">
        <v>668</v>
      </c>
      <c r="B246" s="14" t="s">
        <v>149</v>
      </c>
      <c r="C246" s="14" t="s">
        <v>411</v>
      </c>
      <c r="D246" s="14" t="s">
        <v>412</v>
      </c>
      <c r="E246" s="14" t="s">
        <v>413</v>
      </c>
      <c r="F246" s="14" t="s">
        <v>414</v>
      </c>
      <c r="G246" s="14" t="s">
        <v>415</v>
      </c>
      <c r="H246" s="14" t="s">
        <v>305</v>
      </c>
      <c r="I246" s="11" t="s">
        <v>21</v>
      </c>
      <c r="J246" s="17">
        <v>5</v>
      </c>
    </row>
    <row r="247" spans="1:311">
      <c r="A247" s="87"/>
      <c r="B247" s="14"/>
      <c r="C247" s="14"/>
      <c r="D247" s="14"/>
      <c r="E247" s="14"/>
      <c r="F247" s="14"/>
      <c r="G247" s="14"/>
      <c r="H247" s="14"/>
      <c r="I247" s="5" t="s">
        <v>299</v>
      </c>
      <c r="J247" s="19">
        <v>1</v>
      </c>
    </row>
    <row r="248" spans="1:311" s="3" customFormat="1">
      <c r="A248" s="67" t="s">
        <v>668</v>
      </c>
      <c r="B248" s="74" t="s">
        <v>149</v>
      </c>
      <c r="C248" s="74" t="s">
        <v>155</v>
      </c>
      <c r="D248" s="74" t="s">
        <v>156</v>
      </c>
      <c r="E248" s="74" t="s">
        <v>416</v>
      </c>
      <c r="F248" s="74" t="s">
        <v>419</v>
      </c>
      <c r="G248" s="74" t="s">
        <v>422</v>
      </c>
      <c r="H248" s="74" t="s">
        <v>305</v>
      </c>
      <c r="I248" s="11" t="s">
        <v>21</v>
      </c>
      <c r="J248" s="17">
        <v>98</v>
      </c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  <c r="KM248" s="7"/>
      <c r="KN248" s="7"/>
      <c r="KO248" s="7"/>
      <c r="KP248" s="7"/>
      <c r="KQ248" s="7"/>
      <c r="KR248" s="7"/>
      <c r="KS248" s="7"/>
      <c r="KT248" s="7"/>
      <c r="KU248" s="7"/>
      <c r="KV248" s="7"/>
      <c r="KW248" s="7"/>
      <c r="KX248" s="7"/>
      <c r="KY248" s="7"/>
    </row>
    <row r="249" spans="1:311" s="3" customFormat="1">
      <c r="A249" s="67" t="s">
        <v>668</v>
      </c>
      <c r="B249" s="74" t="s">
        <v>149</v>
      </c>
      <c r="C249" s="74" t="s">
        <v>155</v>
      </c>
      <c r="D249" s="74" t="s">
        <v>156</v>
      </c>
      <c r="E249" s="74" t="s">
        <v>417</v>
      </c>
      <c r="F249" s="74" t="s">
        <v>420</v>
      </c>
      <c r="G249" s="74" t="s">
        <v>423</v>
      </c>
      <c r="H249" s="74" t="s">
        <v>305</v>
      </c>
      <c r="I249" s="11" t="s">
        <v>21</v>
      </c>
      <c r="J249" s="17">
        <v>29</v>
      </c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  <c r="KM249" s="7"/>
      <c r="KN249" s="7"/>
      <c r="KO249" s="7"/>
      <c r="KP249" s="7"/>
      <c r="KQ249" s="7"/>
      <c r="KR249" s="7"/>
      <c r="KS249" s="7"/>
      <c r="KT249" s="7"/>
      <c r="KU249" s="7"/>
      <c r="KV249" s="7"/>
      <c r="KW249" s="7"/>
      <c r="KX249" s="7"/>
      <c r="KY249" s="7"/>
    </row>
    <row r="250" spans="1:311" s="3" customFormat="1">
      <c r="A250" s="67" t="s">
        <v>668</v>
      </c>
      <c r="B250" s="74" t="s">
        <v>149</v>
      </c>
      <c r="C250" s="74" t="s">
        <v>155</v>
      </c>
      <c r="D250" s="74" t="s">
        <v>156</v>
      </c>
      <c r="E250" s="74" t="s">
        <v>418</v>
      </c>
      <c r="F250" s="74" t="s">
        <v>421</v>
      </c>
      <c r="G250" s="74" t="s">
        <v>424</v>
      </c>
      <c r="H250" s="74" t="s">
        <v>305</v>
      </c>
      <c r="I250" s="11" t="s">
        <v>21</v>
      </c>
      <c r="J250" s="17">
        <v>24</v>
      </c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  <c r="KN250" s="7"/>
      <c r="KO250" s="7"/>
      <c r="KP250" s="7"/>
      <c r="KQ250" s="7"/>
      <c r="KR250" s="7"/>
      <c r="KS250" s="7"/>
      <c r="KT250" s="7"/>
      <c r="KU250" s="7"/>
      <c r="KV250" s="7"/>
      <c r="KW250" s="7"/>
      <c r="KX250" s="7"/>
      <c r="KY250" s="7"/>
    </row>
    <row r="251" spans="1:311" s="3" customFormat="1">
      <c r="A251" s="67" t="s">
        <v>668</v>
      </c>
      <c r="B251" s="74" t="s">
        <v>149</v>
      </c>
      <c r="C251" s="74" t="s">
        <v>163</v>
      </c>
      <c r="D251" s="74" t="s">
        <v>164</v>
      </c>
      <c r="E251" s="74" t="s">
        <v>425</v>
      </c>
      <c r="F251" s="74" t="s">
        <v>429</v>
      </c>
      <c r="G251" s="74" t="s">
        <v>433</v>
      </c>
      <c r="H251" s="74" t="s">
        <v>305</v>
      </c>
      <c r="I251" s="11" t="s">
        <v>21</v>
      </c>
      <c r="J251" s="17">
        <v>29</v>
      </c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  <c r="KM251" s="7"/>
      <c r="KN251" s="7"/>
      <c r="KO251" s="7"/>
      <c r="KP251" s="7"/>
      <c r="KQ251" s="7"/>
      <c r="KR251" s="7"/>
      <c r="KS251" s="7"/>
      <c r="KT251" s="7"/>
      <c r="KU251" s="7"/>
      <c r="KV251" s="7"/>
      <c r="KW251" s="7"/>
      <c r="KX251" s="7"/>
      <c r="KY251" s="7"/>
    </row>
    <row r="252" spans="1:311" s="3" customFormat="1">
      <c r="A252" s="67" t="s">
        <v>668</v>
      </c>
      <c r="B252" s="74" t="s">
        <v>149</v>
      </c>
      <c r="C252" s="74" t="s">
        <v>163</v>
      </c>
      <c r="D252" s="74" t="s">
        <v>164</v>
      </c>
      <c r="E252" s="74" t="s">
        <v>426</v>
      </c>
      <c r="F252" s="74" t="s">
        <v>430</v>
      </c>
      <c r="G252" s="74" t="s">
        <v>434</v>
      </c>
      <c r="H252" s="74" t="s">
        <v>305</v>
      </c>
      <c r="I252" s="11" t="s">
        <v>21</v>
      </c>
      <c r="J252" s="17">
        <v>3</v>
      </c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/>
      <c r="JR252" s="7"/>
      <c r="JS252" s="7"/>
      <c r="JT252" s="7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  <c r="KM252" s="7"/>
      <c r="KN252" s="7"/>
      <c r="KO252" s="7"/>
      <c r="KP252" s="7"/>
      <c r="KQ252" s="7"/>
      <c r="KR252" s="7"/>
      <c r="KS252" s="7"/>
      <c r="KT252" s="7"/>
      <c r="KU252" s="7"/>
      <c r="KV252" s="7"/>
      <c r="KW252" s="7"/>
      <c r="KX252" s="7"/>
      <c r="KY252" s="7"/>
    </row>
    <row r="253" spans="1:311" s="3" customFormat="1">
      <c r="A253" s="67" t="s">
        <v>668</v>
      </c>
      <c r="B253" s="74" t="s">
        <v>149</v>
      </c>
      <c r="C253" s="74" t="s">
        <v>163</v>
      </c>
      <c r="D253" s="74" t="s">
        <v>164</v>
      </c>
      <c r="E253" s="74" t="s">
        <v>427</v>
      </c>
      <c r="F253" s="74" t="s">
        <v>431</v>
      </c>
      <c r="G253" s="74" t="s">
        <v>435</v>
      </c>
      <c r="H253" s="74" t="s">
        <v>305</v>
      </c>
      <c r="I253" s="11" t="s">
        <v>21</v>
      </c>
      <c r="J253" s="17">
        <v>35</v>
      </c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  <c r="KM253" s="7"/>
      <c r="KN253" s="7"/>
      <c r="KO253" s="7"/>
      <c r="KP253" s="7"/>
      <c r="KQ253" s="7"/>
      <c r="KR253" s="7"/>
      <c r="KS253" s="7"/>
      <c r="KT253" s="7"/>
      <c r="KU253" s="7"/>
      <c r="KV253" s="7"/>
      <c r="KW253" s="7"/>
      <c r="KX253" s="7"/>
      <c r="KY253" s="7"/>
    </row>
    <row r="254" spans="1:311" s="3" customFormat="1">
      <c r="A254" s="67" t="s">
        <v>668</v>
      </c>
      <c r="B254" s="74" t="s">
        <v>149</v>
      </c>
      <c r="C254" s="74" t="s">
        <v>163</v>
      </c>
      <c r="D254" s="74" t="s">
        <v>164</v>
      </c>
      <c r="E254" s="74" t="s">
        <v>428</v>
      </c>
      <c r="F254" s="74" t="s">
        <v>432</v>
      </c>
      <c r="G254" s="74" t="s">
        <v>436</v>
      </c>
      <c r="H254" s="74" t="s">
        <v>305</v>
      </c>
      <c r="I254" s="11" t="s">
        <v>21</v>
      </c>
      <c r="J254" s="17">
        <v>6</v>
      </c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7"/>
      <c r="JO254" s="7"/>
      <c r="JP254" s="7"/>
      <c r="JQ254" s="7"/>
      <c r="JR254" s="7"/>
      <c r="JS254" s="7"/>
      <c r="JT254" s="7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7"/>
      <c r="KG254" s="7"/>
      <c r="KH254" s="7"/>
      <c r="KI254" s="7"/>
      <c r="KJ254" s="7"/>
      <c r="KK254" s="7"/>
      <c r="KL254" s="7"/>
      <c r="KM254" s="7"/>
      <c r="KN254" s="7"/>
      <c r="KO254" s="7"/>
      <c r="KP254" s="7"/>
      <c r="KQ254" s="7"/>
      <c r="KR254" s="7"/>
      <c r="KS254" s="7"/>
      <c r="KT254" s="7"/>
      <c r="KU254" s="7"/>
      <c r="KV254" s="7"/>
      <c r="KW254" s="7"/>
      <c r="KX254" s="7"/>
      <c r="KY254" s="7"/>
    </row>
    <row r="255" spans="1:311" s="3" customFormat="1">
      <c r="A255" s="67" t="s">
        <v>668</v>
      </c>
      <c r="B255" s="74" t="s">
        <v>149</v>
      </c>
      <c r="C255" s="74" t="s">
        <v>437</v>
      </c>
      <c r="D255" s="74" t="s">
        <v>438</v>
      </c>
      <c r="E255" s="74" t="s">
        <v>439</v>
      </c>
      <c r="F255" s="74" t="s">
        <v>440</v>
      </c>
      <c r="G255" s="74" t="s">
        <v>441</v>
      </c>
      <c r="H255" s="74" t="s">
        <v>305</v>
      </c>
      <c r="I255" s="11" t="s">
        <v>21</v>
      </c>
      <c r="J255" s="17">
        <v>97</v>
      </c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/>
      <c r="JR255" s="7"/>
      <c r="JS255" s="7"/>
      <c r="JT255" s="7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7"/>
      <c r="KG255" s="7"/>
      <c r="KH255" s="7"/>
      <c r="KI255" s="7"/>
      <c r="KJ255" s="7"/>
      <c r="KK255" s="7"/>
      <c r="KL255" s="7"/>
      <c r="KM255" s="7"/>
      <c r="KN255" s="7"/>
      <c r="KO255" s="7"/>
      <c r="KP255" s="7"/>
      <c r="KQ255" s="7"/>
      <c r="KR255" s="7"/>
      <c r="KS255" s="7"/>
      <c r="KT255" s="7"/>
      <c r="KU255" s="7"/>
      <c r="KV255" s="7"/>
      <c r="KW255" s="7"/>
      <c r="KX255" s="7"/>
      <c r="KY255" s="7"/>
    </row>
    <row r="256" spans="1:311" s="3" customFormat="1">
      <c r="A256" s="67" t="s">
        <v>665</v>
      </c>
      <c r="B256" s="74" t="s">
        <v>191</v>
      </c>
      <c r="C256" s="74" t="s">
        <v>442</v>
      </c>
      <c r="D256" s="74" t="s">
        <v>443</v>
      </c>
      <c r="E256" s="74" t="s">
        <v>444</v>
      </c>
      <c r="F256" s="74"/>
      <c r="G256" s="74" t="s">
        <v>445</v>
      </c>
      <c r="H256" s="74" t="s">
        <v>305</v>
      </c>
      <c r="I256" s="6" t="s">
        <v>633</v>
      </c>
      <c r="J256" s="17">
        <v>1</v>
      </c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  <c r="KM256" s="7"/>
      <c r="KN256" s="7"/>
      <c r="KO256" s="7"/>
      <c r="KP256" s="7"/>
      <c r="KQ256" s="7"/>
      <c r="KR256" s="7"/>
      <c r="KS256" s="7"/>
      <c r="KT256" s="7"/>
      <c r="KU256" s="7"/>
      <c r="KV256" s="7"/>
      <c r="KW256" s="7"/>
      <c r="KX256" s="7"/>
      <c r="KY256" s="7"/>
    </row>
    <row r="257" spans="1:311" s="3" customFormat="1">
      <c r="A257" s="67" t="s">
        <v>665</v>
      </c>
      <c r="B257" s="74" t="s">
        <v>191</v>
      </c>
      <c r="C257" s="74" t="s">
        <v>192</v>
      </c>
      <c r="D257" s="74" t="s">
        <v>193</v>
      </c>
      <c r="E257" s="74" t="s">
        <v>446</v>
      </c>
      <c r="F257" s="74" t="s">
        <v>448</v>
      </c>
      <c r="G257" s="74" t="s">
        <v>450</v>
      </c>
      <c r="H257" s="74" t="s">
        <v>305</v>
      </c>
      <c r="I257" s="11" t="s">
        <v>21</v>
      </c>
      <c r="J257" s="17">
        <v>1</v>
      </c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/>
      <c r="JR257" s="7"/>
      <c r="JS257" s="7"/>
      <c r="JT257" s="7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7"/>
      <c r="KG257" s="7"/>
      <c r="KH257" s="7"/>
      <c r="KI257" s="7"/>
      <c r="KJ257" s="7"/>
      <c r="KK257" s="7"/>
      <c r="KL257" s="7"/>
      <c r="KM257" s="7"/>
      <c r="KN257" s="7"/>
      <c r="KO257" s="7"/>
      <c r="KP257" s="7"/>
      <c r="KQ257" s="7"/>
      <c r="KR257" s="7"/>
      <c r="KS257" s="7"/>
      <c r="KT257" s="7"/>
      <c r="KU257" s="7"/>
      <c r="KV257" s="7"/>
      <c r="KW257" s="7"/>
      <c r="KX257" s="7"/>
      <c r="KY257" s="7"/>
    </row>
    <row r="258" spans="1:311" s="3" customFormat="1">
      <c r="A258" s="67" t="s">
        <v>665</v>
      </c>
      <c r="B258" s="74" t="s">
        <v>191</v>
      </c>
      <c r="C258" s="74" t="s">
        <v>192</v>
      </c>
      <c r="D258" s="74" t="s">
        <v>193</v>
      </c>
      <c r="E258" s="74" t="s">
        <v>447</v>
      </c>
      <c r="F258" s="74" t="s">
        <v>449</v>
      </c>
      <c r="G258" s="74" t="s">
        <v>451</v>
      </c>
      <c r="H258" s="74" t="s">
        <v>305</v>
      </c>
      <c r="I258" s="11" t="s">
        <v>21</v>
      </c>
      <c r="J258" s="17">
        <v>1</v>
      </c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  <c r="KM258" s="7"/>
      <c r="KN258" s="7"/>
      <c r="KO258" s="7"/>
      <c r="KP258" s="7"/>
      <c r="KQ258" s="7"/>
      <c r="KR258" s="7"/>
      <c r="KS258" s="7"/>
      <c r="KT258" s="7"/>
      <c r="KU258" s="7"/>
      <c r="KV258" s="7"/>
      <c r="KW258" s="7"/>
      <c r="KX258" s="7"/>
      <c r="KY258" s="7"/>
    </row>
    <row r="259" spans="1:311" s="3" customFormat="1">
      <c r="A259" s="67" t="s">
        <v>665</v>
      </c>
      <c r="B259" s="74" t="s">
        <v>191</v>
      </c>
      <c r="C259" s="74" t="s">
        <v>206</v>
      </c>
      <c r="D259" s="74" t="s">
        <v>207</v>
      </c>
      <c r="E259" s="74" t="s">
        <v>452</v>
      </c>
      <c r="F259" s="74" t="s">
        <v>457</v>
      </c>
      <c r="G259" s="74" t="s">
        <v>462</v>
      </c>
      <c r="H259" s="74" t="s">
        <v>305</v>
      </c>
      <c r="I259" s="11" t="s">
        <v>21</v>
      </c>
      <c r="J259" s="17">
        <v>100</v>
      </c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  <c r="KN259" s="7"/>
      <c r="KO259" s="7"/>
      <c r="KP259" s="7"/>
      <c r="KQ259" s="7"/>
      <c r="KR259" s="7"/>
      <c r="KS259" s="7"/>
      <c r="KT259" s="7"/>
      <c r="KU259" s="7"/>
      <c r="KV259" s="7"/>
      <c r="KW259" s="7"/>
      <c r="KX259" s="7"/>
      <c r="KY259" s="7"/>
    </row>
    <row r="260" spans="1:311">
      <c r="A260" s="87" t="s">
        <v>665</v>
      </c>
      <c r="B260" s="14" t="s">
        <v>191</v>
      </c>
      <c r="C260" s="14" t="s">
        <v>206</v>
      </c>
      <c r="D260" s="14" t="s">
        <v>207</v>
      </c>
      <c r="E260" s="14" t="s">
        <v>453</v>
      </c>
      <c r="F260" s="14" t="s">
        <v>458</v>
      </c>
      <c r="G260" s="14" t="s">
        <v>463</v>
      </c>
      <c r="H260" s="14" t="s">
        <v>305</v>
      </c>
      <c r="I260" s="11" t="s">
        <v>21</v>
      </c>
      <c r="J260" s="17">
        <v>9</v>
      </c>
    </row>
    <row r="261" spans="1:311">
      <c r="A261" s="87"/>
      <c r="B261" s="14"/>
      <c r="C261" s="14"/>
      <c r="D261" s="14"/>
      <c r="E261" s="14"/>
      <c r="F261" s="14"/>
      <c r="G261" s="14"/>
      <c r="H261" s="14"/>
      <c r="I261" s="4" t="s">
        <v>297</v>
      </c>
      <c r="J261" s="19">
        <v>1</v>
      </c>
    </row>
    <row r="262" spans="1:311" s="3" customFormat="1">
      <c r="A262" s="67" t="s">
        <v>665</v>
      </c>
      <c r="B262" s="74" t="s">
        <v>191</v>
      </c>
      <c r="C262" s="74" t="s">
        <v>206</v>
      </c>
      <c r="D262" s="74" t="s">
        <v>207</v>
      </c>
      <c r="E262" s="74" t="s">
        <v>454</v>
      </c>
      <c r="F262" s="74" t="s">
        <v>459</v>
      </c>
      <c r="G262" s="74" t="s">
        <v>464</v>
      </c>
      <c r="H262" s="74" t="s">
        <v>305</v>
      </c>
      <c r="I262" s="11" t="s">
        <v>21</v>
      </c>
      <c r="J262" s="17">
        <v>12</v>
      </c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  <c r="KM262" s="7"/>
      <c r="KN262" s="7"/>
      <c r="KO262" s="7"/>
      <c r="KP262" s="7"/>
      <c r="KQ262" s="7"/>
      <c r="KR262" s="7"/>
      <c r="KS262" s="7"/>
      <c r="KT262" s="7"/>
      <c r="KU262" s="7"/>
      <c r="KV262" s="7"/>
      <c r="KW262" s="7"/>
      <c r="KX262" s="7"/>
      <c r="KY262" s="7"/>
    </row>
    <row r="263" spans="1:311" s="3" customFormat="1">
      <c r="A263" s="67" t="s">
        <v>665</v>
      </c>
      <c r="B263" s="74" t="s">
        <v>191</v>
      </c>
      <c r="C263" s="74" t="s">
        <v>206</v>
      </c>
      <c r="D263" s="74" t="s">
        <v>207</v>
      </c>
      <c r="E263" s="74" t="s">
        <v>455</v>
      </c>
      <c r="F263" s="74" t="s">
        <v>460</v>
      </c>
      <c r="G263" s="74" t="s">
        <v>465</v>
      </c>
      <c r="H263" s="74" t="s">
        <v>305</v>
      </c>
      <c r="I263" s="11" t="s">
        <v>21</v>
      </c>
      <c r="J263" s="17">
        <v>4</v>
      </c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/>
      <c r="JR263" s="7"/>
      <c r="JS263" s="7"/>
      <c r="JT263" s="7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7"/>
      <c r="KG263" s="7"/>
      <c r="KH263" s="7"/>
      <c r="KI263" s="7"/>
      <c r="KJ263" s="7"/>
      <c r="KK263" s="7"/>
      <c r="KL263" s="7"/>
      <c r="KM263" s="7"/>
      <c r="KN263" s="7"/>
      <c r="KO263" s="7"/>
      <c r="KP263" s="7"/>
      <c r="KQ263" s="7"/>
      <c r="KR263" s="7"/>
      <c r="KS263" s="7"/>
      <c r="KT263" s="7"/>
      <c r="KU263" s="7"/>
      <c r="KV263" s="7"/>
      <c r="KW263" s="7"/>
      <c r="KX263" s="7"/>
      <c r="KY263" s="7"/>
    </row>
    <row r="264" spans="1:311" s="3" customFormat="1">
      <c r="A264" s="67" t="s">
        <v>665</v>
      </c>
      <c r="B264" s="74" t="s">
        <v>191</v>
      </c>
      <c r="C264" s="74" t="s">
        <v>206</v>
      </c>
      <c r="D264" s="74" t="s">
        <v>207</v>
      </c>
      <c r="E264" s="74" t="s">
        <v>456</v>
      </c>
      <c r="F264" s="74" t="s">
        <v>461</v>
      </c>
      <c r="G264" s="74" t="s">
        <v>466</v>
      </c>
      <c r="H264" s="74" t="s">
        <v>305</v>
      </c>
      <c r="I264" s="11" t="s">
        <v>21</v>
      </c>
      <c r="J264" s="17">
        <v>9</v>
      </c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/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7"/>
      <c r="KG264" s="7"/>
      <c r="KH264" s="7"/>
      <c r="KI264" s="7"/>
      <c r="KJ264" s="7"/>
      <c r="KK264" s="7"/>
      <c r="KL264" s="7"/>
      <c r="KM264" s="7"/>
      <c r="KN264" s="7"/>
      <c r="KO264" s="7"/>
      <c r="KP264" s="7"/>
      <c r="KQ264" s="7"/>
      <c r="KR264" s="7"/>
      <c r="KS264" s="7"/>
      <c r="KT264" s="7"/>
      <c r="KU264" s="7"/>
      <c r="KV264" s="7"/>
      <c r="KW264" s="7"/>
      <c r="KX264" s="7"/>
      <c r="KY264" s="7"/>
    </row>
    <row r="265" spans="1:311">
      <c r="A265" s="87" t="s">
        <v>665</v>
      </c>
      <c r="B265" s="14" t="s">
        <v>191</v>
      </c>
      <c r="C265" s="14" t="s">
        <v>467</v>
      </c>
      <c r="D265" s="14" t="s">
        <v>75</v>
      </c>
      <c r="E265" s="14" t="s">
        <v>468</v>
      </c>
      <c r="F265" s="14" t="s">
        <v>469</v>
      </c>
      <c r="G265" s="14" t="s">
        <v>470</v>
      </c>
      <c r="H265" s="14" t="s">
        <v>305</v>
      </c>
      <c r="I265" s="11" t="s">
        <v>21</v>
      </c>
      <c r="J265" s="17">
        <v>224</v>
      </c>
    </row>
    <row r="266" spans="1:311">
      <c r="A266" s="87"/>
      <c r="B266" s="14"/>
      <c r="C266" s="14"/>
      <c r="D266" s="14"/>
      <c r="E266" s="14"/>
      <c r="F266" s="14"/>
      <c r="G266" s="14"/>
      <c r="H266" s="14"/>
      <c r="I266" s="5" t="s">
        <v>299</v>
      </c>
      <c r="J266" s="19">
        <v>1</v>
      </c>
    </row>
    <row r="267" spans="1:311" s="3" customFormat="1">
      <c r="A267" s="67" t="s">
        <v>668</v>
      </c>
      <c r="B267" s="74" t="s">
        <v>226</v>
      </c>
      <c r="C267" s="74" t="s">
        <v>471</v>
      </c>
      <c r="D267" s="74" t="s">
        <v>472</v>
      </c>
      <c r="E267" s="74" t="s">
        <v>473</v>
      </c>
      <c r="F267" s="74" t="s">
        <v>474</v>
      </c>
      <c r="G267" s="74" t="s">
        <v>475</v>
      </c>
      <c r="H267" s="74" t="s">
        <v>305</v>
      </c>
      <c r="I267" s="11" t="s">
        <v>21</v>
      </c>
      <c r="J267" s="17">
        <v>22</v>
      </c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  <c r="KM267" s="7"/>
      <c r="KN267" s="7"/>
      <c r="KO267" s="7"/>
      <c r="KP267" s="7"/>
      <c r="KQ267" s="7"/>
      <c r="KR267" s="7"/>
      <c r="KS267" s="7"/>
      <c r="KT267" s="7"/>
      <c r="KU267" s="7"/>
      <c r="KV267" s="7"/>
      <c r="KW267" s="7"/>
      <c r="KX267" s="7"/>
      <c r="KY267" s="7"/>
    </row>
    <row r="268" spans="1:311" s="3" customFormat="1">
      <c r="A268" s="67" t="s">
        <v>668</v>
      </c>
      <c r="B268" s="74" t="s">
        <v>226</v>
      </c>
      <c r="C268" s="74" t="s">
        <v>476</v>
      </c>
      <c r="D268" s="74" t="s">
        <v>477</v>
      </c>
      <c r="E268" s="74" t="s">
        <v>478</v>
      </c>
      <c r="F268" s="74" t="s">
        <v>479</v>
      </c>
      <c r="G268" s="74" t="s">
        <v>480</v>
      </c>
      <c r="H268" s="74" t="s">
        <v>305</v>
      </c>
      <c r="I268" s="6" t="s">
        <v>289</v>
      </c>
      <c r="J268" s="17">
        <v>1</v>
      </c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7"/>
      <c r="JO268" s="7"/>
      <c r="JP268" s="7"/>
      <c r="JQ268" s="7"/>
      <c r="JR268" s="7"/>
      <c r="JS268" s="7"/>
      <c r="JT268" s="7"/>
      <c r="JU268" s="7"/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7"/>
      <c r="KG268" s="7"/>
      <c r="KH268" s="7"/>
      <c r="KI268" s="7"/>
      <c r="KJ268" s="7"/>
      <c r="KK268" s="7"/>
      <c r="KL268" s="7"/>
      <c r="KM268" s="7"/>
      <c r="KN268" s="7"/>
      <c r="KO268" s="7"/>
      <c r="KP268" s="7"/>
      <c r="KQ268" s="7"/>
      <c r="KR268" s="7"/>
      <c r="KS268" s="7"/>
      <c r="KT268" s="7"/>
      <c r="KU268" s="7"/>
      <c r="KV268" s="7"/>
      <c r="KW268" s="7"/>
      <c r="KX268" s="7"/>
      <c r="KY268" s="7"/>
    </row>
    <row r="269" spans="1:311">
      <c r="A269" s="87" t="s">
        <v>668</v>
      </c>
      <c r="B269" s="14" t="s">
        <v>241</v>
      </c>
      <c r="C269" s="14" t="s">
        <v>481</v>
      </c>
      <c r="D269" s="14" t="s">
        <v>340</v>
      </c>
      <c r="E269" s="86" t="s">
        <v>766</v>
      </c>
      <c r="F269" s="86" t="s">
        <v>767</v>
      </c>
      <c r="G269" s="14" t="s">
        <v>482</v>
      </c>
      <c r="H269" s="74" t="s">
        <v>305</v>
      </c>
      <c r="I269" s="11" t="s">
        <v>21</v>
      </c>
      <c r="J269" s="17">
        <v>3</v>
      </c>
    </row>
    <row r="270" spans="1:311">
      <c r="A270" s="87"/>
      <c r="B270" s="14"/>
      <c r="C270" s="14"/>
      <c r="D270" s="14"/>
      <c r="E270" s="14"/>
      <c r="F270" s="14"/>
      <c r="G270" s="14"/>
      <c r="H270" s="74"/>
      <c r="I270" s="18" t="s">
        <v>343</v>
      </c>
      <c r="J270" s="19">
        <v>1</v>
      </c>
    </row>
    <row r="271" spans="1:311">
      <c r="A271" s="87" t="s">
        <v>668</v>
      </c>
      <c r="B271" s="14" t="s">
        <v>241</v>
      </c>
      <c r="C271" s="91" t="s">
        <v>483</v>
      </c>
      <c r="D271" s="14" t="s">
        <v>484</v>
      </c>
      <c r="E271" s="14" t="s">
        <v>485</v>
      </c>
      <c r="F271" s="14" t="s">
        <v>486</v>
      </c>
      <c r="G271" s="14" t="s">
        <v>487</v>
      </c>
      <c r="H271" s="14" t="s">
        <v>305</v>
      </c>
      <c r="I271" s="11" t="s">
        <v>21</v>
      </c>
      <c r="J271" s="17">
        <v>1</v>
      </c>
    </row>
    <row r="272" spans="1:311">
      <c r="A272" s="87"/>
      <c r="B272" s="14"/>
      <c r="C272" s="91"/>
      <c r="D272" s="14"/>
      <c r="E272" s="14"/>
      <c r="F272" s="14"/>
      <c r="G272" s="14"/>
      <c r="H272" s="14"/>
      <c r="I272" s="5" t="s">
        <v>299</v>
      </c>
      <c r="J272" s="19">
        <v>1</v>
      </c>
    </row>
    <row r="273" spans="1:311" s="3" customFormat="1">
      <c r="A273" s="67" t="s">
        <v>667</v>
      </c>
      <c r="B273" s="74" t="s">
        <v>247</v>
      </c>
      <c r="C273" s="74" t="s">
        <v>488</v>
      </c>
      <c r="D273" s="74" t="s">
        <v>489</v>
      </c>
      <c r="E273" s="74" t="s">
        <v>490</v>
      </c>
      <c r="F273" s="74"/>
      <c r="G273" s="74" t="s">
        <v>491</v>
      </c>
      <c r="H273" s="74" t="s">
        <v>305</v>
      </c>
      <c r="I273" s="11" t="s">
        <v>21</v>
      </c>
      <c r="J273" s="17">
        <v>12</v>
      </c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7"/>
      <c r="JO273" s="7"/>
      <c r="JP273" s="7"/>
      <c r="JQ273" s="7"/>
      <c r="JR273" s="7"/>
      <c r="JS273" s="7"/>
      <c r="JT273" s="7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7"/>
      <c r="KG273" s="7"/>
      <c r="KH273" s="7"/>
      <c r="KI273" s="7"/>
      <c r="KJ273" s="7"/>
      <c r="KK273" s="7"/>
      <c r="KL273" s="7"/>
      <c r="KM273" s="7"/>
      <c r="KN273" s="7"/>
      <c r="KO273" s="7"/>
      <c r="KP273" s="7"/>
      <c r="KQ273" s="7"/>
      <c r="KR273" s="7"/>
      <c r="KS273" s="7"/>
      <c r="KT273" s="7"/>
      <c r="KU273" s="7"/>
      <c r="KV273" s="7"/>
      <c r="KW273" s="7"/>
      <c r="KX273" s="7"/>
      <c r="KY273" s="7"/>
    </row>
    <row r="274" spans="1:311" s="3" customFormat="1">
      <c r="A274" s="67" t="s">
        <v>667</v>
      </c>
      <c r="B274" s="74" t="s">
        <v>247</v>
      </c>
      <c r="C274" s="74" t="s">
        <v>492</v>
      </c>
      <c r="D274" s="74" t="s">
        <v>493</v>
      </c>
      <c r="E274" s="74" t="s">
        <v>494</v>
      </c>
      <c r="F274" s="74" t="s">
        <v>496</v>
      </c>
      <c r="G274" s="74" t="s">
        <v>498</v>
      </c>
      <c r="H274" s="74" t="s">
        <v>305</v>
      </c>
      <c r="I274" s="11" t="s">
        <v>21</v>
      </c>
      <c r="J274" s="17">
        <v>1</v>
      </c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7"/>
      <c r="JO274" s="7"/>
      <c r="JP274" s="7"/>
      <c r="JQ274" s="7"/>
      <c r="JR274" s="7"/>
      <c r="JS274" s="7"/>
      <c r="JT274" s="7"/>
      <c r="JU274" s="7"/>
      <c r="JV274" s="7"/>
      <c r="JW274" s="7"/>
      <c r="JX274" s="7"/>
      <c r="JY274" s="7"/>
      <c r="JZ274" s="7"/>
      <c r="KA274" s="7"/>
      <c r="KB274" s="7"/>
      <c r="KC274" s="7"/>
      <c r="KD274" s="7"/>
      <c r="KE274" s="7"/>
      <c r="KF274" s="7"/>
      <c r="KG274" s="7"/>
      <c r="KH274" s="7"/>
      <c r="KI274" s="7"/>
      <c r="KJ274" s="7"/>
      <c r="KK274" s="7"/>
      <c r="KL274" s="7"/>
      <c r="KM274" s="7"/>
      <c r="KN274" s="7"/>
      <c r="KO274" s="7"/>
      <c r="KP274" s="7"/>
      <c r="KQ274" s="7"/>
      <c r="KR274" s="7"/>
      <c r="KS274" s="7"/>
      <c r="KT274" s="7"/>
      <c r="KU274" s="7"/>
      <c r="KV274" s="7"/>
      <c r="KW274" s="7"/>
      <c r="KX274" s="7"/>
      <c r="KY274" s="7"/>
    </row>
    <row r="275" spans="1:311">
      <c r="A275" s="67" t="s">
        <v>667</v>
      </c>
      <c r="B275" s="74" t="s">
        <v>247</v>
      </c>
      <c r="C275" s="74" t="s">
        <v>492</v>
      </c>
      <c r="D275" s="74" t="s">
        <v>493</v>
      </c>
      <c r="E275" s="74" t="s">
        <v>495</v>
      </c>
      <c r="F275" s="74" t="s">
        <v>497</v>
      </c>
      <c r="G275" s="74" t="s">
        <v>499</v>
      </c>
      <c r="H275" s="74" t="s">
        <v>305</v>
      </c>
      <c r="I275" s="11" t="s">
        <v>21</v>
      </c>
      <c r="J275" s="17">
        <v>12</v>
      </c>
    </row>
    <row r="276" spans="1:311">
      <c r="A276" s="87" t="s">
        <v>667</v>
      </c>
      <c r="B276" s="14" t="s">
        <v>247</v>
      </c>
      <c r="C276" s="14" t="s">
        <v>500</v>
      </c>
      <c r="D276" s="14" t="s">
        <v>501</v>
      </c>
      <c r="E276" s="14" t="s">
        <v>502</v>
      </c>
      <c r="F276" s="14" t="s">
        <v>503</v>
      </c>
      <c r="G276" s="14" t="s">
        <v>504</v>
      </c>
      <c r="H276" s="14" t="s">
        <v>305</v>
      </c>
      <c r="I276" s="11" t="s">
        <v>21</v>
      </c>
      <c r="J276" s="17">
        <v>4</v>
      </c>
    </row>
    <row r="277" spans="1:311">
      <c r="A277" s="87"/>
      <c r="B277" s="14"/>
      <c r="C277" s="14"/>
      <c r="D277" s="14"/>
      <c r="E277" s="14"/>
      <c r="F277" s="14"/>
      <c r="G277" s="14"/>
      <c r="H277" s="14"/>
      <c r="I277" s="5" t="s">
        <v>299</v>
      </c>
      <c r="J277" s="19">
        <v>1</v>
      </c>
    </row>
    <row r="278" spans="1:311" s="3" customFormat="1">
      <c r="A278" s="67" t="s">
        <v>667</v>
      </c>
      <c r="B278" s="74" t="s">
        <v>247</v>
      </c>
      <c r="C278" s="74" t="s">
        <v>505</v>
      </c>
      <c r="D278" s="74" t="s">
        <v>75</v>
      </c>
      <c r="E278" s="74" t="s">
        <v>506</v>
      </c>
      <c r="F278" s="74"/>
      <c r="G278" s="74" t="s">
        <v>507</v>
      </c>
      <c r="H278" s="74" t="s">
        <v>305</v>
      </c>
      <c r="I278" s="11" t="s">
        <v>21</v>
      </c>
      <c r="J278" s="17">
        <v>5</v>
      </c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7"/>
      <c r="JR278" s="7"/>
      <c r="JS278" s="7"/>
      <c r="JT278" s="7"/>
      <c r="JU278" s="7"/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7"/>
      <c r="KG278" s="7"/>
      <c r="KH278" s="7"/>
      <c r="KI278" s="7"/>
      <c r="KJ278" s="7"/>
      <c r="KK278" s="7"/>
      <c r="KL278" s="7"/>
      <c r="KM278" s="7"/>
      <c r="KN278" s="7"/>
      <c r="KO278" s="7"/>
      <c r="KP278" s="7"/>
      <c r="KQ278" s="7"/>
      <c r="KR278" s="7"/>
      <c r="KS278" s="7"/>
      <c r="KT278" s="7"/>
      <c r="KU278" s="7"/>
      <c r="KV278" s="7"/>
      <c r="KW278" s="7"/>
      <c r="KX278" s="7"/>
      <c r="KY278" s="7"/>
    </row>
    <row r="279" spans="1:311" s="3" customFormat="1">
      <c r="A279" s="67" t="s">
        <v>667</v>
      </c>
      <c r="B279" s="74" t="s">
        <v>247</v>
      </c>
      <c r="C279" s="74" t="s">
        <v>508</v>
      </c>
      <c r="D279" s="74" t="s">
        <v>509</v>
      </c>
      <c r="E279" s="74" t="s">
        <v>510</v>
      </c>
      <c r="F279" s="74" t="s">
        <v>511</v>
      </c>
      <c r="G279" s="53">
        <v>978894</v>
      </c>
      <c r="H279" s="74" t="s">
        <v>305</v>
      </c>
      <c r="I279" s="11" t="s">
        <v>21</v>
      </c>
      <c r="J279" s="17">
        <v>48</v>
      </c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/>
      <c r="JR279" s="7"/>
      <c r="JS279" s="7"/>
      <c r="JT279" s="7"/>
      <c r="JU279" s="7"/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7"/>
      <c r="KG279" s="7"/>
      <c r="KH279" s="7"/>
      <c r="KI279" s="7"/>
      <c r="KJ279" s="7"/>
      <c r="KK279" s="7"/>
      <c r="KL279" s="7"/>
      <c r="KM279" s="7"/>
      <c r="KN279" s="7"/>
      <c r="KO279" s="7"/>
      <c r="KP279" s="7"/>
      <c r="KQ279" s="7"/>
      <c r="KR279" s="7"/>
      <c r="KS279" s="7"/>
      <c r="KT279" s="7"/>
      <c r="KU279" s="7"/>
      <c r="KV279" s="7"/>
      <c r="KW279" s="7"/>
      <c r="KX279" s="7"/>
      <c r="KY279" s="7"/>
    </row>
    <row r="280" spans="1:311">
      <c r="A280" s="87" t="s">
        <v>667</v>
      </c>
      <c r="B280" s="14" t="s">
        <v>247</v>
      </c>
      <c r="C280" s="14" t="s">
        <v>512</v>
      </c>
      <c r="D280" s="14" t="s">
        <v>513</v>
      </c>
      <c r="E280" s="14" t="s">
        <v>514</v>
      </c>
      <c r="F280" s="14" t="s">
        <v>515</v>
      </c>
      <c r="G280" s="14" t="s">
        <v>516</v>
      </c>
      <c r="H280" s="14" t="s">
        <v>305</v>
      </c>
      <c r="I280" s="11" t="s">
        <v>21</v>
      </c>
      <c r="J280" s="17">
        <v>183</v>
      </c>
    </row>
    <row r="281" spans="1:311">
      <c r="A281" s="87"/>
      <c r="B281" s="14"/>
      <c r="C281" s="14"/>
      <c r="D281" s="14"/>
      <c r="E281" s="14"/>
      <c r="F281" s="14"/>
      <c r="G281" s="14"/>
      <c r="H281" s="14"/>
      <c r="I281" s="5" t="s">
        <v>299</v>
      </c>
      <c r="J281" s="56">
        <v>1</v>
      </c>
    </row>
    <row r="282" spans="1:311" s="13" customFormat="1">
      <c r="A282" s="87" t="s">
        <v>665</v>
      </c>
      <c r="B282" s="14" t="s">
        <v>102</v>
      </c>
      <c r="C282" s="14" t="s">
        <v>374</v>
      </c>
      <c r="D282" s="14" t="s">
        <v>784</v>
      </c>
      <c r="E282" s="86" t="s">
        <v>376</v>
      </c>
      <c r="F282" s="86" t="s">
        <v>785</v>
      </c>
      <c r="G282" s="48" t="s">
        <v>703</v>
      </c>
      <c r="H282" s="14" t="s">
        <v>305</v>
      </c>
      <c r="I282" s="6" t="s">
        <v>21</v>
      </c>
      <c r="J282" s="17">
        <v>44</v>
      </c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  <c r="JR282" s="7"/>
      <c r="JS282" s="7"/>
      <c r="JT282" s="7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7"/>
      <c r="KG282" s="7"/>
      <c r="KH282" s="7"/>
      <c r="KI282" s="7"/>
      <c r="KJ282" s="7"/>
      <c r="KK282" s="7"/>
      <c r="KL282" s="7"/>
      <c r="KM282" s="7"/>
      <c r="KN282" s="7"/>
      <c r="KO282" s="7"/>
      <c r="KP282" s="7"/>
      <c r="KQ282" s="7"/>
      <c r="KR282" s="7"/>
      <c r="KS282" s="7"/>
      <c r="KT282" s="7"/>
      <c r="KU282" s="7"/>
      <c r="KV282" s="7"/>
      <c r="KW282" s="7"/>
      <c r="KX282" s="7"/>
      <c r="KY282" s="7"/>
    </row>
    <row r="283" spans="1:311" s="13" customFormat="1">
      <c r="A283" s="87"/>
      <c r="B283" s="14"/>
      <c r="C283" s="14"/>
      <c r="D283" s="14"/>
      <c r="E283" s="14"/>
      <c r="F283" s="14"/>
      <c r="G283" s="92"/>
      <c r="H283" s="14"/>
      <c r="I283" s="5" t="s">
        <v>289</v>
      </c>
      <c r="J283" s="19">
        <v>1</v>
      </c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  <c r="KM283" s="7"/>
      <c r="KN283" s="7"/>
      <c r="KO283" s="7"/>
      <c r="KP283" s="7"/>
      <c r="KQ283" s="7"/>
      <c r="KR283" s="7"/>
      <c r="KS283" s="7"/>
      <c r="KT283" s="7"/>
      <c r="KU283" s="7"/>
      <c r="KV283" s="7"/>
      <c r="KW283" s="7"/>
      <c r="KX283" s="7"/>
      <c r="KY283" s="7"/>
    </row>
    <row r="284" spans="1:311" s="13" customFormat="1">
      <c r="A284" s="67" t="s">
        <v>666</v>
      </c>
      <c r="B284" s="74" t="s">
        <v>36</v>
      </c>
      <c r="C284" s="74" t="s">
        <v>37</v>
      </c>
      <c r="D284" s="74" t="s">
        <v>763</v>
      </c>
      <c r="E284" s="74"/>
      <c r="F284" s="77" t="s">
        <v>764</v>
      </c>
      <c r="G284" s="74" t="s">
        <v>765</v>
      </c>
      <c r="H284" s="53">
        <v>2020</v>
      </c>
      <c r="I284" s="6" t="s">
        <v>343</v>
      </c>
      <c r="J284" s="17">
        <v>1</v>
      </c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7"/>
      <c r="JR284" s="7"/>
      <c r="JS284" s="7"/>
      <c r="JT284" s="7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  <c r="KM284" s="7"/>
      <c r="KN284" s="7"/>
      <c r="KO284" s="7"/>
      <c r="KP284" s="7"/>
      <c r="KQ284" s="7"/>
      <c r="KR284" s="7"/>
      <c r="KS284" s="7"/>
      <c r="KT284" s="7"/>
      <c r="KU284" s="7"/>
      <c r="KV284" s="7"/>
      <c r="KW284" s="7"/>
      <c r="KX284" s="7"/>
      <c r="KY284" s="7"/>
    </row>
    <row r="285" spans="1:311">
      <c r="A285" s="67" t="s">
        <v>665</v>
      </c>
      <c r="B285" s="114" t="s">
        <v>9</v>
      </c>
      <c r="C285" s="114" t="s">
        <v>723</v>
      </c>
      <c r="D285" s="67" t="s">
        <v>724</v>
      </c>
      <c r="E285" s="67"/>
      <c r="F285" s="67"/>
      <c r="G285" s="67"/>
      <c r="H285" s="67"/>
      <c r="I285" s="110" t="s">
        <v>740</v>
      </c>
      <c r="J285" s="115"/>
    </row>
    <row r="286" spans="1:311">
      <c r="A286" s="67" t="s">
        <v>665</v>
      </c>
      <c r="B286" s="114" t="s">
        <v>26</v>
      </c>
      <c r="C286" s="114" t="s">
        <v>725</v>
      </c>
      <c r="D286" s="116" t="s">
        <v>726</v>
      </c>
      <c r="E286" s="67"/>
      <c r="F286" s="67"/>
      <c r="G286" s="67"/>
      <c r="H286" s="67"/>
      <c r="I286" s="110" t="s">
        <v>740</v>
      </c>
      <c r="J286" s="115"/>
    </row>
    <row r="287" spans="1:311">
      <c r="A287" s="67" t="s">
        <v>665</v>
      </c>
      <c r="B287" s="114" t="s">
        <v>130</v>
      </c>
      <c r="C287" s="114" t="s">
        <v>727</v>
      </c>
      <c r="D287" s="67" t="s">
        <v>728</v>
      </c>
      <c r="E287" s="67"/>
      <c r="F287" s="67"/>
      <c r="G287" s="67"/>
      <c r="H287" s="67"/>
      <c r="I287" s="110" t="s">
        <v>740</v>
      </c>
      <c r="J287" s="115"/>
    </row>
    <row r="288" spans="1:311">
      <c r="A288" s="67" t="s">
        <v>665</v>
      </c>
      <c r="B288" s="114" t="s">
        <v>130</v>
      </c>
      <c r="C288" s="114" t="s">
        <v>727</v>
      </c>
      <c r="D288" s="67" t="s">
        <v>729</v>
      </c>
      <c r="E288" s="67"/>
      <c r="F288" s="67"/>
      <c r="G288" s="67"/>
      <c r="H288" s="67"/>
      <c r="I288" s="110" t="s">
        <v>740</v>
      </c>
      <c r="J288" s="115"/>
    </row>
    <row r="289" spans="1:10">
      <c r="A289" s="67" t="s">
        <v>665</v>
      </c>
      <c r="B289" s="114" t="s">
        <v>730</v>
      </c>
      <c r="C289" s="114" t="s">
        <v>731</v>
      </c>
      <c r="D289" s="67" t="s">
        <v>732</v>
      </c>
      <c r="E289" s="67"/>
      <c r="F289" s="67"/>
      <c r="G289" s="67"/>
      <c r="H289" s="67"/>
      <c r="I289" s="110" t="s">
        <v>740</v>
      </c>
      <c r="J289" s="115"/>
    </row>
    <row r="290" spans="1:10">
      <c r="A290" s="67" t="s">
        <v>667</v>
      </c>
      <c r="B290" s="67" t="s">
        <v>247</v>
      </c>
      <c r="C290" s="67" t="s">
        <v>733</v>
      </c>
      <c r="D290" s="67" t="s">
        <v>734</v>
      </c>
      <c r="E290" s="67"/>
      <c r="F290" s="67"/>
      <c r="G290" s="67"/>
      <c r="H290" s="67"/>
      <c r="I290" s="110" t="s">
        <v>740</v>
      </c>
      <c r="J290" s="115"/>
    </row>
    <row r="291" spans="1:10">
      <c r="A291" s="67" t="s">
        <v>667</v>
      </c>
      <c r="B291" s="67" t="s">
        <v>78</v>
      </c>
      <c r="C291" s="67" t="s">
        <v>735</v>
      </c>
      <c r="D291" s="67" t="s">
        <v>553</v>
      </c>
      <c r="E291" s="67"/>
      <c r="F291" s="67"/>
      <c r="G291" s="67"/>
      <c r="H291" s="67"/>
      <c r="I291" s="110" t="s">
        <v>740</v>
      </c>
      <c r="J291" s="115"/>
    </row>
    <row r="292" spans="1:10">
      <c r="A292" s="67" t="s">
        <v>667</v>
      </c>
      <c r="B292" s="67" t="s">
        <v>247</v>
      </c>
      <c r="C292" s="67" t="s">
        <v>736</v>
      </c>
      <c r="D292" s="67" t="s">
        <v>621</v>
      </c>
      <c r="E292" s="67"/>
      <c r="F292" s="67"/>
      <c r="G292" s="67"/>
      <c r="H292" s="67"/>
      <c r="I292" s="110" t="s">
        <v>740</v>
      </c>
      <c r="J292" s="115"/>
    </row>
    <row r="293" spans="1:10">
      <c r="A293" s="67" t="s">
        <v>665</v>
      </c>
      <c r="B293" s="67" t="s">
        <v>26</v>
      </c>
      <c r="C293" s="67" t="s">
        <v>725</v>
      </c>
      <c r="D293" s="67" t="s">
        <v>737</v>
      </c>
      <c r="E293" s="67"/>
      <c r="F293" s="67"/>
      <c r="G293" s="67"/>
      <c r="H293" s="67"/>
      <c r="I293" s="110" t="s">
        <v>740</v>
      </c>
      <c r="J293" s="115"/>
    </row>
    <row r="294" spans="1:10">
      <c r="A294" s="67" t="s">
        <v>665</v>
      </c>
      <c r="B294" s="67" t="s">
        <v>191</v>
      </c>
      <c r="C294" s="67" t="s">
        <v>738</v>
      </c>
      <c r="D294" s="67" t="s">
        <v>207</v>
      </c>
      <c r="E294" s="67"/>
      <c r="F294" s="67"/>
      <c r="G294" s="67"/>
      <c r="H294" s="67"/>
      <c r="I294" s="110" t="s">
        <v>740</v>
      </c>
      <c r="J294" s="115"/>
    </row>
    <row r="295" spans="1:10">
      <c r="A295" s="67" t="s">
        <v>665</v>
      </c>
      <c r="B295" s="67" t="s">
        <v>9</v>
      </c>
      <c r="C295" s="67" t="s">
        <v>723</v>
      </c>
      <c r="D295" s="67" t="s">
        <v>739</v>
      </c>
      <c r="E295" s="67"/>
      <c r="F295" s="67"/>
      <c r="G295" s="67"/>
      <c r="H295" s="67"/>
      <c r="I295" s="110" t="s">
        <v>740</v>
      </c>
      <c r="J295" s="115"/>
    </row>
    <row r="296" spans="1:10">
      <c r="A296" s="65" t="s">
        <v>667</v>
      </c>
      <c r="B296" s="65" t="s">
        <v>247</v>
      </c>
      <c r="C296" s="65" t="s">
        <v>682</v>
      </c>
      <c r="D296" s="65" t="s">
        <v>789</v>
      </c>
      <c r="E296" s="121" t="s">
        <v>790</v>
      </c>
      <c r="F296" s="122"/>
      <c r="G296" s="65" t="s">
        <v>703</v>
      </c>
      <c r="H296" s="122">
        <v>2026</v>
      </c>
      <c r="I296" s="119" t="s">
        <v>21</v>
      </c>
      <c r="J296" s="1">
        <v>10</v>
      </c>
    </row>
    <row r="297" spans="1:10">
      <c r="A297" s="67" t="s">
        <v>665</v>
      </c>
      <c r="B297" s="76" t="s">
        <v>730</v>
      </c>
      <c r="C297" s="76" t="s">
        <v>795</v>
      </c>
      <c r="D297" s="76" t="s">
        <v>796</v>
      </c>
      <c r="E297" s="76">
        <v>6113056000126000</v>
      </c>
      <c r="F297" s="76"/>
      <c r="G297" s="76" t="s">
        <v>703</v>
      </c>
      <c r="H297" s="76">
        <v>2026</v>
      </c>
      <c r="I297" s="110" t="s">
        <v>21</v>
      </c>
      <c r="J297" s="115">
        <v>24</v>
      </c>
    </row>
    <row r="298" spans="1:10">
      <c r="A298" s="76" t="s">
        <v>741</v>
      </c>
      <c r="B298" s="76" t="s">
        <v>798</v>
      </c>
      <c r="C298" s="76" t="s">
        <v>799</v>
      </c>
      <c r="D298" s="76" t="s">
        <v>800</v>
      </c>
      <c r="E298" s="76" t="s">
        <v>801</v>
      </c>
      <c r="F298" s="76"/>
      <c r="G298" s="76" t="s">
        <v>703</v>
      </c>
      <c r="H298" s="76">
        <v>2026</v>
      </c>
      <c r="I298" s="110" t="s">
        <v>21</v>
      </c>
      <c r="J298" s="115">
        <v>20</v>
      </c>
    </row>
    <row r="299" spans="1:10">
      <c r="A299" s="67" t="s">
        <v>665</v>
      </c>
      <c r="B299" s="76" t="s">
        <v>130</v>
      </c>
      <c r="C299" s="76" t="s">
        <v>802</v>
      </c>
      <c r="D299" s="76" t="s">
        <v>803</v>
      </c>
      <c r="E299" s="76" t="s">
        <v>804</v>
      </c>
      <c r="F299" s="76"/>
      <c r="G299" s="76" t="s">
        <v>703</v>
      </c>
      <c r="H299" s="76">
        <v>2026</v>
      </c>
      <c r="I299" s="110" t="s">
        <v>21</v>
      </c>
      <c r="J299" s="115">
        <v>6</v>
      </c>
    </row>
    <row r="300" spans="1:10">
      <c r="A300" s="67" t="s">
        <v>668</v>
      </c>
      <c r="B300" s="76" t="s">
        <v>226</v>
      </c>
      <c r="C300" s="76" t="s">
        <v>805</v>
      </c>
      <c r="D300" s="76" t="s">
        <v>806</v>
      </c>
      <c r="E300" s="76" t="s">
        <v>807</v>
      </c>
      <c r="F300" s="76"/>
      <c r="G300" s="76" t="s">
        <v>703</v>
      </c>
      <c r="H300" s="76">
        <v>2026</v>
      </c>
      <c r="I300" s="110" t="s">
        <v>21</v>
      </c>
      <c r="J300" s="115">
        <v>2</v>
      </c>
    </row>
    <row r="301" spans="1:10">
      <c r="A301" s="67" t="s">
        <v>665</v>
      </c>
      <c r="B301" s="76" t="s">
        <v>130</v>
      </c>
      <c r="C301" s="76" t="s">
        <v>794</v>
      </c>
      <c r="D301" s="76" t="s">
        <v>808</v>
      </c>
      <c r="E301" s="76" t="s">
        <v>809</v>
      </c>
      <c r="F301" s="76"/>
      <c r="G301" s="76" t="s">
        <v>703</v>
      </c>
      <c r="H301" s="76">
        <v>2026</v>
      </c>
      <c r="I301" s="110" t="s">
        <v>21</v>
      </c>
      <c r="J301" s="115">
        <v>6</v>
      </c>
    </row>
    <row r="302" spans="1:10">
      <c r="A302" s="67" t="s">
        <v>667</v>
      </c>
      <c r="B302" s="76" t="s">
        <v>181</v>
      </c>
      <c r="C302" s="76" t="s">
        <v>810</v>
      </c>
      <c r="D302" s="76" t="s">
        <v>811</v>
      </c>
      <c r="E302" s="76" t="s">
        <v>812</v>
      </c>
      <c r="F302" s="76"/>
      <c r="G302" s="76" t="s">
        <v>703</v>
      </c>
      <c r="H302" s="76">
        <v>2026</v>
      </c>
      <c r="I302" s="52" t="s">
        <v>813</v>
      </c>
      <c r="J302" s="115">
        <v>1</v>
      </c>
    </row>
    <row r="303" spans="1:10">
      <c r="A303" s="76" t="s">
        <v>667</v>
      </c>
      <c r="B303" s="76" t="s">
        <v>247</v>
      </c>
      <c r="C303" s="76" t="s">
        <v>791</v>
      </c>
      <c r="D303" s="76" t="s">
        <v>792</v>
      </c>
      <c r="E303" s="76" t="s">
        <v>793</v>
      </c>
      <c r="F303" s="76"/>
      <c r="G303" s="76" t="s">
        <v>703</v>
      </c>
      <c r="H303" s="76">
        <v>2026</v>
      </c>
      <c r="I303" s="110" t="s">
        <v>21</v>
      </c>
      <c r="J303" s="115">
        <v>5</v>
      </c>
    </row>
    <row r="304" spans="1:10">
      <c r="A304" s="76" t="s">
        <v>667</v>
      </c>
      <c r="B304" s="76" t="s">
        <v>247</v>
      </c>
      <c r="C304" s="76" t="s">
        <v>814</v>
      </c>
      <c r="D304" s="76" t="s">
        <v>816</v>
      </c>
      <c r="E304" s="76" t="s">
        <v>815</v>
      </c>
      <c r="F304" s="76"/>
      <c r="G304" s="76" t="s">
        <v>703</v>
      </c>
      <c r="H304" s="76">
        <v>2026</v>
      </c>
      <c r="I304" s="110" t="s">
        <v>21</v>
      </c>
      <c r="J304" s="115">
        <v>20</v>
      </c>
    </row>
    <row r="305" spans="1:10">
      <c r="A305" s="76" t="s">
        <v>667</v>
      </c>
      <c r="B305" s="76" t="s">
        <v>247</v>
      </c>
      <c r="C305" s="76" t="s">
        <v>263</v>
      </c>
      <c r="D305" s="76" t="s">
        <v>789</v>
      </c>
      <c r="E305" s="76" t="s">
        <v>817</v>
      </c>
      <c r="F305" s="76"/>
      <c r="G305" s="76" t="s">
        <v>703</v>
      </c>
      <c r="H305" s="76">
        <v>2026</v>
      </c>
      <c r="I305" s="110" t="s">
        <v>21</v>
      </c>
      <c r="J305" s="115">
        <v>22</v>
      </c>
    </row>
    <row r="306" spans="1:10">
      <c r="A306" s="76" t="s">
        <v>667</v>
      </c>
      <c r="B306" s="76" t="s">
        <v>247</v>
      </c>
      <c r="C306" s="76" t="s">
        <v>263</v>
      </c>
      <c r="D306" s="76" t="s">
        <v>789</v>
      </c>
      <c r="E306" s="76" t="s">
        <v>818</v>
      </c>
      <c r="F306" s="76"/>
      <c r="G306" s="76" t="s">
        <v>703</v>
      </c>
      <c r="H306" s="76">
        <v>2026</v>
      </c>
      <c r="I306" s="110" t="s">
        <v>21</v>
      </c>
      <c r="J306" s="115">
        <v>46</v>
      </c>
    </row>
    <row r="307" spans="1:10">
      <c r="A307" s="67" t="s">
        <v>665</v>
      </c>
      <c r="B307" s="76" t="s">
        <v>26</v>
      </c>
      <c r="C307" s="76" t="s">
        <v>819</v>
      </c>
      <c r="D307" s="76" t="s">
        <v>821</v>
      </c>
      <c r="E307" s="76" t="s">
        <v>820</v>
      </c>
      <c r="F307" s="76"/>
      <c r="G307" s="76" t="s">
        <v>703</v>
      </c>
      <c r="H307" s="76">
        <v>2026</v>
      </c>
      <c r="I307" s="110" t="s">
        <v>289</v>
      </c>
      <c r="J307" s="115">
        <v>1</v>
      </c>
    </row>
    <row r="308" spans="1:10">
      <c r="A308" s="67" t="s">
        <v>665</v>
      </c>
      <c r="B308" s="76" t="s">
        <v>191</v>
      </c>
      <c r="C308" s="76" t="s">
        <v>192</v>
      </c>
      <c r="D308" s="76" t="s">
        <v>193</v>
      </c>
      <c r="E308" s="76" t="s">
        <v>822</v>
      </c>
      <c r="F308" s="76"/>
      <c r="G308" s="76">
        <v>997348</v>
      </c>
      <c r="H308" s="76">
        <v>2026</v>
      </c>
      <c r="I308" s="110" t="s">
        <v>21</v>
      </c>
      <c r="J308" s="115">
        <v>3</v>
      </c>
    </row>
    <row r="309" spans="1:10">
      <c r="A309" s="67" t="s">
        <v>665</v>
      </c>
      <c r="B309" s="76" t="s">
        <v>191</v>
      </c>
      <c r="C309" s="76" t="s">
        <v>192</v>
      </c>
      <c r="D309" s="76" t="s">
        <v>193</v>
      </c>
      <c r="E309" s="76" t="s">
        <v>823</v>
      </c>
      <c r="F309" s="76"/>
      <c r="G309" s="76" t="s">
        <v>824</v>
      </c>
      <c r="H309" s="76">
        <v>2026</v>
      </c>
      <c r="I309" s="110" t="s">
        <v>21</v>
      </c>
      <c r="J309" s="115">
        <v>4</v>
      </c>
    </row>
    <row r="310" spans="1:10">
      <c r="A310" s="67" t="s">
        <v>665</v>
      </c>
      <c r="B310" s="76" t="s">
        <v>191</v>
      </c>
      <c r="C310" s="76" t="s">
        <v>192</v>
      </c>
      <c r="D310" s="76" t="s">
        <v>193</v>
      </c>
      <c r="E310" s="76" t="s">
        <v>825</v>
      </c>
      <c r="F310" s="76"/>
      <c r="G310" s="76" t="s">
        <v>826</v>
      </c>
      <c r="H310" s="76">
        <v>2026</v>
      </c>
      <c r="I310" s="110" t="s">
        <v>21</v>
      </c>
      <c r="J310" s="115">
        <v>3</v>
      </c>
    </row>
    <row r="311" spans="1:10">
      <c r="A311" s="67" t="s">
        <v>665</v>
      </c>
      <c r="B311" s="76" t="s">
        <v>26</v>
      </c>
      <c r="C311" s="76" t="s">
        <v>27</v>
      </c>
      <c r="D311" s="76" t="s">
        <v>28</v>
      </c>
      <c r="E311" s="76" t="s">
        <v>827</v>
      </c>
      <c r="F311" s="76"/>
      <c r="G311" s="76" t="s">
        <v>828</v>
      </c>
      <c r="H311" s="76">
        <v>2026</v>
      </c>
      <c r="I311" s="110" t="s">
        <v>21</v>
      </c>
      <c r="J311" s="115">
        <v>8</v>
      </c>
    </row>
    <row r="312" spans="1:10">
      <c r="A312" s="67" t="s">
        <v>665</v>
      </c>
      <c r="B312" s="76" t="s">
        <v>191</v>
      </c>
      <c r="C312" s="76" t="s">
        <v>206</v>
      </c>
      <c r="D312" s="76" t="s">
        <v>829</v>
      </c>
      <c r="E312" s="76" t="s">
        <v>830</v>
      </c>
      <c r="F312" s="76"/>
      <c r="G312" s="76" t="s">
        <v>831</v>
      </c>
      <c r="H312" s="76">
        <v>2026</v>
      </c>
      <c r="I312" s="110" t="s">
        <v>21</v>
      </c>
      <c r="J312" s="115">
        <v>17</v>
      </c>
    </row>
    <row r="313" spans="1:10">
      <c r="A313" s="67" t="s">
        <v>665</v>
      </c>
      <c r="B313" s="76" t="s">
        <v>191</v>
      </c>
      <c r="C313" s="76" t="s">
        <v>206</v>
      </c>
      <c r="D313" s="76" t="s">
        <v>829</v>
      </c>
      <c r="E313" s="76" t="s">
        <v>832</v>
      </c>
      <c r="F313" s="76"/>
      <c r="G313" s="76" t="s">
        <v>833</v>
      </c>
      <c r="H313" s="76">
        <v>2026</v>
      </c>
      <c r="I313" s="110" t="s">
        <v>21</v>
      </c>
      <c r="J313" s="115">
        <v>6</v>
      </c>
    </row>
    <row r="314" spans="1:10">
      <c r="A314" s="67" t="s">
        <v>665</v>
      </c>
      <c r="B314" s="76" t="s">
        <v>191</v>
      </c>
      <c r="C314" s="76" t="s">
        <v>206</v>
      </c>
      <c r="D314" s="76" t="s">
        <v>829</v>
      </c>
      <c r="E314" s="76" t="s">
        <v>834</v>
      </c>
      <c r="F314" s="76"/>
      <c r="G314" s="76" t="str">
        <f>[1]Sheet1!$G$120</f>
        <v>998345</v>
      </c>
      <c r="H314" s="76">
        <v>2026</v>
      </c>
      <c r="I314" s="110" t="s">
        <v>21</v>
      </c>
      <c r="J314" s="115">
        <v>19</v>
      </c>
    </row>
    <row r="315" spans="1:10">
      <c r="A315" s="67" t="s">
        <v>665</v>
      </c>
      <c r="B315" s="76" t="s">
        <v>102</v>
      </c>
      <c r="C315" s="76" t="s">
        <v>117</v>
      </c>
      <c r="D315" s="76" t="s">
        <v>118</v>
      </c>
      <c r="E315" s="76" t="s">
        <v>836</v>
      </c>
      <c r="F315" s="76"/>
      <c r="G315" s="76" t="s">
        <v>837</v>
      </c>
      <c r="H315" s="76">
        <v>2026</v>
      </c>
      <c r="I315" s="110" t="s">
        <v>21</v>
      </c>
      <c r="J315" s="115">
        <v>2</v>
      </c>
    </row>
    <row r="316" spans="1:10">
      <c r="A316" s="67" t="s">
        <v>665</v>
      </c>
      <c r="B316" s="76" t="s">
        <v>130</v>
      </c>
      <c r="C316" s="76" t="s">
        <v>838</v>
      </c>
      <c r="D316" s="76" t="s">
        <v>839</v>
      </c>
      <c r="E316" s="76" t="s">
        <v>840</v>
      </c>
      <c r="F316" s="76"/>
      <c r="G316" s="76" t="s">
        <v>841</v>
      </c>
      <c r="H316" s="76">
        <v>2026</v>
      </c>
      <c r="I316" s="110" t="s">
        <v>289</v>
      </c>
      <c r="J316" s="115">
        <v>1</v>
      </c>
    </row>
    <row r="317" spans="1:10">
      <c r="A317" s="67" t="s">
        <v>665</v>
      </c>
      <c r="B317" s="76" t="s">
        <v>130</v>
      </c>
      <c r="C317" s="76" t="s">
        <v>131</v>
      </c>
      <c r="D317" s="76" t="s">
        <v>842</v>
      </c>
      <c r="E317" s="76" t="s">
        <v>843</v>
      </c>
      <c r="F317" s="76"/>
      <c r="G317" s="76" t="s">
        <v>844</v>
      </c>
      <c r="H317" s="76">
        <v>2026</v>
      </c>
      <c r="I317" s="110" t="s">
        <v>21</v>
      </c>
      <c r="J317" s="115">
        <v>7</v>
      </c>
    </row>
    <row r="318" spans="1:10">
      <c r="A318" s="67" t="s">
        <v>665</v>
      </c>
      <c r="B318" s="76" t="s">
        <v>130</v>
      </c>
      <c r="C318" s="76" t="s">
        <v>131</v>
      </c>
      <c r="D318" s="76" t="s">
        <v>842</v>
      </c>
      <c r="E318" s="76" t="s">
        <v>845</v>
      </c>
      <c r="F318" s="76"/>
      <c r="G318" s="76" t="s">
        <v>846</v>
      </c>
      <c r="H318" s="76">
        <v>2026</v>
      </c>
      <c r="I318" s="110" t="s">
        <v>21</v>
      </c>
      <c r="J318" s="115">
        <v>9</v>
      </c>
    </row>
    <row r="319" spans="1:10">
      <c r="A319" s="67" t="s">
        <v>665</v>
      </c>
      <c r="B319" s="76" t="s">
        <v>130</v>
      </c>
      <c r="C319" s="76" t="s">
        <v>131</v>
      </c>
      <c r="D319" s="76" t="s">
        <v>842</v>
      </c>
      <c r="E319" s="76" t="s">
        <v>847</v>
      </c>
      <c r="F319" s="76"/>
      <c r="G319" s="76" t="s">
        <v>848</v>
      </c>
      <c r="H319" s="76">
        <v>2026</v>
      </c>
      <c r="I319" s="110" t="s">
        <v>21</v>
      </c>
      <c r="J319" s="115">
        <v>8</v>
      </c>
    </row>
    <row r="320" spans="1:10">
      <c r="A320" s="76" t="s">
        <v>667</v>
      </c>
      <c r="B320" s="76" t="s">
        <v>247</v>
      </c>
      <c r="C320" s="76" t="s">
        <v>849</v>
      </c>
      <c r="D320" s="76" t="s">
        <v>850</v>
      </c>
      <c r="E320" s="76" t="s">
        <v>851</v>
      </c>
      <c r="F320" s="76"/>
      <c r="G320" s="76" t="s">
        <v>852</v>
      </c>
      <c r="H320" s="76">
        <v>2026</v>
      </c>
      <c r="I320" s="110" t="s">
        <v>21</v>
      </c>
      <c r="J320" s="115">
        <v>4</v>
      </c>
    </row>
    <row r="321" spans="1:10">
      <c r="A321" s="67" t="s">
        <v>667</v>
      </c>
      <c r="B321" s="76" t="s">
        <v>181</v>
      </c>
      <c r="C321" s="76" t="s">
        <v>853</v>
      </c>
      <c r="D321" s="76" t="s">
        <v>855</v>
      </c>
      <c r="E321" s="76" t="s">
        <v>854</v>
      </c>
      <c r="F321" s="76"/>
      <c r="G321" s="76" t="s">
        <v>856</v>
      </c>
      <c r="H321" s="76">
        <v>2026</v>
      </c>
      <c r="I321" s="110" t="s">
        <v>21</v>
      </c>
      <c r="J321" s="115">
        <v>3</v>
      </c>
    </row>
    <row r="322" spans="1:10">
      <c r="A322" s="67" t="s">
        <v>667</v>
      </c>
      <c r="B322" s="76" t="s">
        <v>181</v>
      </c>
      <c r="C322" s="76" t="s">
        <v>857</v>
      </c>
      <c r="D322" s="76" t="s">
        <v>858</v>
      </c>
      <c r="E322" s="76" t="s">
        <v>859</v>
      </c>
      <c r="F322" s="76"/>
      <c r="G322" s="76" t="s">
        <v>860</v>
      </c>
      <c r="H322" s="76">
        <v>2026</v>
      </c>
      <c r="I322" s="110" t="s">
        <v>21</v>
      </c>
      <c r="J322" s="115">
        <v>22</v>
      </c>
    </row>
    <row r="323" spans="1:10">
      <c r="A323" s="76" t="s">
        <v>667</v>
      </c>
      <c r="B323" s="76" t="s">
        <v>247</v>
      </c>
      <c r="C323" s="76" t="s">
        <v>500</v>
      </c>
      <c r="D323" s="76" t="s">
        <v>863</v>
      </c>
      <c r="E323" s="76" t="s">
        <v>862</v>
      </c>
      <c r="F323" s="76"/>
      <c r="G323" s="76" t="s">
        <v>861</v>
      </c>
      <c r="H323" s="76">
        <v>2026</v>
      </c>
      <c r="I323" s="110" t="s">
        <v>21</v>
      </c>
      <c r="J323" s="115">
        <v>18</v>
      </c>
    </row>
    <row r="324" spans="1:10">
      <c r="A324" s="67" t="s">
        <v>667</v>
      </c>
      <c r="B324" s="76" t="s">
        <v>78</v>
      </c>
      <c r="C324" s="76" t="s">
        <v>864</v>
      </c>
      <c r="D324" s="76" t="s">
        <v>866</v>
      </c>
      <c r="E324" s="76" t="s">
        <v>865</v>
      </c>
      <c r="F324" s="76"/>
      <c r="G324" s="76"/>
      <c r="H324" s="76">
        <v>2026</v>
      </c>
      <c r="I324" s="110" t="s">
        <v>783</v>
      </c>
      <c r="J324" s="115">
        <v>1</v>
      </c>
    </row>
    <row r="325" spans="1:10">
      <c r="A325" s="67" t="s">
        <v>668</v>
      </c>
      <c r="B325" s="76" t="s">
        <v>149</v>
      </c>
      <c r="C325" s="76" t="s">
        <v>163</v>
      </c>
      <c r="D325" s="76" t="s">
        <v>164</v>
      </c>
      <c r="E325" s="76" t="s">
        <v>868</v>
      </c>
      <c r="F325" s="76"/>
      <c r="G325" s="76" t="s">
        <v>867</v>
      </c>
      <c r="H325" s="76">
        <v>2026</v>
      </c>
      <c r="I325" s="52" t="s">
        <v>869</v>
      </c>
      <c r="J325" s="115">
        <v>1</v>
      </c>
    </row>
    <row r="326" spans="1:10">
      <c r="A326" s="67" t="s">
        <v>668</v>
      </c>
      <c r="B326" s="76" t="s">
        <v>149</v>
      </c>
      <c r="C326" s="76" t="s">
        <v>173</v>
      </c>
      <c r="D326" s="76" t="s">
        <v>174</v>
      </c>
      <c r="E326" s="76" t="s">
        <v>870</v>
      </c>
      <c r="F326" s="76"/>
      <c r="G326" s="76" t="s">
        <v>871</v>
      </c>
      <c r="H326" s="76">
        <v>2026</v>
      </c>
      <c r="I326" s="110" t="s">
        <v>21</v>
      </c>
      <c r="J326" s="115">
        <v>12</v>
      </c>
    </row>
    <row r="327" spans="1:10">
      <c r="A327" s="67" t="s">
        <v>668</v>
      </c>
      <c r="B327" s="76" t="s">
        <v>149</v>
      </c>
      <c r="C327" s="76" t="s">
        <v>173</v>
      </c>
      <c r="D327" s="76" t="s">
        <v>174</v>
      </c>
      <c r="E327" s="76" t="s">
        <v>872</v>
      </c>
      <c r="F327" s="76"/>
      <c r="G327" s="76" t="s">
        <v>873</v>
      </c>
      <c r="H327" s="76">
        <v>2026</v>
      </c>
      <c r="I327" s="110" t="s">
        <v>21</v>
      </c>
      <c r="J327" s="115">
        <v>12</v>
      </c>
    </row>
    <row r="328" spans="1:10">
      <c r="A328" s="67" t="s">
        <v>668</v>
      </c>
      <c r="B328" s="76" t="s">
        <v>226</v>
      </c>
      <c r="C328" s="76" t="s">
        <v>874</v>
      </c>
      <c r="D328" s="76" t="s">
        <v>875</v>
      </c>
      <c r="E328" s="76" t="s">
        <v>876</v>
      </c>
      <c r="F328" s="76"/>
      <c r="G328" s="76" t="s">
        <v>877</v>
      </c>
      <c r="H328" s="76">
        <v>2026</v>
      </c>
      <c r="I328" s="52" t="s">
        <v>297</v>
      </c>
      <c r="J328" s="115">
        <v>1</v>
      </c>
    </row>
    <row r="329" spans="1:10">
      <c r="A329" s="64"/>
    </row>
    <row r="334" spans="1:10">
      <c r="I334" s="10" t="s">
        <v>7</v>
      </c>
      <c r="J334" s="10">
        <v>2023</v>
      </c>
    </row>
    <row r="335" spans="1:10">
      <c r="I335" s="16" t="s">
        <v>644</v>
      </c>
      <c r="J335" s="44">
        <f>J19+J21+J22+J100+J62+J58+J56+J57+J55+J54+J53+J51+J50+J49+J48+J47+J41+J40+J34+J32+J29+J28+J27+J26+J25+J24+J23</f>
        <v>29</v>
      </c>
    </row>
    <row r="336" spans="1:10">
      <c r="I336" s="16" t="s">
        <v>645</v>
      </c>
      <c r="J336" s="44">
        <f>J36</f>
        <v>1</v>
      </c>
    </row>
    <row r="337" spans="9:10">
      <c r="I337" s="16" t="s">
        <v>646</v>
      </c>
      <c r="J337" s="10"/>
    </row>
    <row r="338" spans="9:10">
      <c r="I338" s="16" t="s">
        <v>647</v>
      </c>
      <c r="J338" s="10">
        <v>0</v>
      </c>
    </row>
    <row r="339" spans="9:10">
      <c r="I339" s="16" t="s">
        <v>649</v>
      </c>
      <c r="J339" s="10">
        <v>3</v>
      </c>
    </row>
    <row r="340" spans="9:10">
      <c r="I340" s="16" t="s">
        <v>650</v>
      </c>
      <c r="J340" s="10">
        <f>J60</f>
        <v>1</v>
      </c>
    </row>
    <row r="341" spans="9:10">
      <c r="I341" s="16" t="s">
        <v>651</v>
      </c>
      <c r="J341" s="10">
        <v>0</v>
      </c>
    </row>
    <row r="342" spans="9:10">
      <c r="I342" s="16" t="s">
        <v>652</v>
      </c>
      <c r="J342" s="10">
        <v>0</v>
      </c>
    </row>
    <row r="343" spans="9:10">
      <c r="I343" s="16" t="s">
        <v>565</v>
      </c>
      <c r="J343" s="44">
        <f>J38</f>
        <v>1</v>
      </c>
    </row>
    <row r="344" spans="9:10">
      <c r="I344" s="16" t="s">
        <v>653</v>
      </c>
      <c r="J344" s="44">
        <f>J37</f>
        <v>1</v>
      </c>
    </row>
    <row r="345" spans="9:10">
      <c r="I345" s="16" t="s">
        <v>654</v>
      </c>
      <c r="J345" s="10">
        <v>0</v>
      </c>
    </row>
    <row r="346" spans="9:10">
      <c r="I346" s="16" t="s">
        <v>655</v>
      </c>
      <c r="J346" s="10">
        <v>0</v>
      </c>
    </row>
    <row r="347" spans="9:10">
      <c r="I347" s="16" t="s">
        <v>656</v>
      </c>
      <c r="J347" s="9">
        <f>SUM(J30:J59)</f>
        <v>35</v>
      </c>
    </row>
  </sheetData>
  <autoFilter ref="A1:LH328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selection sqref="A1:I39"/>
    </sheetView>
  </sheetViews>
  <sheetFormatPr defaultRowHeight="15"/>
  <sheetData>
    <row r="1" spans="1:9">
      <c r="A1" s="13" t="s">
        <v>664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</row>
    <row r="2" spans="1:9">
      <c r="A2" s="67" t="s">
        <v>668</v>
      </c>
      <c r="B2" s="67" t="s">
        <v>226</v>
      </c>
      <c r="C2" s="67" t="s">
        <v>232</v>
      </c>
      <c r="D2" s="67" t="s">
        <v>755</v>
      </c>
      <c r="E2" s="100" t="s">
        <v>756</v>
      </c>
      <c r="F2" s="100" t="s">
        <v>757</v>
      </c>
      <c r="G2" s="67">
        <v>949404</v>
      </c>
      <c r="H2" s="53">
        <v>2023</v>
      </c>
      <c r="I2" s="110" t="s">
        <v>290</v>
      </c>
    </row>
    <row r="3" spans="1:9">
      <c r="A3" s="67" t="s">
        <v>668</v>
      </c>
      <c r="B3" s="74" t="s">
        <v>241</v>
      </c>
      <c r="C3" s="74" t="s">
        <v>693</v>
      </c>
      <c r="D3" s="74" t="s">
        <v>694</v>
      </c>
      <c r="E3" s="77" t="s">
        <v>695</v>
      </c>
      <c r="F3" s="102" t="s">
        <v>696</v>
      </c>
      <c r="G3" s="53">
        <v>954413</v>
      </c>
      <c r="H3" s="74" t="s">
        <v>524</v>
      </c>
      <c r="I3" s="6" t="s">
        <v>20</v>
      </c>
    </row>
    <row r="4" spans="1:9" ht="45">
      <c r="A4" s="117" t="s">
        <v>668</v>
      </c>
      <c r="B4" s="80" t="s">
        <v>226</v>
      </c>
      <c r="C4" s="80" t="s">
        <v>232</v>
      </c>
      <c r="D4" s="80" t="s">
        <v>639</v>
      </c>
      <c r="E4" s="103" t="s">
        <v>637</v>
      </c>
      <c r="F4" s="104" t="s">
        <v>636</v>
      </c>
      <c r="G4" s="80" t="s">
        <v>638</v>
      </c>
      <c r="H4" s="80" t="s">
        <v>524</v>
      </c>
      <c r="I4" s="33" t="s">
        <v>20</v>
      </c>
    </row>
    <row r="5" spans="1:9">
      <c r="A5" s="67" t="s">
        <v>668</v>
      </c>
      <c r="B5" s="74" t="s">
        <v>226</v>
      </c>
      <c r="C5" s="74" t="s">
        <v>676</v>
      </c>
      <c r="D5" s="74" t="s">
        <v>677</v>
      </c>
      <c r="E5" s="77" t="s">
        <v>678</v>
      </c>
      <c r="F5" s="77" t="s">
        <v>679</v>
      </c>
      <c r="G5" s="106" t="s">
        <v>680</v>
      </c>
      <c r="H5" s="53">
        <v>2023</v>
      </c>
      <c r="I5" s="6" t="s">
        <v>20</v>
      </c>
    </row>
    <row r="6" spans="1:9">
      <c r="A6" s="67" t="s">
        <v>668</v>
      </c>
      <c r="B6" s="80" t="s">
        <v>241</v>
      </c>
      <c r="C6" s="80" t="s">
        <v>242</v>
      </c>
      <c r="D6" s="80" t="s">
        <v>673</v>
      </c>
      <c r="E6" s="45" t="s">
        <v>674</v>
      </c>
      <c r="F6" s="45" t="s">
        <v>675</v>
      </c>
      <c r="G6" s="38">
        <v>948696</v>
      </c>
      <c r="H6" s="38">
        <v>2023</v>
      </c>
      <c r="I6" s="112" t="s">
        <v>20</v>
      </c>
    </row>
    <row r="7" spans="1:9">
      <c r="A7" s="67" t="s">
        <v>668</v>
      </c>
      <c r="B7" s="80" t="s">
        <v>226</v>
      </c>
      <c r="C7" s="80" t="s">
        <v>669</v>
      </c>
      <c r="D7" s="80" t="s">
        <v>670</v>
      </c>
      <c r="E7" s="45" t="s">
        <v>671</v>
      </c>
      <c r="F7" s="45" t="s">
        <v>672</v>
      </c>
      <c r="G7" s="46">
        <v>948694</v>
      </c>
      <c r="H7" s="38">
        <v>2023</v>
      </c>
      <c r="I7" s="112" t="s">
        <v>20</v>
      </c>
    </row>
    <row r="8" spans="1:9">
      <c r="A8" s="67" t="s">
        <v>668</v>
      </c>
      <c r="B8" s="74" t="s">
        <v>149</v>
      </c>
      <c r="C8" s="74" t="s">
        <v>163</v>
      </c>
      <c r="D8" s="74" t="s">
        <v>164</v>
      </c>
      <c r="E8" s="74" t="s">
        <v>591</v>
      </c>
      <c r="F8" s="74" t="s">
        <v>592</v>
      </c>
      <c r="G8" s="53" t="s">
        <v>593</v>
      </c>
      <c r="H8" s="74" t="s">
        <v>524</v>
      </c>
      <c r="I8" s="6" t="s">
        <v>20</v>
      </c>
    </row>
    <row r="9" spans="1:9">
      <c r="A9" s="67" t="s">
        <v>668</v>
      </c>
      <c r="B9" s="74" t="s">
        <v>149</v>
      </c>
      <c r="C9" s="74" t="s">
        <v>173</v>
      </c>
      <c r="D9" s="74" t="s">
        <v>174</v>
      </c>
      <c r="E9" s="74" t="s">
        <v>594</v>
      </c>
      <c r="F9" s="74" t="s">
        <v>595</v>
      </c>
      <c r="G9" s="53" t="s">
        <v>596</v>
      </c>
      <c r="H9" s="74" t="s">
        <v>524</v>
      </c>
      <c r="I9" s="6" t="s">
        <v>20</v>
      </c>
    </row>
    <row r="10" spans="1:9">
      <c r="A10" s="67" t="s">
        <v>668</v>
      </c>
      <c r="B10" s="74" t="s">
        <v>226</v>
      </c>
      <c r="C10" s="74" t="s">
        <v>685</v>
      </c>
      <c r="D10" s="74" t="s">
        <v>686</v>
      </c>
      <c r="E10" s="77" t="s">
        <v>687</v>
      </c>
      <c r="F10" s="77" t="s">
        <v>688</v>
      </c>
      <c r="G10" s="53">
        <v>953718</v>
      </c>
      <c r="H10" s="53">
        <v>2023</v>
      </c>
      <c r="I10" s="34" t="s">
        <v>20</v>
      </c>
    </row>
    <row r="11" spans="1:9">
      <c r="A11" s="67" t="s">
        <v>668</v>
      </c>
      <c r="B11" s="74" t="s">
        <v>149</v>
      </c>
      <c r="C11" s="74" t="s">
        <v>150</v>
      </c>
      <c r="D11" s="74" t="s">
        <v>151</v>
      </c>
      <c r="E11" s="74" t="s">
        <v>152</v>
      </c>
      <c r="F11" s="74" t="s">
        <v>153</v>
      </c>
      <c r="G11" s="74" t="s">
        <v>154</v>
      </c>
      <c r="H11" s="74" t="s">
        <v>19</v>
      </c>
      <c r="I11" s="11" t="s">
        <v>21</v>
      </c>
    </row>
    <row r="12" spans="1:9">
      <c r="A12" s="67" t="s">
        <v>668</v>
      </c>
      <c r="B12" s="74" t="s">
        <v>149</v>
      </c>
      <c r="C12" s="74" t="s">
        <v>155</v>
      </c>
      <c r="D12" s="74" t="s">
        <v>156</v>
      </c>
      <c r="E12" s="74" t="s">
        <v>157</v>
      </c>
      <c r="F12" s="74" t="s">
        <v>159</v>
      </c>
      <c r="G12" s="74" t="s">
        <v>161</v>
      </c>
      <c r="H12" s="74" t="s">
        <v>19</v>
      </c>
      <c r="I12" s="11" t="s">
        <v>21</v>
      </c>
    </row>
    <row r="13" spans="1:9">
      <c r="A13" s="67" t="s">
        <v>668</v>
      </c>
      <c r="B13" s="74" t="s">
        <v>149</v>
      </c>
      <c r="C13" s="74" t="s">
        <v>155</v>
      </c>
      <c r="D13" s="74" t="s">
        <v>156</v>
      </c>
      <c r="E13" s="74" t="s">
        <v>158</v>
      </c>
      <c r="F13" s="74" t="s">
        <v>160</v>
      </c>
      <c r="G13" s="74" t="s">
        <v>162</v>
      </c>
      <c r="H13" s="74" t="s">
        <v>19</v>
      </c>
      <c r="I13" s="11" t="s">
        <v>21</v>
      </c>
    </row>
    <row r="14" spans="1:9">
      <c r="A14" s="87" t="s">
        <v>668</v>
      </c>
      <c r="B14" s="14" t="s">
        <v>149</v>
      </c>
      <c r="C14" s="14" t="s">
        <v>163</v>
      </c>
      <c r="D14" s="14" t="s">
        <v>164</v>
      </c>
      <c r="E14" s="14" t="s">
        <v>165</v>
      </c>
      <c r="F14" s="14" t="s">
        <v>166</v>
      </c>
      <c r="G14" s="14" t="s">
        <v>167</v>
      </c>
      <c r="H14" s="14" t="s">
        <v>19</v>
      </c>
      <c r="I14" s="11" t="s">
        <v>21</v>
      </c>
    </row>
    <row r="15" spans="1:9">
      <c r="A15" s="67" t="s">
        <v>668</v>
      </c>
      <c r="B15" s="74" t="s">
        <v>149</v>
      </c>
      <c r="C15" s="80" t="s">
        <v>168</v>
      </c>
      <c r="D15" s="74" t="s">
        <v>169</v>
      </c>
      <c r="E15" s="74" t="s">
        <v>170</v>
      </c>
      <c r="F15" s="74" t="s">
        <v>171</v>
      </c>
      <c r="G15" s="74" t="s">
        <v>172</v>
      </c>
      <c r="H15" s="74" t="s">
        <v>19</v>
      </c>
      <c r="I15" s="11" t="s">
        <v>289</v>
      </c>
    </row>
    <row r="16" spans="1:9">
      <c r="A16" s="67" t="s">
        <v>668</v>
      </c>
      <c r="B16" s="74" t="s">
        <v>149</v>
      </c>
      <c r="C16" s="74" t="s">
        <v>173</v>
      </c>
      <c r="D16" s="74" t="s">
        <v>174</v>
      </c>
      <c r="E16" s="74" t="s">
        <v>175</v>
      </c>
      <c r="F16" s="74" t="s">
        <v>177</v>
      </c>
      <c r="G16" s="74" t="s">
        <v>179</v>
      </c>
      <c r="H16" s="74" t="s">
        <v>19</v>
      </c>
      <c r="I16" s="11" t="s">
        <v>21</v>
      </c>
    </row>
    <row r="17" spans="1:9">
      <c r="A17" s="67" t="s">
        <v>668</v>
      </c>
      <c r="B17" s="74" t="s">
        <v>149</v>
      </c>
      <c r="C17" s="74" t="s">
        <v>173</v>
      </c>
      <c r="D17" s="74" t="s">
        <v>174</v>
      </c>
      <c r="E17" s="74" t="s">
        <v>176</v>
      </c>
      <c r="F17" s="74" t="s">
        <v>178</v>
      </c>
      <c r="G17" s="74" t="s">
        <v>180</v>
      </c>
      <c r="H17" s="74" t="s">
        <v>19</v>
      </c>
      <c r="I17" s="11" t="s">
        <v>564</v>
      </c>
    </row>
    <row r="18" spans="1:9">
      <c r="A18" s="87" t="s">
        <v>668</v>
      </c>
      <c r="B18" s="14" t="s">
        <v>226</v>
      </c>
      <c r="C18" s="14" t="s">
        <v>227</v>
      </c>
      <c r="D18" s="14" t="s">
        <v>228</v>
      </c>
      <c r="E18" s="14" t="s">
        <v>229</v>
      </c>
      <c r="F18" s="14" t="s">
        <v>230</v>
      </c>
      <c r="G18" s="14" t="s">
        <v>231</v>
      </c>
      <c r="H18" s="14" t="s">
        <v>19</v>
      </c>
      <c r="I18" s="11" t="s">
        <v>21</v>
      </c>
    </row>
    <row r="19" spans="1:9">
      <c r="A19" s="67" t="s">
        <v>668</v>
      </c>
      <c r="B19" s="74" t="s">
        <v>226</v>
      </c>
      <c r="C19" s="80" t="s">
        <v>232</v>
      </c>
      <c r="D19" s="74" t="s">
        <v>233</v>
      </c>
      <c r="E19" s="74" t="s">
        <v>234</v>
      </c>
      <c r="F19" s="74" t="s">
        <v>235</v>
      </c>
      <c r="G19" s="74" t="s">
        <v>236</v>
      </c>
      <c r="H19" s="74" t="s">
        <v>19</v>
      </c>
      <c r="I19" s="11" t="s">
        <v>289</v>
      </c>
    </row>
    <row r="20" spans="1:9">
      <c r="A20" s="67" t="s">
        <v>668</v>
      </c>
      <c r="B20" s="74" t="s">
        <v>226</v>
      </c>
      <c r="C20" s="74" t="s">
        <v>232</v>
      </c>
      <c r="D20" s="74" t="s">
        <v>237</v>
      </c>
      <c r="E20" s="74" t="s">
        <v>238</v>
      </c>
      <c r="F20" s="74" t="s">
        <v>239</v>
      </c>
      <c r="G20" s="74" t="s">
        <v>240</v>
      </c>
      <c r="H20" s="74" t="s">
        <v>19</v>
      </c>
      <c r="I20" s="11" t="s">
        <v>632</v>
      </c>
    </row>
    <row r="21" spans="1:9">
      <c r="A21" s="67" t="s">
        <v>668</v>
      </c>
      <c r="B21" s="74" t="s">
        <v>241</v>
      </c>
      <c r="C21" s="74" t="s">
        <v>242</v>
      </c>
      <c r="D21" s="74" t="s">
        <v>243</v>
      </c>
      <c r="E21" s="74" t="s">
        <v>244</v>
      </c>
      <c r="F21" s="74" t="s">
        <v>245</v>
      </c>
      <c r="G21" s="74" t="s">
        <v>246</v>
      </c>
      <c r="H21" s="74" t="s">
        <v>19</v>
      </c>
      <c r="I21" s="11" t="s">
        <v>21</v>
      </c>
    </row>
    <row r="22" spans="1:9">
      <c r="A22" s="87" t="s">
        <v>668</v>
      </c>
      <c r="B22" s="14" t="s">
        <v>149</v>
      </c>
      <c r="C22" s="14" t="s">
        <v>411</v>
      </c>
      <c r="D22" s="14" t="s">
        <v>412</v>
      </c>
      <c r="E22" s="14" t="s">
        <v>413</v>
      </c>
      <c r="F22" s="14" t="s">
        <v>414</v>
      </c>
      <c r="G22" s="14" t="s">
        <v>415</v>
      </c>
      <c r="H22" s="14" t="s">
        <v>305</v>
      </c>
      <c r="I22" s="11" t="s">
        <v>21</v>
      </c>
    </row>
    <row r="23" spans="1:9">
      <c r="A23" s="67" t="s">
        <v>668</v>
      </c>
      <c r="B23" s="74" t="s">
        <v>149</v>
      </c>
      <c r="C23" s="74" t="s">
        <v>155</v>
      </c>
      <c r="D23" s="74" t="s">
        <v>156</v>
      </c>
      <c r="E23" s="74" t="s">
        <v>416</v>
      </c>
      <c r="F23" s="74" t="s">
        <v>419</v>
      </c>
      <c r="G23" s="74" t="s">
        <v>422</v>
      </c>
      <c r="H23" s="74" t="s">
        <v>305</v>
      </c>
      <c r="I23" s="11" t="s">
        <v>21</v>
      </c>
    </row>
    <row r="24" spans="1:9">
      <c r="A24" s="67" t="s">
        <v>668</v>
      </c>
      <c r="B24" s="74" t="s">
        <v>149</v>
      </c>
      <c r="C24" s="74" t="s">
        <v>155</v>
      </c>
      <c r="D24" s="74" t="s">
        <v>156</v>
      </c>
      <c r="E24" s="74" t="s">
        <v>417</v>
      </c>
      <c r="F24" s="74" t="s">
        <v>420</v>
      </c>
      <c r="G24" s="74" t="s">
        <v>423</v>
      </c>
      <c r="H24" s="74" t="s">
        <v>305</v>
      </c>
      <c r="I24" s="11" t="s">
        <v>21</v>
      </c>
    </row>
    <row r="25" spans="1:9">
      <c r="A25" s="67" t="s">
        <v>668</v>
      </c>
      <c r="B25" s="74" t="s">
        <v>149</v>
      </c>
      <c r="C25" s="74" t="s">
        <v>155</v>
      </c>
      <c r="D25" s="74" t="s">
        <v>156</v>
      </c>
      <c r="E25" s="74" t="s">
        <v>418</v>
      </c>
      <c r="F25" s="74" t="s">
        <v>421</v>
      </c>
      <c r="G25" s="74" t="s">
        <v>424</v>
      </c>
      <c r="H25" s="74" t="s">
        <v>305</v>
      </c>
      <c r="I25" s="11" t="s">
        <v>21</v>
      </c>
    </row>
    <row r="26" spans="1:9">
      <c r="A26" s="67" t="s">
        <v>668</v>
      </c>
      <c r="B26" s="74" t="s">
        <v>149</v>
      </c>
      <c r="C26" s="74" t="s">
        <v>163</v>
      </c>
      <c r="D26" s="74" t="s">
        <v>164</v>
      </c>
      <c r="E26" s="74" t="s">
        <v>425</v>
      </c>
      <c r="F26" s="74" t="s">
        <v>429</v>
      </c>
      <c r="G26" s="74" t="s">
        <v>433</v>
      </c>
      <c r="H26" s="74" t="s">
        <v>305</v>
      </c>
      <c r="I26" s="11" t="s">
        <v>21</v>
      </c>
    </row>
    <row r="27" spans="1:9">
      <c r="A27" s="67" t="s">
        <v>668</v>
      </c>
      <c r="B27" s="74" t="s">
        <v>149</v>
      </c>
      <c r="C27" s="74" t="s">
        <v>163</v>
      </c>
      <c r="D27" s="74" t="s">
        <v>164</v>
      </c>
      <c r="E27" s="74" t="s">
        <v>426</v>
      </c>
      <c r="F27" s="74" t="s">
        <v>430</v>
      </c>
      <c r="G27" s="74" t="s">
        <v>434</v>
      </c>
      <c r="H27" s="74" t="s">
        <v>305</v>
      </c>
      <c r="I27" s="11" t="s">
        <v>21</v>
      </c>
    </row>
    <row r="28" spans="1:9">
      <c r="A28" s="67" t="s">
        <v>668</v>
      </c>
      <c r="B28" s="74" t="s">
        <v>149</v>
      </c>
      <c r="C28" s="74" t="s">
        <v>163</v>
      </c>
      <c r="D28" s="74" t="s">
        <v>164</v>
      </c>
      <c r="E28" s="74" t="s">
        <v>427</v>
      </c>
      <c r="F28" s="74" t="s">
        <v>431</v>
      </c>
      <c r="G28" s="74" t="s">
        <v>435</v>
      </c>
      <c r="H28" s="74" t="s">
        <v>305</v>
      </c>
      <c r="I28" s="11" t="s">
        <v>21</v>
      </c>
    </row>
    <row r="29" spans="1:9">
      <c r="A29" s="67" t="s">
        <v>668</v>
      </c>
      <c r="B29" s="74" t="s">
        <v>149</v>
      </c>
      <c r="C29" s="74" t="s">
        <v>163</v>
      </c>
      <c r="D29" s="74" t="s">
        <v>164</v>
      </c>
      <c r="E29" s="74" t="s">
        <v>428</v>
      </c>
      <c r="F29" s="74" t="s">
        <v>432</v>
      </c>
      <c r="G29" s="74" t="s">
        <v>436</v>
      </c>
      <c r="H29" s="74" t="s">
        <v>305</v>
      </c>
      <c r="I29" s="11" t="s">
        <v>21</v>
      </c>
    </row>
    <row r="30" spans="1:9">
      <c r="A30" s="67" t="s">
        <v>668</v>
      </c>
      <c r="B30" s="74" t="s">
        <v>149</v>
      </c>
      <c r="C30" s="74" t="s">
        <v>437</v>
      </c>
      <c r="D30" s="74" t="s">
        <v>438</v>
      </c>
      <c r="E30" s="74" t="s">
        <v>439</v>
      </c>
      <c r="F30" s="74" t="s">
        <v>440</v>
      </c>
      <c r="G30" s="74" t="s">
        <v>441</v>
      </c>
      <c r="H30" s="74" t="s">
        <v>305</v>
      </c>
      <c r="I30" s="11" t="s">
        <v>21</v>
      </c>
    </row>
    <row r="31" spans="1:9">
      <c r="A31" s="67" t="s">
        <v>668</v>
      </c>
      <c r="B31" s="74" t="s">
        <v>226</v>
      </c>
      <c r="C31" s="74" t="s">
        <v>471</v>
      </c>
      <c r="D31" s="74" t="s">
        <v>472</v>
      </c>
      <c r="E31" s="74" t="s">
        <v>473</v>
      </c>
      <c r="F31" s="74" t="s">
        <v>474</v>
      </c>
      <c r="G31" s="74" t="s">
        <v>475</v>
      </c>
      <c r="H31" s="74" t="s">
        <v>305</v>
      </c>
      <c r="I31" s="11" t="s">
        <v>21</v>
      </c>
    </row>
    <row r="32" spans="1:9">
      <c r="A32" s="67" t="s">
        <v>668</v>
      </c>
      <c r="B32" s="74" t="s">
        <v>226</v>
      </c>
      <c r="C32" s="74" t="s">
        <v>476</v>
      </c>
      <c r="D32" s="74" t="s">
        <v>477</v>
      </c>
      <c r="E32" s="74" t="s">
        <v>478</v>
      </c>
      <c r="F32" s="74" t="s">
        <v>479</v>
      </c>
      <c r="G32" s="74" t="s">
        <v>480</v>
      </c>
      <c r="H32" s="74" t="s">
        <v>305</v>
      </c>
      <c r="I32" s="6" t="s">
        <v>289</v>
      </c>
    </row>
    <row r="33" spans="1:9">
      <c r="A33" s="87" t="s">
        <v>668</v>
      </c>
      <c r="B33" s="14" t="s">
        <v>241</v>
      </c>
      <c r="C33" s="14" t="s">
        <v>481</v>
      </c>
      <c r="D33" s="14" t="s">
        <v>340</v>
      </c>
      <c r="E33" s="86" t="s">
        <v>766</v>
      </c>
      <c r="F33" s="86" t="s">
        <v>767</v>
      </c>
      <c r="G33" s="14" t="s">
        <v>482</v>
      </c>
      <c r="H33" s="74" t="s">
        <v>305</v>
      </c>
      <c r="I33" s="11" t="s">
        <v>21</v>
      </c>
    </row>
    <row r="34" spans="1:9" ht="26.25">
      <c r="A34" s="87" t="s">
        <v>668</v>
      </c>
      <c r="B34" s="14" t="s">
        <v>241</v>
      </c>
      <c r="C34" s="91" t="s">
        <v>483</v>
      </c>
      <c r="D34" s="14" t="s">
        <v>484</v>
      </c>
      <c r="E34" s="14" t="s">
        <v>485</v>
      </c>
      <c r="F34" s="14" t="s">
        <v>486</v>
      </c>
      <c r="G34" s="14" t="s">
        <v>487</v>
      </c>
      <c r="H34" s="14" t="s">
        <v>305</v>
      </c>
      <c r="I34" s="11" t="s">
        <v>21</v>
      </c>
    </row>
    <row r="35" spans="1:9">
      <c r="A35" s="67" t="s">
        <v>668</v>
      </c>
      <c r="B35" s="76" t="s">
        <v>226</v>
      </c>
      <c r="C35" s="76" t="s">
        <v>805</v>
      </c>
      <c r="D35" s="76" t="s">
        <v>806</v>
      </c>
      <c r="E35" s="76" t="s">
        <v>807</v>
      </c>
      <c r="F35" s="76"/>
      <c r="G35" s="76" t="s">
        <v>703</v>
      </c>
      <c r="H35" s="76">
        <v>2026</v>
      </c>
      <c r="I35" s="110" t="s">
        <v>21</v>
      </c>
    </row>
    <row r="36" spans="1:9">
      <c r="A36" s="67" t="s">
        <v>668</v>
      </c>
      <c r="B36" s="76" t="s">
        <v>149</v>
      </c>
      <c r="C36" s="76" t="s">
        <v>163</v>
      </c>
      <c r="D36" s="76" t="s">
        <v>164</v>
      </c>
      <c r="E36" s="76" t="s">
        <v>868</v>
      </c>
      <c r="F36" s="76"/>
      <c r="G36" s="76" t="s">
        <v>867</v>
      </c>
      <c r="H36" s="76">
        <v>2026</v>
      </c>
      <c r="I36" s="52" t="s">
        <v>869</v>
      </c>
    </row>
    <row r="37" spans="1:9">
      <c r="A37" s="67" t="s">
        <v>668</v>
      </c>
      <c r="B37" s="76" t="s">
        <v>149</v>
      </c>
      <c r="C37" s="76" t="s">
        <v>173</v>
      </c>
      <c r="D37" s="76" t="s">
        <v>174</v>
      </c>
      <c r="E37" s="76" t="s">
        <v>870</v>
      </c>
      <c r="F37" s="76"/>
      <c r="G37" s="76" t="s">
        <v>871</v>
      </c>
      <c r="H37" s="76">
        <v>2026</v>
      </c>
      <c r="I37" s="110" t="s">
        <v>21</v>
      </c>
    </row>
    <row r="38" spans="1:9">
      <c r="A38" s="67" t="s">
        <v>668</v>
      </c>
      <c r="B38" s="76" t="s">
        <v>149</v>
      </c>
      <c r="C38" s="76" t="s">
        <v>173</v>
      </c>
      <c r="D38" s="76" t="s">
        <v>174</v>
      </c>
      <c r="E38" s="76" t="s">
        <v>872</v>
      </c>
      <c r="F38" s="76"/>
      <c r="G38" s="76" t="s">
        <v>873</v>
      </c>
      <c r="H38" s="76">
        <v>2026</v>
      </c>
      <c r="I38" s="110" t="s">
        <v>21</v>
      </c>
    </row>
    <row r="39" spans="1:9">
      <c r="A39" s="67" t="s">
        <v>668</v>
      </c>
      <c r="B39" s="76" t="s">
        <v>226</v>
      </c>
      <c r="C39" s="76" t="s">
        <v>874</v>
      </c>
      <c r="D39" s="76" t="s">
        <v>875</v>
      </c>
      <c r="E39" s="76" t="s">
        <v>876</v>
      </c>
      <c r="F39" s="76"/>
      <c r="G39" s="76" t="s">
        <v>877</v>
      </c>
      <c r="H39" s="76">
        <v>2026</v>
      </c>
      <c r="I39" s="52" t="s">
        <v>297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selection sqref="A1:I69"/>
    </sheetView>
  </sheetViews>
  <sheetFormatPr defaultRowHeight="15"/>
  <sheetData>
    <row r="1" spans="1:9">
      <c r="A1" s="13" t="s">
        <v>664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</row>
    <row r="2" spans="1:9">
      <c r="A2" s="67" t="s">
        <v>667</v>
      </c>
      <c r="B2" s="74" t="s">
        <v>51</v>
      </c>
      <c r="C2" s="74" t="s">
        <v>52</v>
      </c>
      <c r="D2" s="74" t="s">
        <v>53</v>
      </c>
      <c r="E2" s="77" t="s">
        <v>718</v>
      </c>
      <c r="F2" s="74"/>
      <c r="G2" s="74"/>
      <c r="H2" s="53">
        <v>2021</v>
      </c>
      <c r="I2" s="110" t="s">
        <v>565</v>
      </c>
    </row>
    <row r="3" spans="1:9">
      <c r="A3" s="67" t="s">
        <v>667</v>
      </c>
      <c r="B3" s="67" t="s">
        <v>78</v>
      </c>
      <c r="C3" s="67" t="s">
        <v>713</v>
      </c>
      <c r="D3" s="67" t="s">
        <v>715</v>
      </c>
      <c r="E3" s="100" t="s">
        <v>719</v>
      </c>
      <c r="F3" s="67"/>
      <c r="G3" s="67"/>
      <c r="H3" s="53">
        <v>2021</v>
      </c>
      <c r="I3" s="110" t="s">
        <v>565</v>
      </c>
    </row>
    <row r="4" spans="1:9">
      <c r="A4" s="67" t="s">
        <v>667</v>
      </c>
      <c r="B4" s="67" t="s">
        <v>78</v>
      </c>
      <c r="C4" s="67" t="s">
        <v>714</v>
      </c>
      <c r="D4" s="67" t="s">
        <v>716</v>
      </c>
      <c r="E4" s="100" t="s">
        <v>720</v>
      </c>
      <c r="F4" s="67"/>
      <c r="G4" s="67"/>
      <c r="H4" s="53">
        <v>2017</v>
      </c>
      <c r="I4" s="110" t="s">
        <v>565</v>
      </c>
    </row>
    <row r="5" spans="1:9">
      <c r="A5" s="67" t="s">
        <v>667</v>
      </c>
      <c r="B5" s="67" t="s">
        <v>78</v>
      </c>
      <c r="C5" s="67" t="s">
        <v>714</v>
      </c>
      <c r="D5" s="67" t="s">
        <v>716</v>
      </c>
      <c r="E5" s="100" t="s">
        <v>786</v>
      </c>
      <c r="F5" s="100" t="s">
        <v>787</v>
      </c>
      <c r="G5" s="67">
        <v>950115</v>
      </c>
      <c r="H5" s="53">
        <v>2023</v>
      </c>
      <c r="I5" s="110" t="s">
        <v>788</v>
      </c>
    </row>
    <row r="6" spans="1:9">
      <c r="A6" s="87" t="s">
        <v>667</v>
      </c>
      <c r="B6" s="123" t="s">
        <v>247</v>
      </c>
      <c r="C6" s="123" t="s">
        <v>758</v>
      </c>
      <c r="D6" s="123" t="s">
        <v>759</v>
      </c>
      <c r="E6" s="124" t="s">
        <v>760</v>
      </c>
      <c r="F6" s="124" t="s">
        <v>761</v>
      </c>
      <c r="G6" s="123">
        <v>947256</v>
      </c>
      <c r="H6" s="28">
        <v>2023</v>
      </c>
      <c r="I6" s="110" t="s">
        <v>762</v>
      </c>
    </row>
    <row r="7" spans="1:9">
      <c r="A7" s="67" t="s">
        <v>667</v>
      </c>
      <c r="B7" s="67" t="s">
        <v>78</v>
      </c>
      <c r="C7" s="67" t="s">
        <v>751</v>
      </c>
      <c r="D7" s="67" t="s">
        <v>752</v>
      </c>
      <c r="E7" s="100" t="s">
        <v>753</v>
      </c>
      <c r="F7" s="100" t="s">
        <v>754</v>
      </c>
      <c r="G7" s="67">
        <v>942625</v>
      </c>
      <c r="H7" s="53">
        <v>2023</v>
      </c>
      <c r="I7" s="110" t="s">
        <v>750</v>
      </c>
    </row>
    <row r="8" spans="1:9" ht="102.75">
      <c r="A8" s="67" t="s">
        <v>667</v>
      </c>
      <c r="B8" s="74" t="s">
        <v>51</v>
      </c>
      <c r="C8" s="74" t="s">
        <v>544</v>
      </c>
      <c r="D8" s="105" t="s">
        <v>545</v>
      </c>
      <c r="E8" s="74" t="s">
        <v>546</v>
      </c>
      <c r="F8" s="74" t="s">
        <v>547</v>
      </c>
      <c r="G8" s="74" t="s">
        <v>548</v>
      </c>
      <c r="H8" s="74" t="s">
        <v>524</v>
      </c>
      <c r="I8" s="6" t="s">
        <v>20</v>
      </c>
    </row>
    <row r="9" spans="1:9" ht="51.75">
      <c r="A9" s="87" t="s">
        <v>667</v>
      </c>
      <c r="B9" s="48" t="s">
        <v>78</v>
      </c>
      <c r="C9" s="48" t="s">
        <v>552</v>
      </c>
      <c r="D9" s="125" t="s">
        <v>553</v>
      </c>
      <c r="E9" s="28">
        <v>91751323002</v>
      </c>
      <c r="F9" s="96" t="s">
        <v>554</v>
      </c>
      <c r="G9" s="28">
        <v>949775</v>
      </c>
      <c r="H9" s="28">
        <v>2023</v>
      </c>
      <c r="I9" s="6" t="s">
        <v>20</v>
      </c>
    </row>
    <row r="10" spans="1:9" ht="128.25">
      <c r="A10" s="67" t="s">
        <v>667</v>
      </c>
      <c r="B10" s="70" t="s">
        <v>247</v>
      </c>
      <c r="C10" s="70" t="s">
        <v>697</v>
      </c>
      <c r="D10" s="82" t="s">
        <v>698</v>
      </c>
      <c r="E10" s="50" t="s">
        <v>699</v>
      </c>
      <c r="F10" s="50" t="s">
        <v>700</v>
      </c>
      <c r="G10" s="49">
        <v>954420</v>
      </c>
      <c r="H10" s="68">
        <v>2023</v>
      </c>
      <c r="I10" s="11" t="s">
        <v>20</v>
      </c>
    </row>
    <row r="11" spans="1:9">
      <c r="A11" s="67" t="s">
        <v>667</v>
      </c>
      <c r="B11" s="74" t="s">
        <v>78</v>
      </c>
      <c r="C11" s="74" t="s">
        <v>555</v>
      </c>
      <c r="D11" s="74" t="s">
        <v>556</v>
      </c>
      <c r="E11" s="74" t="s">
        <v>557</v>
      </c>
      <c r="F11" s="74" t="s">
        <v>558</v>
      </c>
      <c r="G11" s="72">
        <v>954398</v>
      </c>
      <c r="H11" s="74" t="s">
        <v>524</v>
      </c>
      <c r="I11" s="6" t="s">
        <v>20</v>
      </c>
    </row>
    <row r="12" spans="1:9" ht="115.5">
      <c r="A12" s="67" t="s">
        <v>667</v>
      </c>
      <c r="B12" s="74" t="s">
        <v>78</v>
      </c>
      <c r="C12" s="74" t="s">
        <v>559</v>
      </c>
      <c r="D12" s="105" t="s">
        <v>560</v>
      </c>
      <c r="E12" s="74" t="s">
        <v>561</v>
      </c>
      <c r="F12" s="74" t="s">
        <v>562</v>
      </c>
      <c r="G12" s="74" t="s">
        <v>563</v>
      </c>
      <c r="H12" s="74" t="s">
        <v>524</v>
      </c>
      <c r="I12" s="6" t="s">
        <v>20</v>
      </c>
    </row>
    <row r="13" spans="1:9">
      <c r="A13" s="87" t="s">
        <v>667</v>
      </c>
      <c r="B13" s="48" t="s">
        <v>78</v>
      </c>
      <c r="C13" s="48" t="s">
        <v>549</v>
      </c>
      <c r="D13" s="48" t="s">
        <v>550</v>
      </c>
      <c r="E13" s="28">
        <v>92543823002</v>
      </c>
      <c r="F13" s="96" t="s">
        <v>551</v>
      </c>
      <c r="G13" s="28">
        <v>950114</v>
      </c>
      <c r="H13" s="28">
        <v>2023</v>
      </c>
      <c r="I13" s="11" t="s">
        <v>21</v>
      </c>
    </row>
    <row r="14" spans="1:9">
      <c r="A14" s="67" t="s">
        <v>667</v>
      </c>
      <c r="B14" s="74" t="s">
        <v>78</v>
      </c>
      <c r="C14" s="74" t="s">
        <v>566</v>
      </c>
      <c r="D14" s="74" t="s">
        <v>75</v>
      </c>
      <c r="E14" s="74" t="s">
        <v>567</v>
      </c>
      <c r="F14" s="74"/>
      <c r="G14" s="74" t="s">
        <v>568</v>
      </c>
      <c r="H14" s="74" t="s">
        <v>524</v>
      </c>
      <c r="I14" s="6" t="s">
        <v>20</v>
      </c>
    </row>
    <row r="15" spans="1:9">
      <c r="A15" s="67" t="s">
        <v>667</v>
      </c>
      <c r="B15" s="74" t="s">
        <v>181</v>
      </c>
      <c r="C15" s="74" t="s">
        <v>182</v>
      </c>
      <c r="D15" s="74" t="s">
        <v>597</v>
      </c>
      <c r="E15" s="74" t="s">
        <v>598</v>
      </c>
      <c r="F15" s="74"/>
      <c r="G15" s="53" t="s">
        <v>599</v>
      </c>
      <c r="H15" s="74" t="s">
        <v>524</v>
      </c>
      <c r="I15" s="6" t="s">
        <v>20</v>
      </c>
    </row>
    <row r="16" spans="1:9">
      <c r="A16" s="67" t="s">
        <v>667</v>
      </c>
      <c r="B16" s="74" t="s">
        <v>247</v>
      </c>
      <c r="C16" s="74" t="s">
        <v>488</v>
      </c>
      <c r="D16" s="74" t="s">
        <v>701</v>
      </c>
      <c r="E16" s="77" t="s">
        <v>630</v>
      </c>
      <c r="F16" s="77" t="s">
        <v>702</v>
      </c>
      <c r="G16" s="53" t="s">
        <v>703</v>
      </c>
      <c r="H16" s="74" t="s">
        <v>524</v>
      </c>
      <c r="I16" s="6" t="s">
        <v>20</v>
      </c>
    </row>
    <row r="17" spans="1:9">
      <c r="A17" s="67" t="s">
        <v>667</v>
      </c>
      <c r="B17" s="74" t="s">
        <v>247</v>
      </c>
      <c r="C17" s="74" t="s">
        <v>488</v>
      </c>
      <c r="D17" s="74" t="s">
        <v>602</v>
      </c>
      <c r="E17" s="74" t="s">
        <v>603</v>
      </c>
      <c r="F17" s="74" t="s">
        <v>604</v>
      </c>
      <c r="G17" s="53">
        <v>953741</v>
      </c>
      <c r="H17" s="74" t="s">
        <v>524</v>
      </c>
      <c r="I17" s="6" t="s">
        <v>20</v>
      </c>
    </row>
    <row r="18" spans="1:9">
      <c r="A18" s="67" t="s">
        <v>667</v>
      </c>
      <c r="B18" s="74" t="s">
        <v>247</v>
      </c>
      <c r="C18" s="74" t="s">
        <v>605</v>
      </c>
      <c r="D18" s="74" t="s">
        <v>606</v>
      </c>
      <c r="E18" s="74" t="s">
        <v>607</v>
      </c>
      <c r="F18" s="74" t="s">
        <v>608</v>
      </c>
      <c r="G18" s="53" t="s">
        <v>609</v>
      </c>
      <c r="H18" s="74" t="s">
        <v>524</v>
      </c>
      <c r="I18" s="6" t="s">
        <v>20</v>
      </c>
    </row>
    <row r="19" spans="1:9">
      <c r="A19" s="67" t="s">
        <v>667</v>
      </c>
      <c r="B19" s="74" t="s">
        <v>247</v>
      </c>
      <c r="C19" s="74" t="s">
        <v>500</v>
      </c>
      <c r="D19" s="74" t="s">
        <v>501</v>
      </c>
      <c r="E19" s="74" t="s">
        <v>610</v>
      </c>
      <c r="F19" s="74" t="s">
        <v>611</v>
      </c>
      <c r="G19" s="53">
        <v>953401</v>
      </c>
      <c r="H19" s="74" t="s">
        <v>524</v>
      </c>
      <c r="I19" s="6" t="s">
        <v>20</v>
      </c>
    </row>
    <row r="20" spans="1:9">
      <c r="A20" s="67" t="s">
        <v>667</v>
      </c>
      <c r="B20" s="74" t="s">
        <v>247</v>
      </c>
      <c r="C20" s="74" t="s">
        <v>612</v>
      </c>
      <c r="D20" s="74" t="s">
        <v>613</v>
      </c>
      <c r="E20" s="74" t="s">
        <v>614</v>
      </c>
      <c r="F20" s="74" t="s">
        <v>615</v>
      </c>
      <c r="G20" s="53" t="s">
        <v>616</v>
      </c>
      <c r="H20" s="74" t="s">
        <v>524</v>
      </c>
      <c r="I20" s="6" t="s">
        <v>20</v>
      </c>
    </row>
    <row r="21" spans="1:9">
      <c r="A21" s="67" t="s">
        <v>667</v>
      </c>
      <c r="B21" s="74" t="s">
        <v>247</v>
      </c>
      <c r="C21" s="74" t="s">
        <v>253</v>
      </c>
      <c r="D21" s="74" t="s">
        <v>617</v>
      </c>
      <c r="E21" s="74" t="s">
        <v>618</v>
      </c>
      <c r="F21" s="74" t="s">
        <v>619</v>
      </c>
      <c r="G21" s="74" t="s">
        <v>620</v>
      </c>
      <c r="H21" s="74" t="s">
        <v>524</v>
      </c>
      <c r="I21" s="6" t="s">
        <v>20</v>
      </c>
    </row>
    <row r="22" spans="1:9">
      <c r="A22" s="67" t="s">
        <v>681</v>
      </c>
      <c r="B22" s="69" t="s">
        <v>247</v>
      </c>
      <c r="C22" s="69" t="s">
        <v>263</v>
      </c>
      <c r="D22" s="69" t="s">
        <v>621</v>
      </c>
      <c r="E22" s="69" t="s">
        <v>622</v>
      </c>
      <c r="F22" s="69" t="s">
        <v>623</v>
      </c>
      <c r="G22" s="69" t="s">
        <v>624</v>
      </c>
      <c r="H22" s="69" t="s">
        <v>524</v>
      </c>
      <c r="I22" s="34" t="s">
        <v>20</v>
      </c>
    </row>
    <row r="23" spans="1:9" ht="26.25">
      <c r="A23" s="87" t="s">
        <v>667</v>
      </c>
      <c r="B23" s="48" t="s">
        <v>247</v>
      </c>
      <c r="C23" s="48" t="s">
        <v>263</v>
      </c>
      <c r="D23" s="48" t="s">
        <v>621</v>
      </c>
      <c r="E23" s="128" t="s">
        <v>625</v>
      </c>
      <c r="F23" s="48"/>
      <c r="G23" s="28">
        <v>949415</v>
      </c>
      <c r="H23" s="28">
        <v>2023</v>
      </c>
      <c r="I23" s="11" t="s">
        <v>21</v>
      </c>
    </row>
    <row r="24" spans="1:9" ht="26.25">
      <c r="A24" s="67" t="s">
        <v>667</v>
      </c>
      <c r="B24" s="70" t="s">
        <v>247</v>
      </c>
      <c r="C24" s="70" t="s">
        <v>682</v>
      </c>
      <c r="D24" s="70" t="s">
        <v>271</v>
      </c>
      <c r="E24" s="71" t="s">
        <v>683</v>
      </c>
      <c r="F24" s="47" t="s">
        <v>684</v>
      </c>
      <c r="G24" s="68">
        <v>954006</v>
      </c>
      <c r="H24" s="68">
        <v>2023</v>
      </c>
      <c r="I24" s="113" t="s">
        <v>20</v>
      </c>
    </row>
    <row r="25" spans="1:9">
      <c r="A25" s="67" t="s">
        <v>667</v>
      </c>
      <c r="B25" s="74" t="s">
        <v>247</v>
      </c>
      <c r="C25" s="74" t="s">
        <v>263</v>
      </c>
      <c r="D25" s="74" t="s">
        <v>626</v>
      </c>
      <c r="E25" s="74" t="s">
        <v>627</v>
      </c>
      <c r="F25" s="74" t="s">
        <v>628</v>
      </c>
      <c r="G25" s="74" t="s">
        <v>629</v>
      </c>
      <c r="H25" s="74" t="s">
        <v>524</v>
      </c>
      <c r="I25" s="34" t="s">
        <v>20</v>
      </c>
    </row>
    <row r="26" spans="1:9">
      <c r="A26" s="67" t="s">
        <v>667</v>
      </c>
      <c r="B26" s="74" t="s">
        <v>247</v>
      </c>
      <c r="C26" s="74" t="s">
        <v>689</v>
      </c>
      <c r="D26" s="74" t="s">
        <v>690</v>
      </c>
      <c r="E26" s="77" t="s">
        <v>691</v>
      </c>
      <c r="F26" s="77" t="s">
        <v>692</v>
      </c>
      <c r="G26" s="53">
        <v>953743</v>
      </c>
      <c r="H26" s="53">
        <v>2023</v>
      </c>
      <c r="I26" s="34" t="s">
        <v>20</v>
      </c>
    </row>
    <row r="27" spans="1:9">
      <c r="A27" s="67" t="s">
        <v>667</v>
      </c>
      <c r="B27" s="74" t="s">
        <v>247</v>
      </c>
      <c r="C27" s="74" t="s">
        <v>263</v>
      </c>
      <c r="D27" s="74" t="s">
        <v>264</v>
      </c>
      <c r="E27" s="74" t="s">
        <v>630</v>
      </c>
      <c r="F27" s="74"/>
      <c r="G27" s="74" t="s">
        <v>631</v>
      </c>
      <c r="H27" s="74" t="s">
        <v>524</v>
      </c>
      <c r="I27" s="6" t="s">
        <v>20</v>
      </c>
    </row>
    <row r="28" spans="1:9" ht="135">
      <c r="A28" s="87" t="s">
        <v>667</v>
      </c>
      <c r="B28" s="98" t="s">
        <v>247</v>
      </c>
      <c r="C28" s="98" t="s">
        <v>512</v>
      </c>
      <c r="D28" s="98" t="s">
        <v>662</v>
      </c>
      <c r="E28" s="98">
        <v>97148523008</v>
      </c>
      <c r="F28" s="96" t="s">
        <v>663</v>
      </c>
      <c r="G28" s="133">
        <v>950511</v>
      </c>
      <c r="H28" s="28">
        <v>2023</v>
      </c>
      <c r="I28" s="11" t="s">
        <v>21</v>
      </c>
    </row>
    <row r="29" spans="1:9">
      <c r="A29" s="67" t="s">
        <v>667</v>
      </c>
      <c r="B29" s="74" t="s">
        <v>51</v>
      </c>
      <c r="C29" s="74" t="s">
        <v>52</v>
      </c>
      <c r="D29" s="74" t="s">
        <v>53</v>
      </c>
      <c r="E29" s="74" t="s">
        <v>54</v>
      </c>
      <c r="F29" s="74" t="s">
        <v>58</v>
      </c>
      <c r="G29" s="74" t="s">
        <v>62</v>
      </c>
      <c r="H29" s="74" t="s">
        <v>19</v>
      </c>
      <c r="I29" s="11" t="s">
        <v>21</v>
      </c>
    </row>
    <row r="30" spans="1:9">
      <c r="A30" s="67" t="s">
        <v>667</v>
      </c>
      <c r="B30" s="74" t="s">
        <v>51</v>
      </c>
      <c r="C30" s="74" t="s">
        <v>52</v>
      </c>
      <c r="D30" s="74" t="s">
        <v>53</v>
      </c>
      <c r="E30" s="74" t="s">
        <v>55</v>
      </c>
      <c r="F30" s="74" t="s">
        <v>59</v>
      </c>
      <c r="G30" s="74" t="s">
        <v>63</v>
      </c>
      <c r="H30" s="74" t="s">
        <v>19</v>
      </c>
      <c r="I30" s="11" t="s">
        <v>21</v>
      </c>
    </row>
    <row r="31" spans="1:9">
      <c r="A31" s="67" t="s">
        <v>667</v>
      </c>
      <c r="B31" s="74" t="s">
        <v>51</v>
      </c>
      <c r="C31" s="74" t="s">
        <v>52</v>
      </c>
      <c r="D31" s="74" t="s">
        <v>53</v>
      </c>
      <c r="E31" s="74" t="s">
        <v>56</v>
      </c>
      <c r="F31" s="74" t="s">
        <v>60</v>
      </c>
      <c r="G31" s="74" t="s">
        <v>64</v>
      </c>
      <c r="H31" s="74" t="s">
        <v>19</v>
      </c>
      <c r="I31" s="11" t="s">
        <v>21</v>
      </c>
    </row>
    <row r="32" spans="1:9">
      <c r="A32" s="87" t="s">
        <v>667</v>
      </c>
      <c r="B32" s="14" t="s">
        <v>51</v>
      </c>
      <c r="C32" s="30" t="s">
        <v>52</v>
      </c>
      <c r="D32" s="14" t="s">
        <v>53</v>
      </c>
      <c r="E32" s="14" t="s">
        <v>57</v>
      </c>
      <c r="F32" s="14" t="s">
        <v>61</v>
      </c>
      <c r="G32" s="14" t="s">
        <v>65</v>
      </c>
      <c r="H32" s="14" t="s">
        <v>19</v>
      </c>
      <c r="I32" s="11" t="s">
        <v>21</v>
      </c>
    </row>
    <row r="33" spans="1:9">
      <c r="A33" s="67" t="s">
        <v>667</v>
      </c>
      <c r="B33" s="74" t="s">
        <v>78</v>
      </c>
      <c r="C33" s="74" t="s">
        <v>79</v>
      </c>
      <c r="D33" s="74" t="s">
        <v>80</v>
      </c>
      <c r="E33" s="74" t="s">
        <v>81</v>
      </c>
      <c r="F33" s="74" t="s">
        <v>82</v>
      </c>
      <c r="G33" s="74" t="s">
        <v>83</v>
      </c>
      <c r="H33" s="74" t="s">
        <v>19</v>
      </c>
      <c r="I33" s="11" t="s">
        <v>21</v>
      </c>
    </row>
    <row r="34" spans="1:9">
      <c r="A34" s="67" t="s">
        <v>667</v>
      </c>
      <c r="B34" s="74" t="s">
        <v>181</v>
      </c>
      <c r="C34" s="74" t="s">
        <v>182</v>
      </c>
      <c r="D34" s="74" t="s">
        <v>183</v>
      </c>
      <c r="E34" s="74" t="s">
        <v>184</v>
      </c>
      <c r="F34" s="74" t="s">
        <v>185</v>
      </c>
      <c r="G34" s="74" t="s">
        <v>186</v>
      </c>
      <c r="H34" s="74" t="s">
        <v>19</v>
      </c>
      <c r="I34" s="11" t="s">
        <v>21</v>
      </c>
    </row>
    <row r="35" spans="1:9">
      <c r="A35" s="67" t="s">
        <v>667</v>
      </c>
      <c r="B35" s="74" t="s">
        <v>181</v>
      </c>
      <c r="C35" s="74" t="s">
        <v>187</v>
      </c>
      <c r="D35" s="74" t="s">
        <v>188</v>
      </c>
      <c r="E35" s="74" t="s">
        <v>189</v>
      </c>
      <c r="F35" s="74"/>
      <c r="G35" s="74" t="s">
        <v>190</v>
      </c>
      <c r="H35" s="74" t="s">
        <v>19</v>
      </c>
      <c r="I35" s="11" t="s">
        <v>289</v>
      </c>
    </row>
    <row r="36" spans="1:9">
      <c r="A36" s="67" t="s">
        <v>667</v>
      </c>
      <c r="B36" s="74" t="s">
        <v>247</v>
      </c>
      <c r="C36" s="74" t="s">
        <v>248</v>
      </c>
      <c r="D36" s="74" t="s">
        <v>249</v>
      </c>
      <c r="E36" s="74" t="s">
        <v>250</v>
      </c>
      <c r="F36" s="74" t="s">
        <v>251</v>
      </c>
      <c r="G36" s="74" t="s">
        <v>252</v>
      </c>
      <c r="H36" s="74" t="s">
        <v>19</v>
      </c>
      <c r="I36" s="11" t="s">
        <v>21</v>
      </c>
    </row>
    <row r="37" spans="1:9">
      <c r="A37" s="67" t="s">
        <v>667</v>
      </c>
      <c r="B37" s="74" t="s">
        <v>247</v>
      </c>
      <c r="C37" s="74" t="s">
        <v>253</v>
      </c>
      <c r="D37" s="74" t="s">
        <v>254</v>
      </c>
      <c r="E37" s="74" t="s">
        <v>255</v>
      </c>
      <c r="F37" s="74" t="s">
        <v>256</v>
      </c>
      <c r="G37" s="74" t="s">
        <v>257</v>
      </c>
      <c r="H37" s="74" t="s">
        <v>19</v>
      </c>
      <c r="I37" s="6" t="s">
        <v>20</v>
      </c>
    </row>
    <row r="38" spans="1:9">
      <c r="A38" s="67" t="s">
        <v>667</v>
      </c>
      <c r="B38" s="74" t="s">
        <v>247</v>
      </c>
      <c r="C38" s="74" t="s">
        <v>258</v>
      </c>
      <c r="D38" s="74" t="s">
        <v>259</v>
      </c>
      <c r="E38" s="74" t="s">
        <v>260</v>
      </c>
      <c r="F38" s="74" t="s">
        <v>261</v>
      </c>
      <c r="G38" s="74" t="s">
        <v>262</v>
      </c>
      <c r="H38" s="74" t="s">
        <v>19</v>
      </c>
      <c r="I38" s="6" t="s">
        <v>20</v>
      </c>
    </row>
    <row r="39" spans="1:9">
      <c r="A39" s="87" t="s">
        <v>667</v>
      </c>
      <c r="B39" s="48" t="s">
        <v>247</v>
      </c>
      <c r="C39" s="48" t="s">
        <v>263</v>
      </c>
      <c r="D39" s="48" t="s">
        <v>264</v>
      </c>
      <c r="E39" s="48" t="s">
        <v>265</v>
      </c>
      <c r="F39" s="48"/>
      <c r="G39" s="48" t="s">
        <v>190</v>
      </c>
      <c r="H39" s="48" t="s">
        <v>19</v>
      </c>
      <c r="I39" s="11" t="s">
        <v>21</v>
      </c>
    </row>
    <row r="40" spans="1:9">
      <c r="A40" s="67" t="s">
        <v>667</v>
      </c>
      <c r="B40" s="74" t="s">
        <v>247</v>
      </c>
      <c r="C40" s="74" t="s">
        <v>263</v>
      </c>
      <c r="D40" s="74" t="s">
        <v>264</v>
      </c>
      <c r="E40" s="74" t="s">
        <v>266</v>
      </c>
      <c r="F40" s="74"/>
      <c r="G40" s="74" t="s">
        <v>35</v>
      </c>
      <c r="H40" s="74" t="s">
        <v>19</v>
      </c>
      <c r="I40" s="24" t="s">
        <v>21</v>
      </c>
    </row>
    <row r="41" spans="1:9">
      <c r="A41" s="67" t="s">
        <v>667</v>
      </c>
      <c r="B41" s="74" t="s">
        <v>247</v>
      </c>
      <c r="C41" s="74" t="s">
        <v>263</v>
      </c>
      <c r="D41" s="74" t="s">
        <v>264</v>
      </c>
      <c r="E41" s="74" t="s">
        <v>267</v>
      </c>
      <c r="F41" s="74"/>
      <c r="G41" s="74" t="s">
        <v>35</v>
      </c>
      <c r="H41" s="74" t="s">
        <v>19</v>
      </c>
      <c r="I41" s="24" t="s">
        <v>21</v>
      </c>
    </row>
    <row r="42" spans="1:9">
      <c r="A42" s="67" t="s">
        <v>667</v>
      </c>
      <c r="B42" s="74" t="s">
        <v>247</v>
      </c>
      <c r="C42" s="74" t="s">
        <v>488</v>
      </c>
      <c r="D42" s="74" t="s">
        <v>264</v>
      </c>
      <c r="E42" s="74" t="s">
        <v>268</v>
      </c>
      <c r="F42" s="74" t="s">
        <v>269</v>
      </c>
      <c r="G42" s="74" t="s">
        <v>270</v>
      </c>
      <c r="H42" s="74" t="s">
        <v>19</v>
      </c>
      <c r="I42" s="6" t="s">
        <v>20</v>
      </c>
    </row>
    <row r="43" spans="1:9">
      <c r="A43" s="67" t="s">
        <v>667</v>
      </c>
      <c r="B43" s="74" t="s">
        <v>247</v>
      </c>
      <c r="C43" s="74" t="s">
        <v>263</v>
      </c>
      <c r="D43" s="74" t="s">
        <v>271</v>
      </c>
      <c r="E43" s="74" t="s">
        <v>274</v>
      </c>
      <c r="F43" s="74" t="s">
        <v>277</v>
      </c>
      <c r="G43" s="74" t="s">
        <v>280</v>
      </c>
      <c r="H43" s="74" t="s">
        <v>19</v>
      </c>
      <c r="I43" s="11" t="s">
        <v>21</v>
      </c>
    </row>
    <row r="44" spans="1:9">
      <c r="A44" s="67" t="s">
        <v>667</v>
      </c>
      <c r="B44" s="74" t="s">
        <v>247</v>
      </c>
      <c r="C44" s="74" t="s">
        <v>263</v>
      </c>
      <c r="D44" s="74" t="s">
        <v>272</v>
      </c>
      <c r="E44" s="74" t="s">
        <v>275</v>
      </c>
      <c r="F44" s="74" t="s">
        <v>278</v>
      </c>
      <c r="G44" s="74" t="s">
        <v>281</v>
      </c>
      <c r="H44" s="74" t="s">
        <v>19</v>
      </c>
      <c r="I44" s="11" t="s">
        <v>21</v>
      </c>
    </row>
    <row r="45" spans="1:9">
      <c r="A45" s="87" t="s">
        <v>667</v>
      </c>
      <c r="B45" s="14" t="s">
        <v>247</v>
      </c>
      <c r="C45" s="14" t="s">
        <v>263</v>
      </c>
      <c r="D45" s="14" t="s">
        <v>273</v>
      </c>
      <c r="E45" s="14" t="s">
        <v>276</v>
      </c>
      <c r="F45" s="14" t="s">
        <v>279</v>
      </c>
      <c r="G45" s="14" t="s">
        <v>282</v>
      </c>
      <c r="H45" s="14" t="s">
        <v>19</v>
      </c>
      <c r="I45" s="11" t="s">
        <v>21</v>
      </c>
    </row>
    <row r="46" spans="1:9">
      <c r="A46" s="67" t="s">
        <v>667</v>
      </c>
      <c r="B46" s="74" t="s">
        <v>78</v>
      </c>
      <c r="C46" s="74" t="s">
        <v>327</v>
      </c>
      <c r="D46" s="74" t="s">
        <v>328</v>
      </c>
      <c r="E46" s="74" t="s">
        <v>329</v>
      </c>
      <c r="F46" s="74" t="s">
        <v>330</v>
      </c>
      <c r="G46" s="74" t="s">
        <v>331</v>
      </c>
      <c r="H46" s="74" t="s">
        <v>305</v>
      </c>
      <c r="I46" s="11" t="s">
        <v>21</v>
      </c>
    </row>
    <row r="47" spans="1:9">
      <c r="A47" s="67" t="s">
        <v>667</v>
      </c>
      <c r="B47" s="74" t="s">
        <v>247</v>
      </c>
      <c r="C47" s="74" t="s">
        <v>248</v>
      </c>
      <c r="D47" s="74" t="s">
        <v>249</v>
      </c>
      <c r="E47" s="77" t="s">
        <v>707</v>
      </c>
      <c r="F47" s="77" t="s">
        <v>709</v>
      </c>
      <c r="G47" s="53">
        <v>925320</v>
      </c>
      <c r="H47" s="101">
        <v>2021</v>
      </c>
      <c r="I47" s="11" t="s">
        <v>20</v>
      </c>
    </row>
    <row r="48" spans="1:9">
      <c r="A48" s="67" t="s">
        <v>667</v>
      </c>
      <c r="B48" s="74" t="s">
        <v>247</v>
      </c>
      <c r="C48" s="74" t="s">
        <v>705</v>
      </c>
      <c r="D48" s="74" t="s">
        <v>706</v>
      </c>
      <c r="E48" s="77" t="s">
        <v>708</v>
      </c>
      <c r="F48" s="77" t="s">
        <v>710</v>
      </c>
      <c r="G48" s="53">
        <v>904824</v>
      </c>
      <c r="H48" s="53">
        <v>2020</v>
      </c>
      <c r="I48" s="11" t="s">
        <v>20</v>
      </c>
    </row>
    <row r="49" spans="1:9">
      <c r="A49" s="67" t="s">
        <v>667</v>
      </c>
      <c r="B49" s="74" t="s">
        <v>247</v>
      </c>
      <c r="C49" s="74" t="s">
        <v>488</v>
      </c>
      <c r="D49" s="74" t="s">
        <v>489</v>
      </c>
      <c r="E49" s="74" t="s">
        <v>490</v>
      </c>
      <c r="F49" s="74"/>
      <c r="G49" s="74" t="s">
        <v>491</v>
      </c>
      <c r="H49" s="74" t="s">
        <v>305</v>
      </c>
      <c r="I49" s="11" t="s">
        <v>21</v>
      </c>
    </row>
    <row r="50" spans="1:9">
      <c r="A50" s="67" t="s">
        <v>667</v>
      </c>
      <c r="B50" s="74" t="s">
        <v>247</v>
      </c>
      <c r="C50" s="74" t="s">
        <v>492</v>
      </c>
      <c r="D50" s="74" t="s">
        <v>493</v>
      </c>
      <c r="E50" s="74" t="s">
        <v>494</v>
      </c>
      <c r="F50" s="74" t="s">
        <v>496</v>
      </c>
      <c r="G50" s="74" t="s">
        <v>498</v>
      </c>
      <c r="H50" s="74" t="s">
        <v>305</v>
      </c>
      <c r="I50" s="11" t="s">
        <v>21</v>
      </c>
    </row>
    <row r="51" spans="1:9">
      <c r="A51" s="67" t="s">
        <v>667</v>
      </c>
      <c r="B51" s="74" t="s">
        <v>247</v>
      </c>
      <c r="C51" s="74" t="s">
        <v>492</v>
      </c>
      <c r="D51" s="74" t="s">
        <v>493</v>
      </c>
      <c r="E51" s="74" t="s">
        <v>495</v>
      </c>
      <c r="F51" s="74" t="s">
        <v>497</v>
      </c>
      <c r="G51" s="74" t="s">
        <v>499</v>
      </c>
      <c r="H51" s="74" t="s">
        <v>305</v>
      </c>
      <c r="I51" s="11" t="s">
        <v>21</v>
      </c>
    </row>
    <row r="52" spans="1:9">
      <c r="A52" s="87" t="s">
        <v>667</v>
      </c>
      <c r="B52" s="14" t="s">
        <v>247</v>
      </c>
      <c r="C52" s="14" t="s">
        <v>500</v>
      </c>
      <c r="D52" s="14" t="s">
        <v>501</v>
      </c>
      <c r="E52" s="14" t="s">
        <v>502</v>
      </c>
      <c r="F52" s="14" t="s">
        <v>503</v>
      </c>
      <c r="G52" s="14" t="s">
        <v>504</v>
      </c>
      <c r="H52" s="14" t="s">
        <v>305</v>
      </c>
      <c r="I52" s="11" t="s">
        <v>21</v>
      </c>
    </row>
    <row r="53" spans="1:9">
      <c r="A53" s="67" t="s">
        <v>667</v>
      </c>
      <c r="B53" s="74" t="s">
        <v>247</v>
      </c>
      <c r="C53" s="74" t="s">
        <v>505</v>
      </c>
      <c r="D53" s="74" t="s">
        <v>75</v>
      </c>
      <c r="E53" s="74" t="s">
        <v>506</v>
      </c>
      <c r="F53" s="74"/>
      <c r="G53" s="74" t="s">
        <v>507</v>
      </c>
      <c r="H53" s="74" t="s">
        <v>305</v>
      </c>
      <c r="I53" s="11" t="s">
        <v>21</v>
      </c>
    </row>
    <row r="54" spans="1:9">
      <c r="A54" s="67" t="s">
        <v>667</v>
      </c>
      <c r="B54" s="74" t="s">
        <v>247</v>
      </c>
      <c r="C54" s="74" t="s">
        <v>508</v>
      </c>
      <c r="D54" s="74" t="s">
        <v>509</v>
      </c>
      <c r="E54" s="74" t="s">
        <v>510</v>
      </c>
      <c r="F54" s="74" t="s">
        <v>511</v>
      </c>
      <c r="G54" s="53">
        <v>978894</v>
      </c>
      <c r="H54" s="74" t="s">
        <v>305</v>
      </c>
      <c r="I54" s="11" t="s">
        <v>21</v>
      </c>
    </row>
    <row r="55" spans="1:9">
      <c r="A55" s="87" t="s">
        <v>667</v>
      </c>
      <c r="B55" s="14" t="s">
        <v>247</v>
      </c>
      <c r="C55" s="14" t="s">
        <v>512</v>
      </c>
      <c r="D55" s="14" t="s">
        <v>513</v>
      </c>
      <c r="E55" s="14" t="s">
        <v>514</v>
      </c>
      <c r="F55" s="14" t="s">
        <v>515</v>
      </c>
      <c r="G55" s="14" t="s">
        <v>516</v>
      </c>
      <c r="H55" s="14" t="s">
        <v>305</v>
      </c>
      <c r="I55" s="11" t="s">
        <v>21</v>
      </c>
    </row>
    <row r="56" spans="1:9">
      <c r="A56" s="67" t="s">
        <v>667</v>
      </c>
      <c r="B56" s="67" t="s">
        <v>247</v>
      </c>
      <c r="C56" s="67" t="s">
        <v>733</v>
      </c>
      <c r="D56" s="67" t="s">
        <v>734</v>
      </c>
      <c r="E56" s="67"/>
      <c r="F56" s="67"/>
      <c r="G56" s="67"/>
      <c r="H56" s="67"/>
      <c r="I56" s="110" t="s">
        <v>740</v>
      </c>
    </row>
    <row r="57" spans="1:9">
      <c r="A57" s="67" t="s">
        <v>667</v>
      </c>
      <c r="B57" s="67" t="s">
        <v>78</v>
      </c>
      <c r="C57" s="67" t="s">
        <v>735</v>
      </c>
      <c r="D57" s="67" t="s">
        <v>553</v>
      </c>
      <c r="E57" s="67"/>
      <c r="F57" s="67"/>
      <c r="G57" s="67"/>
      <c r="H57" s="67"/>
      <c r="I57" s="110" t="s">
        <v>740</v>
      </c>
    </row>
    <row r="58" spans="1:9">
      <c r="A58" s="67" t="s">
        <v>667</v>
      </c>
      <c r="B58" s="67" t="s">
        <v>247</v>
      </c>
      <c r="C58" s="67" t="s">
        <v>736</v>
      </c>
      <c r="D58" s="67" t="s">
        <v>621</v>
      </c>
      <c r="E58" s="67"/>
      <c r="F58" s="67"/>
      <c r="G58" s="67"/>
      <c r="H58" s="67"/>
      <c r="I58" s="110" t="s">
        <v>740</v>
      </c>
    </row>
    <row r="59" spans="1:9">
      <c r="A59" s="65" t="s">
        <v>667</v>
      </c>
      <c r="B59" s="65" t="s">
        <v>247</v>
      </c>
      <c r="C59" s="65" t="s">
        <v>682</v>
      </c>
      <c r="D59" s="65" t="s">
        <v>789</v>
      </c>
      <c r="E59" s="121" t="s">
        <v>790</v>
      </c>
      <c r="F59" s="122"/>
      <c r="G59" s="65" t="s">
        <v>703</v>
      </c>
      <c r="H59" s="122">
        <v>2026</v>
      </c>
      <c r="I59" s="119" t="s">
        <v>21</v>
      </c>
    </row>
    <row r="60" spans="1:9">
      <c r="A60" s="67" t="s">
        <v>667</v>
      </c>
      <c r="B60" s="76" t="s">
        <v>181</v>
      </c>
      <c r="C60" s="76" t="s">
        <v>810</v>
      </c>
      <c r="D60" s="76" t="s">
        <v>811</v>
      </c>
      <c r="E60" s="76" t="s">
        <v>812</v>
      </c>
      <c r="F60" s="76"/>
      <c r="G60" s="76" t="s">
        <v>703</v>
      </c>
      <c r="H60" s="76">
        <v>2026</v>
      </c>
      <c r="I60" s="52" t="s">
        <v>813</v>
      </c>
    </row>
    <row r="61" spans="1:9">
      <c r="A61" s="76" t="s">
        <v>667</v>
      </c>
      <c r="B61" s="76" t="s">
        <v>247</v>
      </c>
      <c r="C61" s="76" t="s">
        <v>791</v>
      </c>
      <c r="D61" s="76" t="s">
        <v>792</v>
      </c>
      <c r="E61" s="76" t="s">
        <v>793</v>
      </c>
      <c r="F61" s="76"/>
      <c r="G61" s="76" t="s">
        <v>703</v>
      </c>
      <c r="H61" s="76">
        <v>2026</v>
      </c>
      <c r="I61" s="110" t="s">
        <v>21</v>
      </c>
    </row>
    <row r="62" spans="1:9">
      <c r="A62" s="76" t="s">
        <v>667</v>
      </c>
      <c r="B62" s="76" t="s">
        <v>247</v>
      </c>
      <c r="C62" s="76" t="s">
        <v>814</v>
      </c>
      <c r="D62" s="76" t="s">
        <v>816</v>
      </c>
      <c r="E62" s="76" t="s">
        <v>815</v>
      </c>
      <c r="F62" s="76"/>
      <c r="G62" s="76" t="s">
        <v>703</v>
      </c>
      <c r="H62" s="76">
        <v>2026</v>
      </c>
      <c r="I62" s="110" t="s">
        <v>21</v>
      </c>
    </row>
    <row r="63" spans="1:9">
      <c r="A63" s="76" t="s">
        <v>667</v>
      </c>
      <c r="B63" s="76" t="s">
        <v>247</v>
      </c>
      <c r="C63" s="76" t="s">
        <v>263</v>
      </c>
      <c r="D63" s="76" t="s">
        <v>789</v>
      </c>
      <c r="E63" s="76" t="s">
        <v>817</v>
      </c>
      <c r="F63" s="76"/>
      <c r="G63" s="76" t="s">
        <v>703</v>
      </c>
      <c r="H63" s="76">
        <v>2026</v>
      </c>
      <c r="I63" s="110" t="s">
        <v>21</v>
      </c>
    </row>
    <row r="64" spans="1:9">
      <c r="A64" s="76" t="s">
        <v>667</v>
      </c>
      <c r="B64" s="76" t="s">
        <v>247</v>
      </c>
      <c r="C64" s="76" t="s">
        <v>263</v>
      </c>
      <c r="D64" s="76" t="s">
        <v>789</v>
      </c>
      <c r="E64" s="76" t="s">
        <v>818</v>
      </c>
      <c r="F64" s="76"/>
      <c r="G64" s="76" t="s">
        <v>703</v>
      </c>
      <c r="H64" s="76">
        <v>2026</v>
      </c>
      <c r="I64" s="110" t="s">
        <v>21</v>
      </c>
    </row>
    <row r="65" spans="1:9">
      <c r="A65" s="76" t="s">
        <v>667</v>
      </c>
      <c r="B65" s="76" t="s">
        <v>247</v>
      </c>
      <c r="C65" s="76" t="s">
        <v>849</v>
      </c>
      <c r="D65" s="76" t="s">
        <v>850</v>
      </c>
      <c r="E65" s="76" t="s">
        <v>851</v>
      </c>
      <c r="F65" s="76"/>
      <c r="G65" s="76" t="s">
        <v>852</v>
      </c>
      <c r="H65" s="76">
        <v>2026</v>
      </c>
      <c r="I65" s="110" t="s">
        <v>21</v>
      </c>
    </row>
    <row r="66" spans="1:9">
      <c r="A66" s="67" t="s">
        <v>667</v>
      </c>
      <c r="B66" s="76" t="s">
        <v>181</v>
      </c>
      <c r="C66" s="76" t="s">
        <v>853</v>
      </c>
      <c r="D66" s="76" t="s">
        <v>855</v>
      </c>
      <c r="E66" s="76" t="s">
        <v>854</v>
      </c>
      <c r="F66" s="76"/>
      <c r="G66" s="76" t="s">
        <v>856</v>
      </c>
      <c r="H66" s="76">
        <v>2026</v>
      </c>
      <c r="I66" s="110" t="s">
        <v>21</v>
      </c>
    </row>
    <row r="67" spans="1:9">
      <c r="A67" s="67" t="s">
        <v>667</v>
      </c>
      <c r="B67" s="76" t="s">
        <v>181</v>
      </c>
      <c r="C67" s="76" t="s">
        <v>857</v>
      </c>
      <c r="D67" s="76" t="s">
        <v>858</v>
      </c>
      <c r="E67" s="76" t="s">
        <v>859</v>
      </c>
      <c r="F67" s="76"/>
      <c r="G67" s="76" t="s">
        <v>860</v>
      </c>
      <c r="H67" s="76">
        <v>2026</v>
      </c>
      <c r="I67" s="110" t="s">
        <v>21</v>
      </c>
    </row>
    <row r="68" spans="1:9">
      <c r="A68" s="76" t="s">
        <v>667</v>
      </c>
      <c r="B68" s="76" t="s">
        <v>247</v>
      </c>
      <c r="C68" s="76" t="s">
        <v>500</v>
      </c>
      <c r="D68" s="76" t="s">
        <v>863</v>
      </c>
      <c r="E68" s="76" t="s">
        <v>862</v>
      </c>
      <c r="F68" s="76"/>
      <c r="G68" s="76" t="s">
        <v>861</v>
      </c>
      <c r="H68" s="76">
        <v>2026</v>
      </c>
      <c r="I68" s="110" t="s">
        <v>21</v>
      </c>
    </row>
    <row r="69" spans="1:9">
      <c r="A69" s="67" t="s">
        <v>667</v>
      </c>
      <c r="B69" s="76" t="s">
        <v>78</v>
      </c>
      <c r="C69" s="76" t="s">
        <v>864</v>
      </c>
      <c r="D69" s="76" t="s">
        <v>866</v>
      </c>
      <c r="E69" s="76" t="s">
        <v>865</v>
      </c>
      <c r="F69" s="76"/>
      <c r="G69" s="76"/>
      <c r="H69" s="76">
        <v>2026</v>
      </c>
      <c r="I69" s="110" t="s">
        <v>783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I1"/>
    </sheetView>
  </sheetViews>
  <sheetFormatPr defaultRowHeight="15"/>
  <sheetData>
    <row r="1" spans="1:9">
      <c r="A1" s="13" t="s">
        <v>664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</row>
    <row r="2" spans="1:9">
      <c r="A2" s="67" t="s">
        <v>741</v>
      </c>
      <c r="B2" s="67" t="s">
        <v>338</v>
      </c>
      <c r="C2" s="67" t="s">
        <v>339</v>
      </c>
      <c r="D2" s="67" t="s">
        <v>717</v>
      </c>
      <c r="E2" s="100" t="s">
        <v>721</v>
      </c>
      <c r="F2" s="67"/>
      <c r="G2" s="67"/>
      <c r="H2" s="53">
        <v>2015</v>
      </c>
      <c r="I2" s="110" t="s">
        <v>565</v>
      </c>
    </row>
    <row r="3" spans="1:9">
      <c r="A3" s="87" t="s">
        <v>741</v>
      </c>
      <c r="B3" s="123" t="s">
        <v>778</v>
      </c>
      <c r="C3" s="123" t="s">
        <v>779</v>
      </c>
      <c r="D3" s="123" t="s">
        <v>780</v>
      </c>
      <c r="E3" s="124" t="s">
        <v>781</v>
      </c>
      <c r="F3" s="124" t="s">
        <v>782</v>
      </c>
      <c r="G3" s="123"/>
      <c r="H3" s="28">
        <v>2023</v>
      </c>
      <c r="I3" s="110" t="s">
        <v>762</v>
      </c>
    </row>
    <row r="4" spans="1:9">
      <c r="A4" s="87" t="s">
        <v>741</v>
      </c>
      <c r="B4" s="123" t="s">
        <v>774</v>
      </c>
      <c r="C4" s="123" t="s">
        <v>773</v>
      </c>
      <c r="D4" s="123" t="s">
        <v>775</v>
      </c>
      <c r="E4" s="124" t="s">
        <v>776</v>
      </c>
      <c r="F4" s="124" t="s">
        <v>777</v>
      </c>
      <c r="G4" s="123" t="s">
        <v>703</v>
      </c>
      <c r="H4" s="28">
        <v>2023</v>
      </c>
      <c r="I4" s="110" t="s">
        <v>762</v>
      </c>
    </row>
    <row r="5" spans="1:9">
      <c r="A5" s="67" t="s">
        <v>741</v>
      </c>
      <c r="B5" s="74" t="s">
        <v>283</v>
      </c>
      <c r="C5" s="80" t="s">
        <v>284</v>
      </c>
      <c r="D5" s="74" t="s">
        <v>285</v>
      </c>
      <c r="E5" s="74" t="s">
        <v>286</v>
      </c>
      <c r="F5" s="74" t="s">
        <v>287</v>
      </c>
      <c r="G5" s="74" t="s">
        <v>288</v>
      </c>
      <c r="H5" s="74" t="s">
        <v>19</v>
      </c>
      <c r="I5" s="11" t="s">
        <v>289</v>
      </c>
    </row>
    <row r="6" spans="1:9">
      <c r="A6" s="67" t="s">
        <v>741</v>
      </c>
      <c r="B6" s="74" t="s">
        <v>338</v>
      </c>
      <c r="C6" s="74" t="s">
        <v>339</v>
      </c>
      <c r="D6" s="74" t="s">
        <v>340</v>
      </c>
      <c r="E6" s="74" t="s">
        <v>341</v>
      </c>
      <c r="F6" s="74" t="s">
        <v>768</v>
      </c>
      <c r="G6" s="74" t="s">
        <v>342</v>
      </c>
      <c r="H6" s="74" t="s">
        <v>305</v>
      </c>
      <c r="I6" s="6" t="s">
        <v>343</v>
      </c>
    </row>
    <row r="7" spans="1:9">
      <c r="A7" s="76" t="s">
        <v>741</v>
      </c>
      <c r="B7" s="76" t="s">
        <v>798</v>
      </c>
      <c r="C7" s="76" t="s">
        <v>799</v>
      </c>
      <c r="D7" s="76" t="s">
        <v>800</v>
      </c>
      <c r="E7" s="76" t="s">
        <v>801</v>
      </c>
      <c r="F7" s="76"/>
      <c r="G7" s="76" t="s">
        <v>703</v>
      </c>
      <c r="H7" s="76">
        <v>2026</v>
      </c>
      <c r="I7" s="110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B37" sqref="B37"/>
    </sheetView>
  </sheetViews>
  <sheetFormatPr defaultRowHeight="15"/>
  <cols>
    <col min="1" max="1" width="10.28515625" bestFit="1" customWidth="1"/>
    <col min="2" max="2" width="8.7109375" customWidth="1"/>
    <col min="3" max="3" width="29.42578125" bestFit="1" customWidth="1"/>
    <col min="4" max="4" width="72.140625" bestFit="1" customWidth="1"/>
    <col min="5" max="6" width="18.28515625" bestFit="1" customWidth="1"/>
    <col min="7" max="7" width="10.7109375" bestFit="1" customWidth="1"/>
    <col min="9" max="9" width="70.7109375" bestFit="1" customWidth="1"/>
  </cols>
  <sheetData>
    <row r="1" spans="1:9">
      <c r="A1" s="142" t="s">
        <v>878</v>
      </c>
      <c r="B1" s="143" t="s">
        <v>0</v>
      </c>
      <c r="C1" s="143" t="s">
        <v>1</v>
      </c>
      <c r="D1" s="143" t="s">
        <v>2</v>
      </c>
      <c r="E1" s="143" t="s">
        <v>3</v>
      </c>
      <c r="F1" s="143" t="s">
        <v>4</v>
      </c>
      <c r="G1" s="143" t="s">
        <v>5</v>
      </c>
      <c r="H1" s="143" t="s">
        <v>6</v>
      </c>
      <c r="I1" s="143" t="s">
        <v>7</v>
      </c>
    </row>
    <row r="2" spans="1:9">
      <c r="A2" s="67" t="s">
        <v>665</v>
      </c>
      <c r="B2" s="67" t="s">
        <v>102</v>
      </c>
      <c r="C2" s="67" t="s">
        <v>117</v>
      </c>
      <c r="D2" s="67" t="s">
        <v>118</v>
      </c>
      <c r="E2" s="100" t="s">
        <v>722</v>
      </c>
      <c r="F2" s="67"/>
      <c r="G2" s="67"/>
      <c r="H2" s="53">
        <v>2017</v>
      </c>
      <c r="I2" s="110" t="s">
        <v>565</v>
      </c>
    </row>
    <row r="3" spans="1:9">
      <c r="A3" s="67" t="s">
        <v>665</v>
      </c>
      <c r="B3" s="74" t="s">
        <v>9</v>
      </c>
      <c r="C3" s="74" t="s">
        <v>519</v>
      </c>
      <c r="D3" s="74" t="s">
        <v>520</v>
      </c>
      <c r="E3" s="74" t="s">
        <v>521</v>
      </c>
      <c r="F3" s="74" t="s">
        <v>522</v>
      </c>
      <c r="G3" s="74" t="s">
        <v>523</v>
      </c>
      <c r="H3" s="74" t="s">
        <v>524</v>
      </c>
      <c r="I3" s="6" t="s">
        <v>20</v>
      </c>
    </row>
    <row r="4" spans="1:9">
      <c r="A4" s="67" t="s">
        <v>665</v>
      </c>
      <c r="B4" s="74" t="s">
        <v>9</v>
      </c>
      <c r="C4" s="74" t="s">
        <v>232</v>
      </c>
      <c r="D4" s="74" t="s">
        <v>22</v>
      </c>
      <c r="E4" s="74" t="s">
        <v>525</v>
      </c>
      <c r="F4" s="74" t="s">
        <v>526</v>
      </c>
      <c r="G4" s="74" t="s">
        <v>527</v>
      </c>
      <c r="H4" s="74" t="s">
        <v>524</v>
      </c>
      <c r="I4" s="6" t="s">
        <v>20</v>
      </c>
    </row>
    <row r="5" spans="1:9">
      <c r="A5" s="67" t="s">
        <v>665</v>
      </c>
      <c r="B5" s="74" t="s">
        <v>26</v>
      </c>
      <c r="C5" s="74" t="s">
        <v>528</v>
      </c>
      <c r="D5" s="74" t="s">
        <v>529</v>
      </c>
      <c r="E5" s="74" t="s">
        <v>530</v>
      </c>
      <c r="F5" s="74" t="s">
        <v>531</v>
      </c>
      <c r="G5" s="53">
        <v>947524</v>
      </c>
      <c r="H5" s="74" t="s">
        <v>524</v>
      </c>
      <c r="I5" s="6" t="s">
        <v>20</v>
      </c>
    </row>
    <row r="6" spans="1:9">
      <c r="A6" s="67" t="s">
        <v>665</v>
      </c>
      <c r="B6" s="74" t="s">
        <v>26</v>
      </c>
      <c r="C6" s="74" t="s">
        <v>27</v>
      </c>
      <c r="D6" s="74" t="s">
        <v>28</v>
      </c>
      <c r="E6" s="74" t="s">
        <v>532</v>
      </c>
      <c r="F6" s="74" t="s">
        <v>534</v>
      </c>
      <c r="G6" s="74" t="s">
        <v>536</v>
      </c>
      <c r="H6" s="74" t="s">
        <v>524</v>
      </c>
      <c r="I6" s="6" t="s">
        <v>20</v>
      </c>
    </row>
    <row r="7" spans="1:9">
      <c r="A7" s="67" t="s">
        <v>665</v>
      </c>
      <c r="B7" s="74" t="s">
        <v>26</v>
      </c>
      <c r="C7" s="74" t="s">
        <v>27</v>
      </c>
      <c r="D7" s="74" t="s">
        <v>28</v>
      </c>
      <c r="E7" s="74" t="s">
        <v>533</v>
      </c>
      <c r="F7" s="74" t="s">
        <v>535</v>
      </c>
      <c r="G7" s="74" t="s">
        <v>537</v>
      </c>
      <c r="H7" s="74" t="s">
        <v>524</v>
      </c>
      <c r="I7" s="6" t="s">
        <v>20</v>
      </c>
    </row>
    <row r="8" spans="1:9">
      <c r="A8" s="67" t="s">
        <v>665</v>
      </c>
      <c r="B8" s="74" t="s">
        <v>26</v>
      </c>
      <c r="C8" s="74" t="s">
        <v>309</v>
      </c>
      <c r="D8" s="74" t="s">
        <v>310</v>
      </c>
      <c r="E8" s="74" t="s">
        <v>538</v>
      </c>
      <c r="F8" s="74" t="s">
        <v>539</v>
      </c>
      <c r="G8" s="74" t="s">
        <v>540</v>
      </c>
      <c r="H8" s="74" t="s">
        <v>524</v>
      </c>
      <c r="I8" s="6" t="s">
        <v>20</v>
      </c>
    </row>
    <row r="9" spans="1:9">
      <c r="A9" s="67" t="s">
        <v>665</v>
      </c>
      <c r="B9" s="70" t="s">
        <v>130</v>
      </c>
      <c r="C9" s="70" t="s">
        <v>131</v>
      </c>
      <c r="D9" s="70" t="s">
        <v>711</v>
      </c>
      <c r="E9" s="50" t="s">
        <v>712</v>
      </c>
      <c r="F9" s="50"/>
      <c r="G9" s="68">
        <v>942842</v>
      </c>
      <c r="H9" s="68">
        <v>2023</v>
      </c>
      <c r="I9" s="11" t="s">
        <v>565</v>
      </c>
    </row>
    <row r="10" spans="1:9">
      <c r="A10" s="67" t="s">
        <v>665</v>
      </c>
      <c r="B10" s="74" t="s">
        <v>102</v>
      </c>
      <c r="C10" s="74" t="s">
        <v>103</v>
      </c>
      <c r="D10" s="74" t="s">
        <v>104</v>
      </c>
      <c r="E10" s="74" t="s">
        <v>569</v>
      </c>
      <c r="F10" s="74" t="s">
        <v>570</v>
      </c>
      <c r="G10" s="74" t="s">
        <v>571</v>
      </c>
      <c r="H10" s="74" t="s">
        <v>524</v>
      </c>
      <c r="I10" s="6" t="s">
        <v>20</v>
      </c>
    </row>
    <row r="11" spans="1:9">
      <c r="A11" s="67" t="s">
        <v>665</v>
      </c>
      <c r="B11" s="80" t="s">
        <v>102</v>
      </c>
      <c r="C11" s="80" t="s">
        <v>117</v>
      </c>
      <c r="D11" s="80" t="s">
        <v>118</v>
      </c>
      <c r="E11" s="80" t="s">
        <v>572</v>
      </c>
      <c r="F11" s="80" t="s">
        <v>575</v>
      </c>
      <c r="G11" s="80" t="s">
        <v>578</v>
      </c>
      <c r="H11" s="80" t="s">
        <v>524</v>
      </c>
      <c r="I11" s="25" t="s">
        <v>580</v>
      </c>
    </row>
    <row r="12" spans="1:9">
      <c r="A12" s="67" t="s">
        <v>665</v>
      </c>
      <c r="B12" s="80" t="s">
        <v>102</v>
      </c>
      <c r="C12" s="80" t="s">
        <v>117</v>
      </c>
      <c r="D12" s="80" t="s">
        <v>118</v>
      </c>
      <c r="E12" s="80" t="s">
        <v>573</v>
      </c>
      <c r="F12" s="80" t="s">
        <v>576</v>
      </c>
      <c r="G12" s="80" t="s">
        <v>579</v>
      </c>
      <c r="H12" s="80" t="s">
        <v>524</v>
      </c>
      <c r="I12" s="25" t="s">
        <v>582</v>
      </c>
    </row>
    <row r="13" spans="1:9">
      <c r="A13" s="67" t="s">
        <v>665</v>
      </c>
      <c r="B13" s="80" t="s">
        <v>102</v>
      </c>
      <c r="C13" s="80" t="s">
        <v>117</v>
      </c>
      <c r="D13" s="80" t="s">
        <v>118</v>
      </c>
      <c r="E13" s="80" t="s">
        <v>574</v>
      </c>
      <c r="F13" s="80" t="s">
        <v>577</v>
      </c>
      <c r="G13" s="38">
        <v>945989</v>
      </c>
      <c r="H13" s="80" t="s">
        <v>524</v>
      </c>
      <c r="I13" s="25" t="s">
        <v>584</v>
      </c>
    </row>
    <row r="14" spans="1:9">
      <c r="A14" s="67" t="s">
        <v>665</v>
      </c>
      <c r="B14" s="80" t="s">
        <v>586</v>
      </c>
      <c r="C14" s="80" t="s">
        <v>587</v>
      </c>
      <c r="D14" s="80" t="s">
        <v>588</v>
      </c>
      <c r="E14" s="80" t="s">
        <v>589</v>
      </c>
      <c r="F14" s="80" t="s">
        <v>590</v>
      </c>
      <c r="G14" s="38">
        <v>947527</v>
      </c>
      <c r="H14" s="80" t="s">
        <v>524</v>
      </c>
      <c r="I14" s="6" t="s">
        <v>20</v>
      </c>
    </row>
    <row r="15" spans="1:9">
      <c r="A15" s="67" t="s">
        <v>665</v>
      </c>
      <c r="B15" s="74" t="s">
        <v>191</v>
      </c>
      <c r="C15" s="74" t="s">
        <v>206</v>
      </c>
      <c r="D15" s="74" t="s">
        <v>207</v>
      </c>
      <c r="E15" s="74" t="s">
        <v>600</v>
      </c>
      <c r="F15" s="74" t="s">
        <v>601</v>
      </c>
      <c r="G15" s="53">
        <v>953716</v>
      </c>
      <c r="H15" s="74" t="s">
        <v>524</v>
      </c>
      <c r="I15" s="6" t="s">
        <v>20</v>
      </c>
    </row>
    <row r="16" spans="1:9">
      <c r="A16" s="87" t="s">
        <v>665</v>
      </c>
      <c r="B16" s="14" t="s">
        <v>26</v>
      </c>
      <c r="C16" s="14" t="s">
        <v>27</v>
      </c>
      <c r="D16" s="14" t="s">
        <v>28</v>
      </c>
      <c r="E16" s="129">
        <v>90726523001</v>
      </c>
      <c r="F16" s="130" t="s">
        <v>660</v>
      </c>
      <c r="G16" s="98">
        <v>946461</v>
      </c>
      <c r="H16" s="14" t="s">
        <v>524</v>
      </c>
      <c r="I16" s="11" t="s">
        <v>657</v>
      </c>
    </row>
    <row r="17" spans="1:9">
      <c r="A17" s="67" t="s">
        <v>665</v>
      </c>
      <c r="B17" s="74" t="s">
        <v>9</v>
      </c>
      <c r="C17" s="74" t="s">
        <v>704</v>
      </c>
      <c r="D17" s="74" t="s">
        <v>11</v>
      </c>
      <c r="E17" s="74" t="s">
        <v>13</v>
      </c>
      <c r="F17" s="74" t="s">
        <v>15</v>
      </c>
      <c r="G17" s="74" t="s">
        <v>17</v>
      </c>
      <c r="H17" s="74" t="s">
        <v>19</v>
      </c>
      <c r="I17" s="6" t="s">
        <v>20</v>
      </c>
    </row>
    <row r="18" spans="1:9">
      <c r="A18" s="67" t="s">
        <v>665</v>
      </c>
      <c r="B18" s="74" t="s">
        <v>9</v>
      </c>
      <c r="C18" s="74" t="s">
        <v>10</v>
      </c>
      <c r="D18" s="74" t="s">
        <v>12</v>
      </c>
      <c r="E18" s="74" t="s">
        <v>14</v>
      </c>
      <c r="F18" s="74" t="s">
        <v>16</v>
      </c>
      <c r="G18" s="74" t="s">
        <v>18</v>
      </c>
      <c r="H18" s="74" t="s">
        <v>19</v>
      </c>
      <c r="I18" s="11" t="s">
        <v>21</v>
      </c>
    </row>
    <row r="19" spans="1:9">
      <c r="A19" s="67" t="s">
        <v>665</v>
      </c>
      <c r="B19" s="74" t="s">
        <v>9</v>
      </c>
      <c r="C19" s="74" t="s">
        <v>10</v>
      </c>
      <c r="D19" s="74" t="s">
        <v>22</v>
      </c>
      <c r="E19" s="74" t="s">
        <v>23</v>
      </c>
      <c r="F19" s="74" t="s">
        <v>24</v>
      </c>
      <c r="G19" s="74" t="s">
        <v>25</v>
      </c>
      <c r="H19" s="74" t="s">
        <v>19</v>
      </c>
      <c r="I19" s="11" t="s">
        <v>21</v>
      </c>
    </row>
    <row r="20" spans="1:9">
      <c r="A20" s="67" t="s">
        <v>665</v>
      </c>
      <c r="B20" s="74" t="s">
        <v>26</v>
      </c>
      <c r="C20" s="74" t="s">
        <v>27</v>
      </c>
      <c r="D20" s="74" t="s">
        <v>28</v>
      </c>
      <c r="E20" s="74" t="s">
        <v>29</v>
      </c>
      <c r="F20" s="74" t="s">
        <v>30</v>
      </c>
      <c r="G20" s="74" t="s">
        <v>31</v>
      </c>
      <c r="H20" s="74" t="s">
        <v>19</v>
      </c>
      <c r="I20" s="11" t="s">
        <v>21</v>
      </c>
    </row>
    <row r="21" spans="1:9">
      <c r="A21" s="67" t="s">
        <v>665</v>
      </c>
      <c r="B21" s="74" t="s">
        <v>26</v>
      </c>
      <c r="C21" s="74" t="s">
        <v>32</v>
      </c>
      <c r="D21" s="74" t="s">
        <v>33</v>
      </c>
      <c r="E21" s="74" t="s">
        <v>34</v>
      </c>
      <c r="F21" s="74"/>
      <c r="G21" s="74" t="s">
        <v>35</v>
      </c>
      <c r="H21" s="74" t="s">
        <v>19</v>
      </c>
      <c r="I21" s="12" t="s">
        <v>289</v>
      </c>
    </row>
    <row r="22" spans="1:9">
      <c r="A22" s="67" t="s">
        <v>665</v>
      </c>
      <c r="B22" s="74" t="s">
        <v>586</v>
      </c>
      <c r="C22" s="74" t="s">
        <v>587</v>
      </c>
      <c r="D22" s="74" t="s">
        <v>742</v>
      </c>
      <c r="E22" s="77" t="s">
        <v>743</v>
      </c>
      <c r="F22" s="77" t="s">
        <v>744</v>
      </c>
      <c r="G22" s="53">
        <v>943920</v>
      </c>
      <c r="H22" s="74" t="s">
        <v>19</v>
      </c>
      <c r="I22" s="11" t="s">
        <v>289</v>
      </c>
    </row>
    <row r="23" spans="1:9">
      <c r="A23" s="87" t="s">
        <v>665</v>
      </c>
      <c r="B23" s="14" t="s">
        <v>102</v>
      </c>
      <c r="C23" s="14" t="s">
        <v>103</v>
      </c>
      <c r="D23" s="14" t="s">
        <v>104</v>
      </c>
      <c r="E23" s="14" t="s">
        <v>105</v>
      </c>
      <c r="F23" s="14" t="s">
        <v>109</v>
      </c>
      <c r="G23" s="14" t="s">
        <v>113</v>
      </c>
      <c r="H23" s="14" t="s">
        <v>19</v>
      </c>
      <c r="I23" s="11" t="s">
        <v>21</v>
      </c>
    </row>
    <row r="24" spans="1:9">
      <c r="A24" s="67" t="s">
        <v>665</v>
      </c>
      <c r="B24" s="74" t="s">
        <v>102</v>
      </c>
      <c r="C24" s="74" t="s">
        <v>103</v>
      </c>
      <c r="D24" s="74" t="s">
        <v>104</v>
      </c>
      <c r="E24" s="74" t="s">
        <v>106</v>
      </c>
      <c r="F24" s="74" t="s">
        <v>110</v>
      </c>
      <c r="G24" s="74" t="s">
        <v>114</v>
      </c>
      <c r="H24" s="74" t="s">
        <v>19</v>
      </c>
      <c r="I24" s="20" t="s">
        <v>635</v>
      </c>
    </row>
    <row r="25" spans="1:9">
      <c r="A25" s="67" t="s">
        <v>665</v>
      </c>
      <c r="B25" s="74" t="s">
        <v>102</v>
      </c>
      <c r="C25" s="74" t="s">
        <v>103</v>
      </c>
      <c r="D25" s="74" t="s">
        <v>104</v>
      </c>
      <c r="E25" s="74" t="s">
        <v>107</v>
      </c>
      <c r="F25" s="74" t="s">
        <v>111</v>
      </c>
      <c r="G25" s="74" t="s">
        <v>115</v>
      </c>
      <c r="H25" s="74" t="s">
        <v>19</v>
      </c>
      <c r="I25" s="20" t="s">
        <v>293</v>
      </c>
    </row>
    <row r="26" spans="1:9">
      <c r="A26" s="67" t="s">
        <v>665</v>
      </c>
      <c r="B26" s="74" t="s">
        <v>102</v>
      </c>
      <c r="C26" s="74" t="s">
        <v>103</v>
      </c>
      <c r="D26" s="74" t="s">
        <v>104</v>
      </c>
      <c r="E26" s="74" t="s">
        <v>108</v>
      </c>
      <c r="F26" s="74" t="s">
        <v>112</v>
      </c>
      <c r="G26" s="74" t="s">
        <v>116</v>
      </c>
      <c r="H26" s="74" t="s">
        <v>19</v>
      </c>
      <c r="I26" s="20" t="s">
        <v>295</v>
      </c>
    </row>
    <row r="27" spans="1:9">
      <c r="A27" s="87" t="s">
        <v>665</v>
      </c>
      <c r="B27" s="14" t="s">
        <v>102</v>
      </c>
      <c r="C27" s="30" t="s">
        <v>117</v>
      </c>
      <c r="D27" s="14" t="s">
        <v>118</v>
      </c>
      <c r="E27" s="14" t="s">
        <v>119</v>
      </c>
      <c r="F27" s="14" t="s">
        <v>122</v>
      </c>
      <c r="G27" s="14" t="s">
        <v>125</v>
      </c>
      <c r="H27" s="14" t="s">
        <v>19</v>
      </c>
      <c r="I27" s="11" t="s">
        <v>21</v>
      </c>
    </row>
    <row r="28" spans="1:9">
      <c r="A28" s="87" t="s">
        <v>665</v>
      </c>
      <c r="B28" s="14" t="s">
        <v>102</v>
      </c>
      <c r="C28" s="14" t="s">
        <v>117</v>
      </c>
      <c r="D28" s="14" t="s">
        <v>118</v>
      </c>
      <c r="E28" s="14" t="s">
        <v>120</v>
      </c>
      <c r="F28" s="14" t="s">
        <v>123</v>
      </c>
      <c r="G28" s="14" t="s">
        <v>126</v>
      </c>
      <c r="H28" s="14" t="s">
        <v>19</v>
      </c>
      <c r="I28" s="11" t="s">
        <v>21</v>
      </c>
    </row>
    <row r="29" spans="1:9" ht="39">
      <c r="A29" s="67" t="s">
        <v>665</v>
      </c>
      <c r="B29" s="74" t="s">
        <v>102</v>
      </c>
      <c r="C29" s="74" t="s">
        <v>117</v>
      </c>
      <c r="D29" s="74" t="s">
        <v>118</v>
      </c>
      <c r="E29" s="74" t="s">
        <v>121</v>
      </c>
      <c r="F29" s="74" t="s">
        <v>124</v>
      </c>
      <c r="G29" s="74" t="s">
        <v>127</v>
      </c>
      <c r="H29" s="74" t="s">
        <v>19</v>
      </c>
      <c r="I29" s="20" t="s">
        <v>648</v>
      </c>
    </row>
    <row r="30" spans="1:9">
      <c r="A30" s="87" t="s">
        <v>665</v>
      </c>
      <c r="B30" s="14" t="s">
        <v>102</v>
      </c>
      <c r="C30" s="14" t="s">
        <v>117</v>
      </c>
      <c r="D30" s="14" t="s">
        <v>75</v>
      </c>
      <c r="E30" s="14" t="s">
        <v>128</v>
      </c>
      <c r="F30" s="14"/>
      <c r="G30" s="14" t="s">
        <v>129</v>
      </c>
      <c r="H30" s="14" t="s">
        <v>19</v>
      </c>
      <c r="I30" s="11" t="s">
        <v>21</v>
      </c>
    </row>
    <row r="31" spans="1:9">
      <c r="A31" s="87" t="s">
        <v>665</v>
      </c>
      <c r="B31" s="14" t="s">
        <v>130</v>
      </c>
      <c r="C31" s="14" t="s">
        <v>131</v>
      </c>
      <c r="D31" s="14" t="s">
        <v>132</v>
      </c>
      <c r="E31" s="14" t="s">
        <v>133</v>
      </c>
      <c r="F31" s="14" t="s">
        <v>134</v>
      </c>
      <c r="G31" s="14" t="s">
        <v>135</v>
      </c>
      <c r="H31" s="14" t="s">
        <v>19</v>
      </c>
      <c r="I31" s="11" t="s">
        <v>21</v>
      </c>
    </row>
    <row r="32" spans="1:9">
      <c r="A32" s="67" t="s">
        <v>665</v>
      </c>
      <c r="B32" s="74" t="s">
        <v>130</v>
      </c>
      <c r="C32" s="74" t="s">
        <v>131</v>
      </c>
      <c r="D32" s="74" t="s">
        <v>136</v>
      </c>
      <c r="E32" s="74" t="s">
        <v>137</v>
      </c>
      <c r="F32" s="74" t="s">
        <v>141</v>
      </c>
      <c r="G32" s="74" t="s">
        <v>145</v>
      </c>
      <c r="H32" s="74" t="s">
        <v>19</v>
      </c>
      <c r="I32" s="11" t="s">
        <v>21</v>
      </c>
    </row>
    <row r="33" spans="1:9">
      <c r="A33" s="87" t="s">
        <v>665</v>
      </c>
      <c r="B33" s="14" t="s">
        <v>130</v>
      </c>
      <c r="C33" s="14" t="s">
        <v>131</v>
      </c>
      <c r="D33" s="14" t="s">
        <v>136</v>
      </c>
      <c r="E33" s="14" t="s">
        <v>138</v>
      </c>
      <c r="F33" s="14" t="s">
        <v>142</v>
      </c>
      <c r="G33" s="14" t="s">
        <v>146</v>
      </c>
      <c r="H33" s="14" t="s">
        <v>19</v>
      </c>
      <c r="I33" s="11" t="s">
        <v>21</v>
      </c>
    </row>
    <row r="34" spans="1:9">
      <c r="A34" s="67" t="s">
        <v>665</v>
      </c>
      <c r="B34" s="74" t="s">
        <v>130</v>
      </c>
      <c r="C34" s="74" t="s">
        <v>131</v>
      </c>
      <c r="D34" s="74" t="s">
        <v>136</v>
      </c>
      <c r="E34" s="74" t="s">
        <v>139</v>
      </c>
      <c r="F34" s="74" t="s">
        <v>143</v>
      </c>
      <c r="G34" s="74" t="s">
        <v>147</v>
      </c>
      <c r="H34" s="74" t="s">
        <v>19</v>
      </c>
      <c r="I34" s="11" t="s">
        <v>21</v>
      </c>
    </row>
    <row r="35" spans="1:9">
      <c r="A35" s="67" t="s">
        <v>665</v>
      </c>
      <c r="B35" s="74" t="s">
        <v>130</v>
      </c>
      <c r="C35" s="74" t="s">
        <v>131</v>
      </c>
      <c r="D35" s="74" t="s">
        <v>136</v>
      </c>
      <c r="E35" s="74" t="s">
        <v>140</v>
      </c>
      <c r="F35" s="74" t="s">
        <v>144</v>
      </c>
      <c r="G35" s="74" t="s">
        <v>148</v>
      </c>
      <c r="H35" s="74" t="s">
        <v>19</v>
      </c>
      <c r="I35" s="11" t="s">
        <v>21</v>
      </c>
    </row>
    <row r="36" spans="1:9">
      <c r="A36" s="67" t="s">
        <v>665</v>
      </c>
      <c r="B36" s="74" t="s">
        <v>191</v>
      </c>
      <c r="C36" s="74" t="s">
        <v>192</v>
      </c>
      <c r="D36" s="74" t="s">
        <v>193</v>
      </c>
      <c r="E36" s="74" t="s">
        <v>194</v>
      </c>
      <c r="F36" s="74" t="s">
        <v>198</v>
      </c>
      <c r="G36" s="74" t="s">
        <v>202</v>
      </c>
      <c r="H36" s="74" t="s">
        <v>19</v>
      </c>
      <c r="I36" s="11" t="s">
        <v>517</v>
      </c>
    </row>
    <row r="37" spans="1:9">
      <c r="A37" s="67" t="s">
        <v>665</v>
      </c>
      <c r="B37" s="74" t="s">
        <v>191</v>
      </c>
      <c r="C37" s="74" t="s">
        <v>192</v>
      </c>
      <c r="D37" s="74" t="s">
        <v>193</v>
      </c>
      <c r="E37" s="74" t="s">
        <v>195</v>
      </c>
      <c r="F37" s="74" t="s">
        <v>199</v>
      </c>
      <c r="G37" s="74" t="s">
        <v>203</v>
      </c>
      <c r="H37" s="74" t="s">
        <v>19</v>
      </c>
      <c r="I37" s="11" t="s">
        <v>21</v>
      </c>
    </row>
    <row r="38" spans="1:9">
      <c r="A38" s="87" t="s">
        <v>665</v>
      </c>
      <c r="B38" s="14" t="s">
        <v>191</v>
      </c>
      <c r="C38" s="14" t="s">
        <v>192</v>
      </c>
      <c r="D38" s="14" t="s">
        <v>193</v>
      </c>
      <c r="E38" s="14" t="s">
        <v>196</v>
      </c>
      <c r="F38" s="14" t="s">
        <v>200</v>
      </c>
      <c r="G38" s="14" t="s">
        <v>204</v>
      </c>
      <c r="H38" s="14" t="s">
        <v>19</v>
      </c>
      <c r="I38" s="11" t="s">
        <v>21</v>
      </c>
    </row>
    <row r="39" spans="1:9">
      <c r="A39" s="67" t="s">
        <v>665</v>
      </c>
      <c r="B39" s="74" t="s">
        <v>191</v>
      </c>
      <c r="C39" s="74" t="s">
        <v>192</v>
      </c>
      <c r="D39" s="74" t="s">
        <v>193</v>
      </c>
      <c r="E39" s="74" t="s">
        <v>197</v>
      </c>
      <c r="F39" s="74" t="s">
        <v>201</v>
      </c>
      <c r="G39" s="74" t="s">
        <v>205</v>
      </c>
      <c r="H39" s="74" t="s">
        <v>19</v>
      </c>
      <c r="I39" s="11" t="s">
        <v>21</v>
      </c>
    </row>
    <row r="40" spans="1:9">
      <c r="A40" s="67" t="s">
        <v>665</v>
      </c>
      <c r="B40" s="74" t="s">
        <v>191</v>
      </c>
      <c r="C40" s="74" t="s">
        <v>206</v>
      </c>
      <c r="D40" s="74" t="s">
        <v>207</v>
      </c>
      <c r="E40" s="74" t="s">
        <v>208</v>
      </c>
      <c r="F40" s="74" t="s">
        <v>214</v>
      </c>
      <c r="G40" s="74" t="s">
        <v>220</v>
      </c>
      <c r="H40" s="74" t="s">
        <v>19</v>
      </c>
      <c r="I40" s="11" t="s">
        <v>21</v>
      </c>
    </row>
    <row r="41" spans="1:9">
      <c r="A41" s="67" t="s">
        <v>665</v>
      </c>
      <c r="B41" s="74" t="s">
        <v>191</v>
      </c>
      <c r="C41" s="74" t="s">
        <v>206</v>
      </c>
      <c r="D41" s="74" t="s">
        <v>207</v>
      </c>
      <c r="E41" s="74" t="s">
        <v>209</v>
      </c>
      <c r="F41" s="74" t="s">
        <v>215</v>
      </c>
      <c r="G41" s="74" t="s">
        <v>221</v>
      </c>
      <c r="H41" s="74" t="s">
        <v>19</v>
      </c>
      <c r="I41" s="11" t="s">
        <v>21</v>
      </c>
    </row>
    <row r="42" spans="1:9">
      <c r="A42" s="87" t="s">
        <v>665</v>
      </c>
      <c r="B42" s="14" t="s">
        <v>191</v>
      </c>
      <c r="C42" s="14" t="s">
        <v>206</v>
      </c>
      <c r="D42" s="14" t="s">
        <v>207</v>
      </c>
      <c r="E42" s="14" t="s">
        <v>210</v>
      </c>
      <c r="F42" s="14" t="s">
        <v>216</v>
      </c>
      <c r="G42" s="14" t="s">
        <v>222</v>
      </c>
      <c r="H42" s="14" t="s">
        <v>19</v>
      </c>
      <c r="I42" s="11" t="s">
        <v>21</v>
      </c>
    </row>
    <row r="43" spans="1:9">
      <c r="A43" s="67" t="s">
        <v>665</v>
      </c>
      <c r="B43" s="74" t="s">
        <v>191</v>
      </c>
      <c r="C43" s="74" t="s">
        <v>206</v>
      </c>
      <c r="D43" s="74" t="s">
        <v>207</v>
      </c>
      <c r="E43" s="74" t="s">
        <v>211</v>
      </c>
      <c r="F43" s="74" t="s">
        <v>217</v>
      </c>
      <c r="G43" s="74" t="s">
        <v>223</v>
      </c>
      <c r="H43" s="74" t="s">
        <v>19</v>
      </c>
      <c r="I43" s="11" t="s">
        <v>21</v>
      </c>
    </row>
    <row r="44" spans="1:9">
      <c r="A44" s="67" t="s">
        <v>665</v>
      </c>
      <c r="B44" s="74" t="s">
        <v>191</v>
      </c>
      <c r="C44" s="74" t="s">
        <v>206</v>
      </c>
      <c r="D44" s="74" t="s">
        <v>207</v>
      </c>
      <c r="E44" s="74" t="s">
        <v>212</v>
      </c>
      <c r="F44" s="74" t="s">
        <v>218</v>
      </c>
      <c r="G44" s="74" t="s">
        <v>224</v>
      </c>
      <c r="H44" s="74" t="s">
        <v>19</v>
      </c>
      <c r="I44" s="11" t="s">
        <v>21</v>
      </c>
    </row>
    <row r="45" spans="1:9">
      <c r="A45" s="67" t="s">
        <v>665</v>
      </c>
      <c r="B45" s="74" t="s">
        <v>191</v>
      </c>
      <c r="C45" s="74" t="s">
        <v>206</v>
      </c>
      <c r="D45" s="74" t="s">
        <v>207</v>
      </c>
      <c r="E45" s="74" t="s">
        <v>213</v>
      </c>
      <c r="F45" s="74" t="s">
        <v>219</v>
      </c>
      <c r="G45" s="74" t="s">
        <v>225</v>
      </c>
      <c r="H45" s="74" t="s">
        <v>19</v>
      </c>
      <c r="I45" s="11" t="s">
        <v>21</v>
      </c>
    </row>
    <row r="46" spans="1:9">
      <c r="A46" s="67" t="s">
        <v>665</v>
      </c>
      <c r="B46" s="74" t="s">
        <v>9</v>
      </c>
      <c r="C46" s="74" t="s">
        <v>10</v>
      </c>
      <c r="D46" s="74" t="s">
        <v>22</v>
      </c>
      <c r="E46" s="74" t="s">
        <v>302</v>
      </c>
      <c r="F46" s="74" t="s">
        <v>303</v>
      </c>
      <c r="G46" s="74" t="s">
        <v>304</v>
      </c>
      <c r="H46" s="74" t="s">
        <v>305</v>
      </c>
      <c r="I46" s="11" t="s">
        <v>21</v>
      </c>
    </row>
    <row r="47" spans="1:9">
      <c r="A47" s="87" t="s">
        <v>665</v>
      </c>
      <c r="B47" s="14" t="s">
        <v>26</v>
      </c>
      <c r="C47" s="14" t="s">
        <v>27</v>
      </c>
      <c r="D47" s="14" t="s">
        <v>28</v>
      </c>
      <c r="E47" s="14" t="s">
        <v>306</v>
      </c>
      <c r="F47" s="14" t="s">
        <v>307</v>
      </c>
      <c r="G47" s="14" t="s">
        <v>308</v>
      </c>
      <c r="H47" s="14" t="s">
        <v>305</v>
      </c>
      <c r="I47" s="11" t="s">
        <v>21</v>
      </c>
    </row>
    <row r="48" spans="1:9">
      <c r="A48" s="87" t="s">
        <v>665</v>
      </c>
      <c r="B48" s="14" t="s">
        <v>26</v>
      </c>
      <c r="C48" s="14" t="s">
        <v>309</v>
      </c>
      <c r="D48" s="14" t="s">
        <v>310</v>
      </c>
      <c r="E48" s="14" t="s">
        <v>311</v>
      </c>
      <c r="F48" s="14" t="s">
        <v>312</v>
      </c>
      <c r="G48" s="137" t="s">
        <v>518</v>
      </c>
      <c r="H48" s="14" t="s">
        <v>305</v>
      </c>
      <c r="I48" s="11" t="s">
        <v>21</v>
      </c>
    </row>
    <row r="49" spans="1:9">
      <c r="A49" s="87" t="s">
        <v>665</v>
      </c>
      <c r="B49" s="14" t="s">
        <v>102</v>
      </c>
      <c r="C49" s="14" t="s">
        <v>103</v>
      </c>
      <c r="D49" s="14" t="s">
        <v>104</v>
      </c>
      <c r="E49" s="14" t="s">
        <v>344</v>
      </c>
      <c r="F49" s="14" t="s">
        <v>347</v>
      </c>
      <c r="G49" s="137">
        <v>979577</v>
      </c>
      <c r="H49" s="14" t="s">
        <v>305</v>
      </c>
      <c r="I49" s="11" t="s">
        <v>21</v>
      </c>
    </row>
    <row r="50" spans="1:9">
      <c r="A50" s="67" t="s">
        <v>665</v>
      </c>
      <c r="B50" s="74" t="s">
        <v>102</v>
      </c>
      <c r="C50" s="74" t="s">
        <v>103</v>
      </c>
      <c r="D50" s="74" t="s">
        <v>104</v>
      </c>
      <c r="E50" s="74" t="s">
        <v>345</v>
      </c>
      <c r="F50" s="74" t="s">
        <v>348</v>
      </c>
      <c r="G50" s="74" t="s">
        <v>350</v>
      </c>
      <c r="H50" s="74" t="s">
        <v>305</v>
      </c>
      <c r="I50" s="11" t="s">
        <v>21</v>
      </c>
    </row>
    <row r="51" spans="1:9">
      <c r="A51" s="87" t="s">
        <v>665</v>
      </c>
      <c r="B51" s="14" t="s">
        <v>102</v>
      </c>
      <c r="C51" s="14" t="s">
        <v>103</v>
      </c>
      <c r="D51" s="14" t="s">
        <v>104</v>
      </c>
      <c r="E51" s="14" t="s">
        <v>346</v>
      </c>
      <c r="F51" s="14" t="s">
        <v>349</v>
      </c>
      <c r="G51" s="51">
        <v>979578</v>
      </c>
      <c r="H51" s="14" t="s">
        <v>305</v>
      </c>
      <c r="I51" s="11" t="s">
        <v>21</v>
      </c>
    </row>
    <row r="52" spans="1:9">
      <c r="A52" s="67" t="s">
        <v>665</v>
      </c>
      <c r="B52" s="74" t="s">
        <v>102</v>
      </c>
      <c r="C52" s="74" t="s">
        <v>117</v>
      </c>
      <c r="D52" s="74" t="s">
        <v>118</v>
      </c>
      <c r="E52" s="74" t="s">
        <v>351</v>
      </c>
      <c r="F52" s="74" t="s">
        <v>354</v>
      </c>
      <c r="G52" s="74" t="s">
        <v>357</v>
      </c>
      <c r="H52" s="74" t="s">
        <v>305</v>
      </c>
      <c r="I52" s="6" t="s">
        <v>359</v>
      </c>
    </row>
    <row r="53" spans="1:9" ht="25.5">
      <c r="A53" s="67" t="s">
        <v>665</v>
      </c>
      <c r="B53" s="74" t="s">
        <v>102</v>
      </c>
      <c r="C53" s="74" t="s">
        <v>117</v>
      </c>
      <c r="D53" s="74" t="s">
        <v>118</v>
      </c>
      <c r="E53" s="74" t="s">
        <v>352</v>
      </c>
      <c r="F53" s="74" t="s">
        <v>355</v>
      </c>
      <c r="G53" s="74" t="s">
        <v>358</v>
      </c>
      <c r="H53" s="74" t="s">
        <v>305</v>
      </c>
      <c r="I53" s="8" t="s">
        <v>634</v>
      </c>
    </row>
    <row r="54" spans="1:9">
      <c r="A54" s="87" t="s">
        <v>665</v>
      </c>
      <c r="B54" s="14" t="s">
        <v>102</v>
      </c>
      <c r="C54" s="14" t="s">
        <v>117</v>
      </c>
      <c r="D54" s="14" t="s">
        <v>118</v>
      </c>
      <c r="E54" s="14" t="s">
        <v>353</v>
      </c>
      <c r="F54" s="14" t="s">
        <v>356</v>
      </c>
      <c r="G54" s="51">
        <v>985653</v>
      </c>
      <c r="H54" s="14" t="s">
        <v>305</v>
      </c>
      <c r="I54" s="11" t="s">
        <v>21</v>
      </c>
    </row>
    <row r="55" spans="1:9">
      <c r="A55" s="67" t="s">
        <v>665</v>
      </c>
      <c r="B55" s="74" t="s">
        <v>102</v>
      </c>
      <c r="C55" s="74" t="s">
        <v>117</v>
      </c>
      <c r="D55" s="74" t="s">
        <v>362</v>
      </c>
      <c r="E55" s="74" t="s">
        <v>363</v>
      </c>
      <c r="F55" s="74" t="s">
        <v>365</v>
      </c>
      <c r="G55" s="74" t="s">
        <v>367</v>
      </c>
      <c r="H55" s="74" t="s">
        <v>305</v>
      </c>
      <c r="I55" s="11" t="s">
        <v>21</v>
      </c>
    </row>
    <row r="56" spans="1:9">
      <c r="A56" s="67" t="s">
        <v>665</v>
      </c>
      <c r="B56" s="74" t="s">
        <v>102</v>
      </c>
      <c r="C56" s="74" t="s">
        <v>117</v>
      </c>
      <c r="D56" s="74" t="s">
        <v>362</v>
      </c>
      <c r="E56" s="74" t="s">
        <v>364</v>
      </c>
      <c r="F56" s="74" t="s">
        <v>366</v>
      </c>
      <c r="G56" s="74" t="s">
        <v>368</v>
      </c>
      <c r="H56" s="74" t="s">
        <v>305</v>
      </c>
      <c r="I56" s="11" t="s">
        <v>21</v>
      </c>
    </row>
    <row r="57" spans="1:9">
      <c r="A57" s="67" t="s">
        <v>665</v>
      </c>
      <c r="B57" s="74" t="s">
        <v>102</v>
      </c>
      <c r="C57" s="74" t="s">
        <v>117</v>
      </c>
      <c r="D57" s="74" t="s">
        <v>362</v>
      </c>
      <c r="E57" s="74" t="s">
        <v>369</v>
      </c>
      <c r="F57" s="74" t="s">
        <v>371</v>
      </c>
      <c r="G57" s="74" t="s">
        <v>373</v>
      </c>
      <c r="H57" s="74" t="s">
        <v>305</v>
      </c>
      <c r="I57" s="11" t="s">
        <v>21</v>
      </c>
    </row>
    <row r="58" spans="1:9">
      <c r="A58" s="87" t="s">
        <v>665</v>
      </c>
      <c r="B58" s="14" t="s">
        <v>102</v>
      </c>
      <c r="C58" s="14" t="s">
        <v>117</v>
      </c>
      <c r="D58" s="14" t="s">
        <v>362</v>
      </c>
      <c r="E58" s="14" t="s">
        <v>370</v>
      </c>
      <c r="F58" s="14" t="s">
        <v>372</v>
      </c>
      <c r="G58" s="51">
        <v>988835</v>
      </c>
      <c r="H58" s="14" t="s">
        <v>305</v>
      </c>
      <c r="I58" s="11" t="s">
        <v>21</v>
      </c>
    </row>
    <row r="59" spans="1:9">
      <c r="A59" s="67" t="s">
        <v>665</v>
      </c>
      <c r="B59" s="48" t="s">
        <v>102</v>
      </c>
      <c r="C59" s="48" t="s">
        <v>374</v>
      </c>
      <c r="D59" s="48" t="s">
        <v>375</v>
      </c>
      <c r="E59" s="48" t="s">
        <v>376</v>
      </c>
      <c r="F59" s="48" t="s">
        <v>377</v>
      </c>
      <c r="G59" s="48" t="s">
        <v>378</v>
      </c>
      <c r="H59" s="48" t="s">
        <v>305</v>
      </c>
      <c r="I59" s="11" t="s">
        <v>21</v>
      </c>
    </row>
    <row r="60" spans="1:9">
      <c r="A60" s="87" t="s">
        <v>665</v>
      </c>
      <c r="B60" s="14" t="s">
        <v>130</v>
      </c>
      <c r="C60" s="14" t="s">
        <v>379</v>
      </c>
      <c r="D60" s="14" t="s">
        <v>380</v>
      </c>
      <c r="E60" s="14" t="s">
        <v>381</v>
      </c>
      <c r="F60" s="14" t="s">
        <v>382</v>
      </c>
      <c r="G60" s="51">
        <v>991484</v>
      </c>
      <c r="H60" s="14" t="s">
        <v>305</v>
      </c>
      <c r="I60" s="11" t="s">
        <v>21</v>
      </c>
    </row>
    <row r="61" spans="1:9">
      <c r="A61" s="67" t="s">
        <v>665</v>
      </c>
      <c r="B61" s="74" t="s">
        <v>130</v>
      </c>
      <c r="C61" s="74" t="s">
        <v>383</v>
      </c>
      <c r="D61" s="74" t="s">
        <v>384</v>
      </c>
      <c r="E61" s="74" t="s">
        <v>385</v>
      </c>
      <c r="F61" s="74" t="s">
        <v>386</v>
      </c>
      <c r="G61" s="74" t="s">
        <v>387</v>
      </c>
      <c r="H61" s="74" t="s">
        <v>305</v>
      </c>
      <c r="I61" s="11" t="s">
        <v>21</v>
      </c>
    </row>
    <row r="62" spans="1:9">
      <c r="A62" s="67" t="s">
        <v>665</v>
      </c>
      <c r="B62" s="74" t="s">
        <v>130</v>
      </c>
      <c r="C62" s="74" t="s">
        <v>383</v>
      </c>
      <c r="D62" s="74" t="s">
        <v>388</v>
      </c>
      <c r="E62" s="74" t="s">
        <v>389</v>
      </c>
      <c r="F62" s="74" t="s">
        <v>390</v>
      </c>
      <c r="G62" s="74" t="s">
        <v>391</v>
      </c>
      <c r="H62" s="74" t="s">
        <v>305</v>
      </c>
      <c r="I62" s="11" t="s">
        <v>21</v>
      </c>
    </row>
    <row r="63" spans="1:9">
      <c r="A63" s="67" t="s">
        <v>665</v>
      </c>
      <c r="B63" s="74" t="s">
        <v>130</v>
      </c>
      <c r="C63" s="74" t="s">
        <v>131</v>
      </c>
      <c r="D63" s="74" t="s">
        <v>392</v>
      </c>
      <c r="E63" s="74" t="s">
        <v>393</v>
      </c>
      <c r="F63" s="74" t="s">
        <v>394</v>
      </c>
      <c r="G63" s="74" t="s">
        <v>395</v>
      </c>
      <c r="H63" s="74" t="s">
        <v>305</v>
      </c>
      <c r="I63" s="11" t="s">
        <v>21</v>
      </c>
    </row>
    <row r="64" spans="1:9">
      <c r="A64" s="87" t="s">
        <v>665</v>
      </c>
      <c r="B64" s="14" t="s">
        <v>130</v>
      </c>
      <c r="C64" s="30" t="s">
        <v>131</v>
      </c>
      <c r="D64" s="14" t="s">
        <v>396</v>
      </c>
      <c r="E64" s="14" t="s">
        <v>397</v>
      </c>
      <c r="F64" s="14" t="s">
        <v>402</v>
      </c>
      <c r="G64" s="51">
        <v>991766</v>
      </c>
      <c r="H64" s="14" t="s">
        <v>305</v>
      </c>
      <c r="I64" s="11" t="s">
        <v>21</v>
      </c>
    </row>
    <row r="65" spans="1:9">
      <c r="A65" s="67" t="s">
        <v>665</v>
      </c>
      <c r="B65" s="74" t="s">
        <v>130</v>
      </c>
      <c r="C65" s="74" t="s">
        <v>131</v>
      </c>
      <c r="D65" s="74" t="s">
        <v>136</v>
      </c>
      <c r="E65" s="74" t="s">
        <v>398</v>
      </c>
      <c r="F65" s="74" t="s">
        <v>403</v>
      </c>
      <c r="G65" s="74" t="s">
        <v>407</v>
      </c>
      <c r="H65" s="74" t="s">
        <v>305</v>
      </c>
      <c r="I65" s="11" t="s">
        <v>21</v>
      </c>
    </row>
    <row r="66" spans="1:9">
      <c r="A66" s="67" t="s">
        <v>665</v>
      </c>
      <c r="B66" s="74" t="s">
        <v>130</v>
      </c>
      <c r="C66" s="74" t="s">
        <v>131</v>
      </c>
      <c r="D66" s="74" t="s">
        <v>136</v>
      </c>
      <c r="E66" s="74" t="s">
        <v>399</v>
      </c>
      <c r="F66" s="74" t="s">
        <v>404</v>
      </c>
      <c r="G66" s="74" t="s">
        <v>408</v>
      </c>
      <c r="H66" s="74" t="s">
        <v>305</v>
      </c>
      <c r="I66" s="11" t="s">
        <v>21</v>
      </c>
    </row>
    <row r="67" spans="1:9">
      <c r="A67" s="67" t="s">
        <v>665</v>
      </c>
      <c r="B67" s="74" t="s">
        <v>130</v>
      </c>
      <c r="C67" s="74" t="s">
        <v>131</v>
      </c>
      <c r="D67" s="74" t="s">
        <v>136</v>
      </c>
      <c r="E67" s="74" t="s">
        <v>400</v>
      </c>
      <c r="F67" s="74" t="s">
        <v>405</v>
      </c>
      <c r="G67" s="74" t="s">
        <v>409</v>
      </c>
      <c r="H67" s="74" t="s">
        <v>305</v>
      </c>
      <c r="I67" s="11" t="s">
        <v>21</v>
      </c>
    </row>
    <row r="68" spans="1:9">
      <c r="A68" s="67" t="s">
        <v>665</v>
      </c>
      <c r="B68" s="74" t="s">
        <v>130</v>
      </c>
      <c r="C68" s="74" t="s">
        <v>131</v>
      </c>
      <c r="D68" s="74" t="s">
        <v>136</v>
      </c>
      <c r="E68" s="74" t="s">
        <v>401</v>
      </c>
      <c r="F68" s="74" t="s">
        <v>406</v>
      </c>
      <c r="G68" s="74" t="s">
        <v>410</v>
      </c>
      <c r="H68" s="74" t="s">
        <v>305</v>
      </c>
      <c r="I68" s="6" t="s">
        <v>20</v>
      </c>
    </row>
    <row r="69" spans="1:9">
      <c r="A69" s="67" t="s">
        <v>665</v>
      </c>
      <c r="B69" s="74" t="s">
        <v>191</v>
      </c>
      <c r="C69" s="74" t="s">
        <v>442</v>
      </c>
      <c r="D69" s="74" t="s">
        <v>443</v>
      </c>
      <c r="E69" s="74" t="s">
        <v>444</v>
      </c>
      <c r="F69" s="74"/>
      <c r="G69" s="74" t="s">
        <v>445</v>
      </c>
      <c r="H69" s="74" t="s">
        <v>305</v>
      </c>
      <c r="I69" s="6" t="s">
        <v>633</v>
      </c>
    </row>
    <row r="70" spans="1:9">
      <c r="A70" s="67" t="s">
        <v>665</v>
      </c>
      <c r="B70" s="74" t="s">
        <v>191</v>
      </c>
      <c r="C70" s="74" t="s">
        <v>192</v>
      </c>
      <c r="D70" s="74" t="s">
        <v>193</v>
      </c>
      <c r="E70" s="74" t="s">
        <v>446</v>
      </c>
      <c r="F70" s="74" t="s">
        <v>448</v>
      </c>
      <c r="G70" s="74" t="s">
        <v>450</v>
      </c>
      <c r="H70" s="74" t="s">
        <v>305</v>
      </c>
      <c r="I70" s="11" t="s">
        <v>21</v>
      </c>
    </row>
    <row r="71" spans="1:9">
      <c r="A71" s="67" t="s">
        <v>665</v>
      </c>
      <c r="B71" s="74" t="s">
        <v>191</v>
      </c>
      <c r="C71" s="74" t="s">
        <v>192</v>
      </c>
      <c r="D71" s="74" t="s">
        <v>193</v>
      </c>
      <c r="E71" s="74" t="s">
        <v>447</v>
      </c>
      <c r="F71" s="74" t="s">
        <v>449</v>
      </c>
      <c r="G71" s="74" t="s">
        <v>451</v>
      </c>
      <c r="H71" s="74" t="s">
        <v>305</v>
      </c>
      <c r="I71" s="11" t="s">
        <v>21</v>
      </c>
    </row>
    <row r="72" spans="1:9">
      <c r="A72" s="67" t="s">
        <v>665</v>
      </c>
      <c r="B72" s="74" t="s">
        <v>191</v>
      </c>
      <c r="C72" s="74" t="s">
        <v>206</v>
      </c>
      <c r="D72" s="74" t="s">
        <v>207</v>
      </c>
      <c r="E72" s="74" t="s">
        <v>452</v>
      </c>
      <c r="F72" s="74" t="s">
        <v>457</v>
      </c>
      <c r="G72" s="74" t="s">
        <v>462</v>
      </c>
      <c r="H72" s="74" t="s">
        <v>305</v>
      </c>
      <c r="I72" s="11" t="s">
        <v>21</v>
      </c>
    </row>
    <row r="73" spans="1:9">
      <c r="A73" s="87" t="s">
        <v>665</v>
      </c>
      <c r="B73" s="14" t="s">
        <v>191</v>
      </c>
      <c r="C73" s="14" t="s">
        <v>206</v>
      </c>
      <c r="D73" s="14" t="s">
        <v>207</v>
      </c>
      <c r="E73" s="14" t="s">
        <v>453</v>
      </c>
      <c r="F73" s="14" t="s">
        <v>458</v>
      </c>
      <c r="G73" s="14" t="s">
        <v>463</v>
      </c>
      <c r="H73" s="14" t="s">
        <v>305</v>
      </c>
      <c r="I73" s="11" t="s">
        <v>21</v>
      </c>
    </row>
    <row r="74" spans="1:9">
      <c r="A74" s="67" t="s">
        <v>665</v>
      </c>
      <c r="B74" s="74" t="s">
        <v>191</v>
      </c>
      <c r="C74" s="74" t="s">
        <v>206</v>
      </c>
      <c r="D74" s="74" t="s">
        <v>207</v>
      </c>
      <c r="E74" s="74" t="s">
        <v>454</v>
      </c>
      <c r="F74" s="74" t="s">
        <v>459</v>
      </c>
      <c r="G74" s="74" t="s">
        <v>464</v>
      </c>
      <c r="H74" s="74" t="s">
        <v>305</v>
      </c>
      <c r="I74" s="11" t="s">
        <v>21</v>
      </c>
    </row>
    <row r="75" spans="1:9">
      <c r="A75" s="67" t="s">
        <v>665</v>
      </c>
      <c r="B75" s="74" t="s">
        <v>191</v>
      </c>
      <c r="C75" s="74" t="s">
        <v>206</v>
      </c>
      <c r="D75" s="74" t="s">
        <v>207</v>
      </c>
      <c r="E75" s="74" t="s">
        <v>455</v>
      </c>
      <c r="F75" s="74" t="s">
        <v>460</v>
      </c>
      <c r="G75" s="74" t="s">
        <v>465</v>
      </c>
      <c r="H75" s="74" t="s">
        <v>305</v>
      </c>
      <c r="I75" s="11" t="s">
        <v>21</v>
      </c>
    </row>
    <row r="76" spans="1:9">
      <c r="A76" s="67" t="s">
        <v>665</v>
      </c>
      <c r="B76" s="74" t="s">
        <v>191</v>
      </c>
      <c r="C76" s="74" t="s">
        <v>206</v>
      </c>
      <c r="D76" s="74" t="s">
        <v>207</v>
      </c>
      <c r="E76" s="74" t="s">
        <v>456</v>
      </c>
      <c r="F76" s="74" t="s">
        <v>461</v>
      </c>
      <c r="G76" s="74" t="s">
        <v>466</v>
      </c>
      <c r="H76" s="74" t="s">
        <v>305</v>
      </c>
      <c r="I76" s="11" t="s">
        <v>21</v>
      </c>
    </row>
    <row r="77" spans="1:9">
      <c r="A77" s="87" t="s">
        <v>665</v>
      </c>
      <c r="B77" s="14" t="s">
        <v>191</v>
      </c>
      <c r="C77" s="14" t="s">
        <v>467</v>
      </c>
      <c r="D77" s="14" t="s">
        <v>75</v>
      </c>
      <c r="E77" s="14" t="s">
        <v>468</v>
      </c>
      <c r="F77" s="14" t="s">
        <v>469</v>
      </c>
      <c r="G77" s="14" t="s">
        <v>470</v>
      </c>
      <c r="H77" s="14" t="s">
        <v>305</v>
      </c>
      <c r="I77" s="11" t="s">
        <v>21</v>
      </c>
    </row>
    <row r="78" spans="1:9">
      <c r="A78" s="87" t="s">
        <v>665</v>
      </c>
      <c r="B78" s="14" t="s">
        <v>102</v>
      </c>
      <c r="C78" s="14" t="s">
        <v>374</v>
      </c>
      <c r="D78" s="14" t="s">
        <v>784</v>
      </c>
      <c r="E78" s="86" t="s">
        <v>376</v>
      </c>
      <c r="F78" s="86" t="s">
        <v>785</v>
      </c>
      <c r="G78" s="48" t="s">
        <v>703</v>
      </c>
      <c r="H78" s="14" t="s">
        <v>305</v>
      </c>
      <c r="I78" s="6" t="s">
        <v>21</v>
      </c>
    </row>
    <row r="79" spans="1:9">
      <c r="A79" s="67" t="s">
        <v>665</v>
      </c>
      <c r="B79" s="114" t="s">
        <v>9</v>
      </c>
      <c r="C79" s="114" t="s">
        <v>723</v>
      </c>
      <c r="D79" s="67" t="s">
        <v>724</v>
      </c>
      <c r="E79" s="67"/>
      <c r="F79" s="67"/>
      <c r="G79" s="67"/>
      <c r="H79" s="67"/>
      <c r="I79" s="110" t="s">
        <v>740</v>
      </c>
    </row>
    <row r="80" spans="1:9">
      <c r="A80" s="67" t="s">
        <v>665</v>
      </c>
      <c r="B80" s="114" t="s">
        <v>26</v>
      </c>
      <c r="C80" s="114" t="s">
        <v>725</v>
      </c>
      <c r="D80" s="116" t="s">
        <v>726</v>
      </c>
      <c r="E80" s="67"/>
      <c r="F80" s="67"/>
      <c r="G80" s="67"/>
      <c r="H80" s="67"/>
      <c r="I80" s="110" t="s">
        <v>740</v>
      </c>
    </row>
    <row r="81" spans="1:9">
      <c r="A81" s="67" t="s">
        <v>665</v>
      </c>
      <c r="B81" s="114" t="s">
        <v>130</v>
      </c>
      <c r="C81" s="114" t="s">
        <v>727</v>
      </c>
      <c r="D81" s="67" t="s">
        <v>728</v>
      </c>
      <c r="E81" s="67"/>
      <c r="F81" s="67"/>
      <c r="G81" s="67"/>
      <c r="H81" s="67"/>
      <c r="I81" s="110" t="s">
        <v>740</v>
      </c>
    </row>
    <row r="82" spans="1:9">
      <c r="A82" s="67" t="s">
        <v>665</v>
      </c>
      <c r="B82" s="114" t="s">
        <v>130</v>
      </c>
      <c r="C82" s="114" t="s">
        <v>727</v>
      </c>
      <c r="D82" s="67" t="s">
        <v>729</v>
      </c>
      <c r="E82" s="67"/>
      <c r="F82" s="67"/>
      <c r="G82" s="67"/>
      <c r="H82" s="67"/>
      <c r="I82" s="110" t="s">
        <v>740</v>
      </c>
    </row>
    <row r="83" spans="1:9">
      <c r="A83" s="67" t="s">
        <v>665</v>
      </c>
      <c r="B83" s="114" t="s">
        <v>730</v>
      </c>
      <c r="C83" s="114" t="s">
        <v>731</v>
      </c>
      <c r="D83" s="67" t="s">
        <v>732</v>
      </c>
      <c r="E83" s="67"/>
      <c r="F83" s="67"/>
      <c r="G83" s="67"/>
      <c r="H83" s="67"/>
      <c r="I83" s="110" t="s">
        <v>740</v>
      </c>
    </row>
    <row r="84" spans="1:9">
      <c r="A84" s="67" t="s">
        <v>665</v>
      </c>
      <c r="B84" s="67" t="s">
        <v>26</v>
      </c>
      <c r="C84" s="67" t="s">
        <v>725</v>
      </c>
      <c r="D84" s="67" t="s">
        <v>737</v>
      </c>
      <c r="E84" s="67"/>
      <c r="F84" s="67"/>
      <c r="G84" s="67"/>
      <c r="H84" s="67"/>
      <c r="I84" s="110" t="s">
        <v>740</v>
      </c>
    </row>
    <row r="85" spans="1:9">
      <c r="A85" s="67" t="s">
        <v>665</v>
      </c>
      <c r="B85" s="67" t="s">
        <v>191</v>
      </c>
      <c r="C85" s="67" t="s">
        <v>738</v>
      </c>
      <c r="D85" s="67" t="s">
        <v>207</v>
      </c>
      <c r="E85" s="67"/>
      <c r="F85" s="67"/>
      <c r="G85" s="67"/>
      <c r="H85" s="67"/>
      <c r="I85" s="110" t="s">
        <v>740</v>
      </c>
    </row>
    <row r="86" spans="1:9">
      <c r="A86" s="67" t="s">
        <v>665</v>
      </c>
      <c r="B86" s="67" t="s">
        <v>9</v>
      </c>
      <c r="C86" s="67" t="s">
        <v>723</v>
      </c>
      <c r="D86" s="67" t="s">
        <v>739</v>
      </c>
      <c r="E86" s="67"/>
      <c r="F86" s="67"/>
      <c r="G86" s="67"/>
      <c r="H86" s="67"/>
      <c r="I86" s="110" t="s">
        <v>740</v>
      </c>
    </row>
    <row r="87" spans="1:9">
      <c r="A87" s="67" t="s">
        <v>665</v>
      </c>
      <c r="B87" s="76" t="s">
        <v>730</v>
      </c>
      <c r="C87" s="76" t="s">
        <v>795</v>
      </c>
      <c r="D87" s="76" t="s">
        <v>796</v>
      </c>
      <c r="E87" s="76" t="s">
        <v>797</v>
      </c>
      <c r="F87" s="76"/>
      <c r="G87" s="76" t="s">
        <v>703</v>
      </c>
      <c r="H87" s="76">
        <v>2026</v>
      </c>
      <c r="I87" s="110" t="s">
        <v>21</v>
      </c>
    </row>
    <row r="88" spans="1:9">
      <c r="A88" s="67" t="s">
        <v>665</v>
      </c>
      <c r="B88" s="76" t="s">
        <v>130</v>
      </c>
      <c r="C88" s="76" t="s">
        <v>802</v>
      </c>
      <c r="D88" s="76" t="s">
        <v>803</v>
      </c>
      <c r="E88" s="76" t="s">
        <v>804</v>
      </c>
      <c r="F88" s="76"/>
      <c r="G88" s="76" t="s">
        <v>703</v>
      </c>
      <c r="H88" s="76">
        <v>2026</v>
      </c>
      <c r="I88" s="110" t="s">
        <v>21</v>
      </c>
    </row>
    <row r="89" spans="1:9">
      <c r="A89" s="67" t="s">
        <v>665</v>
      </c>
      <c r="B89" s="76" t="s">
        <v>130</v>
      </c>
      <c r="C89" s="76" t="s">
        <v>794</v>
      </c>
      <c r="D89" s="76" t="s">
        <v>808</v>
      </c>
      <c r="E89" s="76" t="s">
        <v>809</v>
      </c>
      <c r="F89" s="76"/>
      <c r="G89" s="76" t="s">
        <v>703</v>
      </c>
      <c r="H89" s="76">
        <v>2026</v>
      </c>
      <c r="I89" s="110" t="s">
        <v>21</v>
      </c>
    </row>
    <row r="90" spans="1:9">
      <c r="A90" s="67" t="s">
        <v>665</v>
      </c>
      <c r="B90" s="76" t="s">
        <v>26</v>
      </c>
      <c r="C90" s="76" t="s">
        <v>819</v>
      </c>
      <c r="D90" s="76" t="s">
        <v>821</v>
      </c>
      <c r="E90" s="76" t="s">
        <v>820</v>
      </c>
      <c r="F90" s="76"/>
      <c r="G90" s="76" t="s">
        <v>703</v>
      </c>
      <c r="H90" s="76">
        <v>2026</v>
      </c>
      <c r="I90" s="110" t="s">
        <v>289</v>
      </c>
    </row>
    <row r="91" spans="1:9">
      <c r="A91" s="67" t="s">
        <v>665</v>
      </c>
      <c r="B91" s="76" t="s">
        <v>191</v>
      </c>
      <c r="C91" s="76" t="s">
        <v>192</v>
      </c>
      <c r="D91" s="76" t="s">
        <v>193</v>
      </c>
      <c r="E91" s="76" t="s">
        <v>822</v>
      </c>
      <c r="F91" s="76"/>
      <c r="G91" s="76">
        <v>997348</v>
      </c>
      <c r="H91" s="76">
        <v>2026</v>
      </c>
      <c r="I91" s="110" t="s">
        <v>21</v>
      </c>
    </row>
    <row r="92" spans="1:9">
      <c r="A92" s="67" t="s">
        <v>665</v>
      </c>
      <c r="B92" s="76" t="s">
        <v>191</v>
      </c>
      <c r="C92" s="76" t="s">
        <v>192</v>
      </c>
      <c r="D92" s="76" t="s">
        <v>193</v>
      </c>
      <c r="E92" s="76" t="s">
        <v>823</v>
      </c>
      <c r="F92" s="76"/>
      <c r="G92" s="76" t="s">
        <v>824</v>
      </c>
      <c r="H92" s="76">
        <v>2026</v>
      </c>
      <c r="I92" s="110" t="s">
        <v>21</v>
      </c>
    </row>
    <row r="93" spans="1:9">
      <c r="A93" s="67" t="s">
        <v>665</v>
      </c>
      <c r="B93" s="76" t="s">
        <v>191</v>
      </c>
      <c r="C93" s="76" t="s">
        <v>192</v>
      </c>
      <c r="D93" s="76" t="s">
        <v>193</v>
      </c>
      <c r="E93" s="76" t="s">
        <v>825</v>
      </c>
      <c r="F93" s="76"/>
      <c r="G93" s="76" t="s">
        <v>826</v>
      </c>
      <c r="H93" s="76">
        <v>2026</v>
      </c>
      <c r="I93" s="110" t="s">
        <v>21</v>
      </c>
    </row>
    <row r="94" spans="1:9">
      <c r="A94" s="67" t="s">
        <v>665</v>
      </c>
      <c r="B94" s="76" t="s">
        <v>26</v>
      </c>
      <c r="C94" s="76" t="s">
        <v>27</v>
      </c>
      <c r="D94" s="76" t="s">
        <v>28</v>
      </c>
      <c r="E94" s="76" t="s">
        <v>827</v>
      </c>
      <c r="F94" s="76"/>
      <c r="G94" s="76" t="s">
        <v>828</v>
      </c>
      <c r="H94" s="76">
        <v>2026</v>
      </c>
      <c r="I94" s="110" t="s">
        <v>21</v>
      </c>
    </row>
    <row r="95" spans="1:9">
      <c r="A95" s="67" t="s">
        <v>665</v>
      </c>
      <c r="B95" s="76" t="s">
        <v>191</v>
      </c>
      <c r="C95" s="76" t="s">
        <v>206</v>
      </c>
      <c r="D95" s="76" t="s">
        <v>829</v>
      </c>
      <c r="E95" s="76" t="s">
        <v>830</v>
      </c>
      <c r="F95" s="76"/>
      <c r="G95" s="76" t="s">
        <v>831</v>
      </c>
      <c r="H95" s="76">
        <v>2026</v>
      </c>
      <c r="I95" s="110" t="s">
        <v>21</v>
      </c>
    </row>
    <row r="96" spans="1:9">
      <c r="A96" s="67" t="s">
        <v>665</v>
      </c>
      <c r="B96" s="76" t="s">
        <v>191</v>
      </c>
      <c r="C96" s="76" t="s">
        <v>206</v>
      </c>
      <c r="D96" s="76" t="s">
        <v>829</v>
      </c>
      <c r="E96" s="76" t="s">
        <v>832</v>
      </c>
      <c r="F96" s="76"/>
      <c r="G96" s="76" t="s">
        <v>833</v>
      </c>
      <c r="H96" s="76">
        <v>2026</v>
      </c>
      <c r="I96" s="110" t="s">
        <v>21</v>
      </c>
    </row>
    <row r="97" spans="1:9">
      <c r="A97" s="67" t="s">
        <v>665</v>
      </c>
      <c r="B97" s="76" t="s">
        <v>191</v>
      </c>
      <c r="C97" s="76" t="s">
        <v>206</v>
      </c>
      <c r="D97" s="76" t="s">
        <v>829</v>
      </c>
      <c r="E97" s="76" t="s">
        <v>834</v>
      </c>
      <c r="F97" s="76"/>
      <c r="G97" s="76" t="s">
        <v>835</v>
      </c>
      <c r="H97" s="76">
        <v>2026</v>
      </c>
      <c r="I97" s="110" t="s">
        <v>21</v>
      </c>
    </row>
    <row r="98" spans="1:9">
      <c r="A98" s="67" t="s">
        <v>665</v>
      </c>
      <c r="B98" s="76" t="s">
        <v>102</v>
      </c>
      <c r="C98" s="76" t="s">
        <v>117</v>
      </c>
      <c r="D98" s="76" t="s">
        <v>118</v>
      </c>
      <c r="E98" s="76" t="s">
        <v>836</v>
      </c>
      <c r="F98" s="76"/>
      <c r="G98" s="76" t="s">
        <v>837</v>
      </c>
      <c r="H98" s="76">
        <v>2026</v>
      </c>
      <c r="I98" s="110" t="s">
        <v>21</v>
      </c>
    </row>
    <row r="99" spans="1:9">
      <c r="A99" s="67" t="s">
        <v>665</v>
      </c>
      <c r="B99" s="76" t="s">
        <v>130</v>
      </c>
      <c r="C99" s="76" t="s">
        <v>838</v>
      </c>
      <c r="D99" s="76" t="s">
        <v>839</v>
      </c>
      <c r="E99" s="76" t="s">
        <v>840</v>
      </c>
      <c r="F99" s="76"/>
      <c r="G99" s="76" t="s">
        <v>841</v>
      </c>
      <c r="H99" s="76">
        <v>2026</v>
      </c>
      <c r="I99" s="110" t="s">
        <v>289</v>
      </c>
    </row>
    <row r="100" spans="1:9">
      <c r="A100" s="67" t="s">
        <v>665</v>
      </c>
      <c r="B100" s="76" t="s">
        <v>130</v>
      </c>
      <c r="C100" s="76" t="s">
        <v>131</v>
      </c>
      <c r="D100" s="76" t="s">
        <v>842</v>
      </c>
      <c r="E100" s="76" t="s">
        <v>843</v>
      </c>
      <c r="F100" s="76"/>
      <c r="G100" s="76" t="s">
        <v>844</v>
      </c>
      <c r="H100" s="76">
        <v>2026</v>
      </c>
      <c r="I100" s="110" t="s">
        <v>21</v>
      </c>
    </row>
    <row r="101" spans="1:9">
      <c r="A101" s="67" t="s">
        <v>665</v>
      </c>
      <c r="B101" s="76" t="s">
        <v>130</v>
      </c>
      <c r="C101" s="76" t="s">
        <v>131</v>
      </c>
      <c r="D101" s="76" t="s">
        <v>842</v>
      </c>
      <c r="E101" s="76" t="s">
        <v>845</v>
      </c>
      <c r="F101" s="76"/>
      <c r="G101" s="76" t="s">
        <v>846</v>
      </c>
      <c r="H101" s="76">
        <v>2026</v>
      </c>
      <c r="I101" s="110" t="s">
        <v>21</v>
      </c>
    </row>
    <row r="102" spans="1:9">
      <c r="A102" s="67" t="s">
        <v>665</v>
      </c>
      <c r="B102" s="76" t="s">
        <v>130</v>
      </c>
      <c r="C102" s="76" t="s">
        <v>131</v>
      </c>
      <c r="D102" s="76" t="s">
        <v>842</v>
      </c>
      <c r="E102" s="76" t="s">
        <v>847</v>
      </c>
      <c r="F102" s="76"/>
      <c r="G102" s="76" t="s">
        <v>848</v>
      </c>
      <c r="H102" s="76">
        <v>2026</v>
      </c>
      <c r="I102" s="110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C35" sqref="C35"/>
    </sheetView>
  </sheetViews>
  <sheetFormatPr defaultRowHeight="15"/>
  <cols>
    <col min="1" max="1" width="14.42578125" bestFit="1" customWidth="1"/>
    <col min="2" max="2" width="7.140625" customWidth="1"/>
    <col min="3" max="3" width="23.42578125" bestFit="1" customWidth="1"/>
    <col min="4" max="4" width="57.85546875" bestFit="1" customWidth="1"/>
    <col min="5" max="5" width="18.7109375" bestFit="1" customWidth="1"/>
    <col min="6" max="6" width="20.42578125" bestFit="1" customWidth="1"/>
    <col min="7" max="7" width="10.7109375" bestFit="1" customWidth="1"/>
    <col min="9" max="9" width="16" bestFit="1" customWidth="1"/>
  </cols>
  <sheetData>
    <row r="1" spans="1:9">
      <c r="A1" s="142" t="s">
        <v>878</v>
      </c>
      <c r="B1" s="143" t="s">
        <v>0</v>
      </c>
      <c r="C1" s="143" t="s">
        <v>1</v>
      </c>
      <c r="D1" s="143" t="s">
        <v>2</v>
      </c>
      <c r="E1" s="143" t="s">
        <v>3</v>
      </c>
      <c r="F1" s="143" t="s">
        <v>4</v>
      </c>
      <c r="G1" s="143" t="s">
        <v>5</v>
      </c>
      <c r="H1" s="143" t="s">
        <v>6</v>
      </c>
      <c r="I1" s="143" t="s">
        <v>7</v>
      </c>
    </row>
    <row r="2" spans="1:9">
      <c r="A2" s="76" t="s">
        <v>666</v>
      </c>
      <c r="B2" s="76" t="s">
        <v>36</v>
      </c>
      <c r="C2" s="76" t="s">
        <v>37</v>
      </c>
      <c r="D2" s="76" t="s">
        <v>748</v>
      </c>
      <c r="E2" s="120" t="s">
        <v>712</v>
      </c>
      <c r="F2" s="120" t="s">
        <v>749</v>
      </c>
      <c r="G2" s="76">
        <v>943884</v>
      </c>
      <c r="H2" s="79">
        <v>2023</v>
      </c>
      <c r="I2" s="110" t="s">
        <v>750</v>
      </c>
    </row>
    <row r="3" spans="1:9">
      <c r="A3" s="76" t="s">
        <v>666</v>
      </c>
      <c r="B3" s="66" t="s">
        <v>93</v>
      </c>
      <c r="C3" s="66" t="s">
        <v>770</v>
      </c>
      <c r="D3" s="66" t="s">
        <v>771</v>
      </c>
      <c r="E3" s="84" t="s">
        <v>772</v>
      </c>
      <c r="F3" s="84" t="s">
        <v>769</v>
      </c>
      <c r="G3" s="66" t="s">
        <v>703</v>
      </c>
      <c r="H3" s="58">
        <v>2023</v>
      </c>
      <c r="I3" s="110" t="s">
        <v>289</v>
      </c>
    </row>
    <row r="4" spans="1:9">
      <c r="A4" s="76" t="s">
        <v>666</v>
      </c>
      <c r="B4" s="73" t="s">
        <v>36</v>
      </c>
      <c r="C4" s="73" t="s">
        <v>37</v>
      </c>
      <c r="D4" s="73" t="s">
        <v>44</v>
      </c>
      <c r="E4" s="73" t="s">
        <v>541</v>
      </c>
      <c r="F4" s="73" t="s">
        <v>542</v>
      </c>
      <c r="G4" s="73" t="s">
        <v>543</v>
      </c>
      <c r="H4" s="73" t="s">
        <v>524</v>
      </c>
      <c r="I4" s="6" t="s">
        <v>20</v>
      </c>
    </row>
    <row r="5" spans="1:9">
      <c r="A5" s="76" t="s">
        <v>666</v>
      </c>
      <c r="B5" s="61" t="s">
        <v>36</v>
      </c>
      <c r="C5" s="61" t="s">
        <v>37</v>
      </c>
      <c r="D5" s="61" t="s">
        <v>661</v>
      </c>
      <c r="E5" s="57">
        <v>92848123008</v>
      </c>
      <c r="F5" s="59" t="s">
        <v>659</v>
      </c>
      <c r="G5" s="62">
        <v>943969</v>
      </c>
      <c r="H5" s="57">
        <v>2023</v>
      </c>
      <c r="I5" s="11" t="s">
        <v>21</v>
      </c>
    </row>
    <row r="6" spans="1:9">
      <c r="A6" s="76" t="s">
        <v>666</v>
      </c>
      <c r="B6" s="62" t="s">
        <v>36</v>
      </c>
      <c r="C6" s="62" t="s">
        <v>37</v>
      </c>
      <c r="D6" s="62" t="s">
        <v>746</v>
      </c>
      <c r="E6" s="54" t="s">
        <v>745</v>
      </c>
      <c r="F6" s="60" t="s">
        <v>747</v>
      </c>
      <c r="G6" s="63" t="s">
        <v>703</v>
      </c>
      <c r="H6" s="58"/>
      <c r="I6" s="11" t="s">
        <v>289</v>
      </c>
    </row>
    <row r="7" spans="1:9">
      <c r="A7" s="76" t="s">
        <v>666</v>
      </c>
      <c r="B7" s="73" t="s">
        <v>36</v>
      </c>
      <c r="C7" s="73" t="s">
        <v>37</v>
      </c>
      <c r="D7" s="73" t="s">
        <v>38</v>
      </c>
      <c r="E7" s="73" t="s">
        <v>39</v>
      </c>
      <c r="F7" s="73"/>
      <c r="G7" s="73" t="s">
        <v>41</v>
      </c>
      <c r="H7" s="73" t="s">
        <v>19</v>
      </c>
      <c r="I7" s="11" t="s">
        <v>21</v>
      </c>
    </row>
    <row r="8" spans="1:9">
      <c r="A8" s="76" t="s">
        <v>666</v>
      </c>
      <c r="B8" s="73" t="s">
        <v>36</v>
      </c>
      <c r="C8" s="73" t="s">
        <v>37</v>
      </c>
      <c r="D8" s="73" t="s">
        <v>38</v>
      </c>
      <c r="E8" s="73" t="s">
        <v>40</v>
      </c>
      <c r="F8" s="73"/>
      <c r="G8" s="73" t="s">
        <v>41</v>
      </c>
      <c r="H8" s="73" t="s">
        <v>19</v>
      </c>
      <c r="I8" s="11" t="s">
        <v>21</v>
      </c>
    </row>
    <row r="9" spans="1:9">
      <c r="A9" s="76" t="s">
        <v>666</v>
      </c>
      <c r="B9" s="73" t="s">
        <v>36</v>
      </c>
      <c r="C9" s="73" t="s">
        <v>37</v>
      </c>
      <c r="D9" s="73" t="s">
        <v>38</v>
      </c>
      <c r="E9" s="73" t="s">
        <v>42</v>
      </c>
      <c r="F9" s="73"/>
      <c r="G9" s="73" t="s">
        <v>43</v>
      </c>
      <c r="H9" s="73" t="s">
        <v>19</v>
      </c>
      <c r="I9" s="11" t="s">
        <v>21</v>
      </c>
    </row>
    <row r="10" spans="1:9">
      <c r="A10" s="76" t="s">
        <v>666</v>
      </c>
      <c r="B10" s="73" t="s">
        <v>36</v>
      </c>
      <c r="C10" s="73" t="s">
        <v>37</v>
      </c>
      <c r="D10" s="73" t="s">
        <v>44</v>
      </c>
      <c r="E10" s="73" t="s">
        <v>45</v>
      </c>
      <c r="F10" s="73" t="s">
        <v>47</v>
      </c>
      <c r="G10" s="73" t="s">
        <v>49</v>
      </c>
      <c r="H10" s="73" t="s">
        <v>19</v>
      </c>
      <c r="I10" s="6" t="s">
        <v>343</v>
      </c>
    </row>
    <row r="11" spans="1:9">
      <c r="A11" s="76" t="s">
        <v>666</v>
      </c>
      <c r="B11" s="73" t="s">
        <v>36</v>
      </c>
      <c r="C11" s="73" t="s">
        <v>37</v>
      </c>
      <c r="D11" s="73" t="s">
        <v>44</v>
      </c>
      <c r="E11" s="73" t="s">
        <v>46</v>
      </c>
      <c r="F11" s="73" t="s">
        <v>48</v>
      </c>
      <c r="G11" s="73" t="s">
        <v>50</v>
      </c>
      <c r="H11" s="73" t="s">
        <v>19</v>
      </c>
      <c r="I11" s="11" t="s">
        <v>21</v>
      </c>
    </row>
    <row r="12" spans="1:9">
      <c r="A12" s="76" t="s">
        <v>666</v>
      </c>
      <c r="B12" s="73" t="s">
        <v>66</v>
      </c>
      <c r="C12" s="73" t="s">
        <v>67</v>
      </c>
      <c r="D12" s="73" t="s">
        <v>68</v>
      </c>
      <c r="E12" s="73" t="s">
        <v>69</v>
      </c>
      <c r="F12" s="73" t="s">
        <v>71</v>
      </c>
      <c r="G12" s="73" t="s">
        <v>73</v>
      </c>
      <c r="H12" s="73" t="s">
        <v>19</v>
      </c>
      <c r="I12" s="11" t="s">
        <v>21</v>
      </c>
    </row>
    <row r="13" spans="1:9">
      <c r="A13" s="76" t="s">
        <v>666</v>
      </c>
      <c r="B13" s="73" t="s">
        <v>66</v>
      </c>
      <c r="C13" s="73" t="s">
        <v>67</v>
      </c>
      <c r="D13" s="73" t="s">
        <v>68</v>
      </c>
      <c r="E13" s="73" t="s">
        <v>70</v>
      </c>
      <c r="F13" s="73" t="s">
        <v>72</v>
      </c>
      <c r="G13" s="73" t="s">
        <v>74</v>
      </c>
      <c r="H13" s="73" t="s">
        <v>19</v>
      </c>
      <c r="I13" s="11" t="s">
        <v>21</v>
      </c>
    </row>
    <row r="14" spans="1:9">
      <c r="A14" s="76" t="s">
        <v>666</v>
      </c>
      <c r="B14" s="73" t="s">
        <v>66</v>
      </c>
      <c r="C14" s="83" t="s">
        <v>67</v>
      </c>
      <c r="D14" s="73" t="s">
        <v>75</v>
      </c>
      <c r="E14" s="73" t="s">
        <v>76</v>
      </c>
      <c r="F14" s="73"/>
      <c r="G14" s="73" t="s">
        <v>77</v>
      </c>
      <c r="H14" s="73" t="s">
        <v>19</v>
      </c>
      <c r="I14" s="11" t="s">
        <v>289</v>
      </c>
    </row>
    <row r="15" spans="1:9">
      <c r="A15" s="76" t="s">
        <v>666</v>
      </c>
      <c r="B15" s="73" t="s">
        <v>84</v>
      </c>
      <c r="C15" s="73" t="s">
        <v>85</v>
      </c>
      <c r="D15" s="73" t="s">
        <v>86</v>
      </c>
      <c r="E15" s="73" t="s">
        <v>87</v>
      </c>
      <c r="F15" s="73" t="s">
        <v>89</v>
      </c>
      <c r="G15" s="73" t="s">
        <v>91</v>
      </c>
      <c r="H15" s="73" t="s">
        <v>19</v>
      </c>
      <c r="I15" s="6" t="s">
        <v>20</v>
      </c>
    </row>
    <row r="16" spans="1:9">
      <c r="A16" s="76" t="s">
        <v>666</v>
      </c>
      <c r="B16" s="73" t="s">
        <v>84</v>
      </c>
      <c r="C16" s="73" t="s">
        <v>85</v>
      </c>
      <c r="D16" s="73" t="s">
        <v>86</v>
      </c>
      <c r="E16" s="73" t="s">
        <v>88</v>
      </c>
      <c r="F16" s="73" t="s">
        <v>90</v>
      </c>
      <c r="G16" s="73" t="s">
        <v>92</v>
      </c>
      <c r="H16" s="73" t="s">
        <v>19</v>
      </c>
      <c r="I16" s="11" t="s">
        <v>21</v>
      </c>
    </row>
    <row r="17" spans="1:9">
      <c r="A17" s="76" t="s">
        <v>666</v>
      </c>
      <c r="B17" s="73" t="s">
        <v>93</v>
      </c>
      <c r="C17" s="73" t="s">
        <v>94</v>
      </c>
      <c r="D17" s="73" t="s">
        <v>95</v>
      </c>
      <c r="E17" s="73" t="s">
        <v>96</v>
      </c>
      <c r="F17" s="73" t="s">
        <v>98</v>
      </c>
      <c r="G17" s="73" t="s">
        <v>100</v>
      </c>
      <c r="H17" s="73" t="s">
        <v>19</v>
      </c>
      <c r="I17" s="11" t="s">
        <v>21</v>
      </c>
    </row>
    <row r="18" spans="1:9">
      <c r="A18" s="76" t="s">
        <v>666</v>
      </c>
      <c r="B18" s="73" t="s">
        <v>93</v>
      </c>
      <c r="C18" s="73" t="s">
        <v>94</v>
      </c>
      <c r="D18" s="73" t="s">
        <v>95</v>
      </c>
      <c r="E18" s="73" t="s">
        <v>97</v>
      </c>
      <c r="F18" s="73" t="s">
        <v>99</v>
      </c>
      <c r="G18" s="73" t="s">
        <v>101</v>
      </c>
      <c r="H18" s="73" t="s">
        <v>19</v>
      </c>
      <c r="I18" s="25" t="s">
        <v>21</v>
      </c>
    </row>
    <row r="19" spans="1:9">
      <c r="A19" s="76" t="s">
        <v>666</v>
      </c>
      <c r="B19" s="73" t="s">
        <v>36</v>
      </c>
      <c r="C19" s="73" t="s">
        <v>37</v>
      </c>
      <c r="D19" s="73" t="s">
        <v>38</v>
      </c>
      <c r="E19" s="73" t="s">
        <v>313</v>
      </c>
      <c r="F19" s="73"/>
      <c r="G19" s="73" t="s">
        <v>314</v>
      </c>
      <c r="H19" s="73" t="s">
        <v>305</v>
      </c>
      <c r="I19" s="11" t="s">
        <v>21</v>
      </c>
    </row>
    <row r="20" spans="1:9">
      <c r="A20" s="76" t="s">
        <v>666</v>
      </c>
      <c r="B20" s="73" t="s">
        <v>36</v>
      </c>
      <c r="C20" s="73" t="s">
        <v>37</v>
      </c>
      <c r="D20" s="73" t="s">
        <v>38</v>
      </c>
      <c r="E20" s="73" t="s">
        <v>315</v>
      </c>
      <c r="F20" s="73"/>
      <c r="G20" s="73" t="s">
        <v>316</v>
      </c>
      <c r="H20" s="73" t="s">
        <v>305</v>
      </c>
      <c r="I20" s="11" t="s">
        <v>21</v>
      </c>
    </row>
    <row r="21" spans="1:9">
      <c r="A21" s="76" t="s">
        <v>666</v>
      </c>
      <c r="B21" s="73" t="s">
        <v>66</v>
      </c>
      <c r="C21" s="73" t="s">
        <v>317</v>
      </c>
      <c r="D21" s="73" t="s">
        <v>318</v>
      </c>
      <c r="E21" s="73" t="s">
        <v>319</v>
      </c>
      <c r="F21" s="73" t="s">
        <v>320</v>
      </c>
      <c r="G21" s="73" t="s">
        <v>321</v>
      </c>
      <c r="H21" s="75" t="s">
        <v>305</v>
      </c>
      <c r="I21" s="11" t="s">
        <v>21</v>
      </c>
    </row>
    <row r="22" spans="1:9">
      <c r="A22" s="76" t="s">
        <v>666</v>
      </c>
      <c r="B22" s="73" t="s">
        <v>66</v>
      </c>
      <c r="C22" s="73" t="s">
        <v>322</v>
      </c>
      <c r="D22" s="73" t="s">
        <v>323</v>
      </c>
      <c r="E22" s="73" t="s">
        <v>324</v>
      </c>
      <c r="F22" s="73" t="s">
        <v>325</v>
      </c>
      <c r="G22" s="73" t="s">
        <v>326</v>
      </c>
      <c r="H22" s="73" t="s">
        <v>305</v>
      </c>
      <c r="I22" s="11" t="s">
        <v>21</v>
      </c>
    </row>
    <row r="23" spans="1:9">
      <c r="A23" s="76" t="s">
        <v>666</v>
      </c>
      <c r="B23" s="73" t="s">
        <v>93</v>
      </c>
      <c r="C23" s="73" t="s">
        <v>94</v>
      </c>
      <c r="D23" s="73" t="s">
        <v>95</v>
      </c>
      <c r="E23" s="73" t="s">
        <v>332</v>
      </c>
      <c r="F23" s="73" t="s">
        <v>334</v>
      </c>
      <c r="G23" s="73" t="s">
        <v>336</v>
      </c>
      <c r="H23" s="73" t="s">
        <v>305</v>
      </c>
      <c r="I23" s="11" t="s">
        <v>21</v>
      </c>
    </row>
    <row r="24" spans="1:9">
      <c r="A24" s="76" t="s">
        <v>666</v>
      </c>
      <c r="B24" s="73" t="s">
        <v>93</v>
      </c>
      <c r="C24" s="73" t="s">
        <v>94</v>
      </c>
      <c r="D24" s="73" t="s">
        <v>95</v>
      </c>
      <c r="E24" s="73" t="s">
        <v>333</v>
      </c>
      <c r="F24" s="73" t="s">
        <v>335</v>
      </c>
      <c r="G24" s="73" t="s">
        <v>337</v>
      </c>
      <c r="H24" s="73" t="s">
        <v>305</v>
      </c>
      <c r="I24" s="11" t="s">
        <v>21</v>
      </c>
    </row>
    <row r="25" spans="1:9">
      <c r="A25" s="76" t="s">
        <v>666</v>
      </c>
      <c r="B25" s="73" t="s">
        <v>36</v>
      </c>
      <c r="C25" s="73" t="s">
        <v>37</v>
      </c>
      <c r="D25" s="73" t="s">
        <v>763</v>
      </c>
      <c r="E25" s="73"/>
      <c r="F25" s="78" t="s">
        <v>764</v>
      </c>
      <c r="G25" s="73" t="s">
        <v>765</v>
      </c>
      <c r="H25" s="79">
        <v>2020</v>
      </c>
      <c r="I25" s="6" t="s">
        <v>343</v>
      </c>
    </row>
    <row r="30" spans="1:9">
      <c r="B30" s="144" t="s">
        <v>0</v>
      </c>
      <c r="C30" s="144" t="s">
        <v>879</v>
      </c>
    </row>
    <row r="31" spans="1:9">
      <c r="B31" s="16" t="s">
        <v>36</v>
      </c>
      <c r="C31" s="16">
        <v>12</v>
      </c>
    </row>
    <row r="32" spans="1:9">
      <c r="B32" s="16" t="s">
        <v>66</v>
      </c>
      <c r="C32" s="16">
        <v>5</v>
      </c>
    </row>
    <row r="33" spans="2:3">
      <c r="B33" s="16" t="s">
        <v>84</v>
      </c>
      <c r="C33" s="16">
        <v>2</v>
      </c>
    </row>
    <row r="34" spans="2:3">
      <c r="B34" s="16" t="s">
        <v>93</v>
      </c>
      <c r="C34" s="16">
        <v>5</v>
      </c>
    </row>
    <row r="35" spans="2:3">
      <c r="B35" s="16" t="s">
        <v>880</v>
      </c>
      <c r="C35" s="145">
        <f>SUM(C31:C34)</f>
        <v>24</v>
      </c>
    </row>
  </sheetData>
  <autoFilter ref="A1:I25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I9" sqref="I9"/>
    </sheetView>
  </sheetViews>
  <sheetFormatPr defaultRowHeight="15"/>
  <cols>
    <col min="2" max="2" width="31.7109375" bestFit="1" customWidth="1"/>
    <col min="3" max="3" width="12.7109375" bestFit="1" customWidth="1"/>
  </cols>
  <sheetData>
    <row r="1" spans="1:3" ht="15.75" thickBot="1">
      <c r="A1" s="42" t="s">
        <v>640</v>
      </c>
      <c r="B1" s="42" t="s">
        <v>641</v>
      </c>
      <c r="C1" s="42" t="s">
        <v>642</v>
      </c>
    </row>
    <row r="2" spans="1:3">
      <c r="A2" s="43">
        <v>2023</v>
      </c>
      <c r="B2" s="43" t="s">
        <v>20</v>
      </c>
      <c r="C2" s="43">
        <v>24</v>
      </c>
    </row>
    <row r="3" spans="1:3">
      <c r="A3" s="43">
        <v>2023</v>
      </c>
      <c r="B3" s="43" t="s">
        <v>289</v>
      </c>
      <c r="C3" s="43">
        <v>3</v>
      </c>
    </row>
    <row r="4" spans="1:3">
      <c r="A4" s="43">
        <v>2023</v>
      </c>
      <c r="B4" s="43" t="s">
        <v>565</v>
      </c>
      <c r="C4" s="43">
        <v>1</v>
      </c>
    </row>
    <row r="5" spans="1:3">
      <c r="A5" s="43">
        <v>2023</v>
      </c>
      <c r="B5" s="43" t="s">
        <v>564</v>
      </c>
      <c r="C5" s="43">
        <v>1</v>
      </c>
    </row>
    <row r="6" spans="1:3">
      <c r="A6" s="43">
        <v>2023</v>
      </c>
      <c r="B6" s="43" t="s">
        <v>343</v>
      </c>
      <c r="C6" s="43">
        <v>1</v>
      </c>
    </row>
    <row r="7" spans="1:3">
      <c r="A7" s="43">
        <v>2024</v>
      </c>
      <c r="B7" s="43" t="s">
        <v>20</v>
      </c>
      <c r="C7" s="43">
        <v>6</v>
      </c>
    </row>
    <row r="8" spans="1:3">
      <c r="A8" s="43">
        <v>2024</v>
      </c>
      <c r="B8" s="43" t="s">
        <v>289</v>
      </c>
      <c r="C8" s="43">
        <v>15</v>
      </c>
    </row>
    <row r="9" spans="1:3">
      <c r="A9" s="43">
        <v>2024</v>
      </c>
      <c r="B9" s="43" t="s">
        <v>299</v>
      </c>
      <c r="C9" s="43">
        <v>12</v>
      </c>
    </row>
    <row r="10" spans="1:3">
      <c r="A10" s="43">
        <v>2024</v>
      </c>
      <c r="B10" s="43" t="s">
        <v>343</v>
      </c>
      <c r="C10" s="43">
        <v>1</v>
      </c>
    </row>
    <row r="11" spans="1:3">
      <c r="A11" s="43">
        <v>2024</v>
      </c>
      <c r="B11" s="43" t="s">
        <v>565</v>
      </c>
      <c r="C11" s="43">
        <v>1</v>
      </c>
    </row>
    <row r="12" spans="1:3">
      <c r="A12" s="43">
        <v>2024</v>
      </c>
      <c r="B12" s="43" t="s">
        <v>643</v>
      </c>
      <c r="C12" s="43">
        <v>2</v>
      </c>
    </row>
    <row r="13" spans="1:3">
      <c r="A13" s="43">
        <v>2024</v>
      </c>
      <c r="B13" s="43" t="s">
        <v>301</v>
      </c>
      <c r="C13" s="43">
        <v>1</v>
      </c>
    </row>
    <row r="14" spans="1:3">
      <c r="A14" s="43">
        <v>2025</v>
      </c>
      <c r="B14" s="43" t="s">
        <v>20</v>
      </c>
      <c r="C14" s="43">
        <v>1</v>
      </c>
    </row>
    <row r="15" spans="1:3">
      <c r="A15" s="43">
        <v>2025</v>
      </c>
      <c r="B15" s="43" t="s">
        <v>289</v>
      </c>
      <c r="C15" s="43">
        <v>8</v>
      </c>
    </row>
    <row r="16" spans="1:3">
      <c r="A16" s="43">
        <v>2025</v>
      </c>
      <c r="B16" s="43" t="s">
        <v>299</v>
      </c>
      <c r="C16" s="43">
        <v>10</v>
      </c>
    </row>
    <row r="17" spans="1:3">
      <c r="A17" s="43">
        <v>2025</v>
      </c>
      <c r="B17" s="43" t="s">
        <v>343</v>
      </c>
      <c r="C17" s="43">
        <v>2</v>
      </c>
    </row>
    <row r="18" spans="1:3">
      <c r="A18" s="43">
        <v>2025</v>
      </c>
      <c r="B18" s="43" t="s">
        <v>297</v>
      </c>
      <c r="C18" s="43">
        <v>4</v>
      </c>
    </row>
    <row r="25" spans="1:3" ht="15.75" thickBot="1"/>
    <row r="26" spans="1:3" ht="15.75" thickBot="1">
      <c r="B26" s="42" t="s">
        <v>641</v>
      </c>
      <c r="C26" s="42" t="s">
        <v>642</v>
      </c>
    </row>
    <row r="27" spans="1:3">
      <c r="B27" s="43" t="s">
        <v>20</v>
      </c>
      <c r="C27" s="43">
        <v>31</v>
      </c>
    </row>
    <row r="28" spans="1:3">
      <c r="B28" s="43" t="s">
        <v>297</v>
      </c>
      <c r="C28" s="43">
        <v>4</v>
      </c>
    </row>
    <row r="29" spans="1:3">
      <c r="B29" s="43" t="s">
        <v>343</v>
      </c>
      <c r="C29" s="43">
        <v>4</v>
      </c>
    </row>
    <row r="30" spans="1:3">
      <c r="B30" s="43" t="s">
        <v>289</v>
      </c>
      <c r="C30" s="43">
        <v>26</v>
      </c>
    </row>
    <row r="31" spans="1:3">
      <c r="B31" s="43" t="s">
        <v>565</v>
      </c>
      <c r="C31" s="43">
        <v>2</v>
      </c>
    </row>
    <row r="32" spans="1:3">
      <c r="B32" s="43" t="s">
        <v>564</v>
      </c>
      <c r="C32" s="43">
        <v>1</v>
      </c>
    </row>
    <row r="33" spans="2:3">
      <c r="B33" s="43" t="s">
        <v>301</v>
      </c>
      <c r="C33" s="43">
        <v>1</v>
      </c>
    </row>
    <row r="34" spans="2:3">
      <c r="B34" s="43" t="s">
        <v>643</v>
      </c>
      <c r="C34" s="43">
        <v>2</v>
      </c>
    </row>
    <row r="35" spans="2:3">
      <c r="B35" s="43" t="s">
        <v>299</v>
      </c>
      <c r="C35" s="43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Planilha1</vt:lpstr>
      <vt:lpstr>Planilha7</vt:lpstr>
      <vt:lpstr>SUL</vt:lpstr>
      <vt:lpstr>SUDESTE</vt:lpstr>
      <vt:lpstr>NORTE</vt:lpstr>
      <vt:lpstr>NORDESTE</vt:lpstr>
      <vt:lpstr>CENTRO-OESTE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Machado De Freitas Brito</dc:creator>
  <cp:lastModifiedBy>Bruna Machado De Freitas Brito</cp:lastModifiedBy>
  <dcterms:created xsi:type="dcterms:W3CDTF">2026-05-07T13:35:41Z</dcterms:created>
  <dcterms:modified xsi:type="dcterms:W3CDTF">2026-09-03T14:41:47Z</dcterms:modified>
</cp:coreProperties>
</file>