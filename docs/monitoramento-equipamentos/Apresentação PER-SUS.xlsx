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PROJETO RADIOTERAPIA\2026\8 - Controle PERSUS\Controle Leo\"/>
    </mc:Choice>
  </mc:AlternateContent>
  <bookViews>
    <workbookView xWindow="0" yWindow="0" windowWidth="17895" windowHeight="7965"/>
  </bookViews>
  <sheets>
    <sheet name="Panorama PER-SUS" sheetId="16" r:id="rId1"/>
    <sheet name="Obras retomadas" sheetId="17" r:id="rId2"/>
    <sheet name="Norte" sheetId="2" r:id="rId3"/>
    <sheet name="Nordeste" sheetId="3" r:id="rId4"/>
    <sheet name="Centro Oeste" sheetId="5" r:id="rId5"/>
    <sheet name="Sudeste" sheetId="4" r:id="rId6"/>
    <sheet name="Sul" sheetId="6" r:id="rId7"/>
  </sheets>
  <definedNames>
    <definedName name="_xlnm._FilterDatabase" localSheetId="4" hidden="1">'Centro Oeste'!#REF!</definedName>
    <definedName name="_xlnm._FilterDatabase" localSheetId="2" hidden="1">Norte!#REF!</definedName>
    <definedName name="_xlnm._FilterDatabase" localSheetId="1" hidden="1">'Obras retomadas'!$C$17:$O$25</definedName>
    <definedName name="_xlnm._FilterDatabase" localSheetId="0" hidden="1">'Panorama PER-SUS'!$A$12:$R$104</definedName>
    <definedName name="_xlnm._FilterDatabase" localSheetId="6" hidden="1">Sul!#REF!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3" i="16" l="1"/>
  <c r="K146" i="16" l="1"/>
  <c r="J146" i="16"/>
  <c r="I146" i="16"/>
  <c r="K143" i="16"/>
  <c r="K144" i="16"/>
  <c r="K145" i="16"/>
  <c r="K142" i="16"/>
  <c r="N106" i="16"/>
  <c r="H14" i="5" l="1"/>
  <c r="H9" i="2"/>
  <c r="U102" i="16" l="1"/>
  <c r="U98" i="16"/>
  <c r="U76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J15" i="17" l="1"/>
  <c r="I15" i="17"/>
  <c r="M14" i="17"/>
  <c r="M17" i="2" l="1"/>
  <c r="L17" i="2"/>
  <c r="N16" i="2"/>
  <c r="N15" i="2"/>
  <c r="N14" i="2"/>
  <c r="N17" i="2" l="1"/>
</calcChain>
</file>

<file path=xl/comments1.xml><?xml version="1.0" encoding="utf-8"?>
<comments xmlns="http://schemas.openxmlformats.org/spreadsheetml/2006/main">
  <authors>
    <author>Leonardo Barroso Hardman Vianna</author>
  </authors>
  <commentList>
    <comment ref="M20" authorId="0" shapeId="0">
      <text>
        <r>
          <rPr>
            <b/>
            <sz val="9"/>
            <color indexed="81"/>
            <rFont val="Segoe UI"/>
            <family val="2"/>
          </rPr>
          <t>Leonardo Barroso Hardman Vianna: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Site diferente</t>
        </r>
      </text>
    </comment>
    <comment ref="M25" authorId="0" shapeId="0">
      <text>
        <r>
          <rPr>
            <b/>
            <sz val="9"/>
            <color indexed="81"/>
            <rFont val="Segoe UI"/>
            <family val="2"/>
          </rPr>
          <t>Leonardo Barroso Hardman Vianna: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Site diferente</t>
        </r>
      </text>
    </comment>
  </commentList>
</comments>
</file>

<file path=xl/sharedStrings.xml><?xml version="1.0" encoding="utf-8"?>
<sst xmlns="http://schemas.openxmlformats.org/spreadsheetml/2006/main" count="1800" uniqueCount="360">
  <si>
    <t>Previsão</t>
  </si>
  <si>
    <t>Entregue</t>
  </si>
  <si>
    <t>Concluído</t>
  </si>
  <si>
    <t>Ampliação + equipamentos</t>
  </si>
  <si>
    <t>Construção com braquiterapia + equipamentos</t>
  </si>
  <si>
    <t>Equipamentos</t>
  </si>
  <si>
    <t>Item</t>
  </si>
  <si>
    <t>Tipologia</t>
  </si>
  <si>
    <t>Unidade Hospitalar</t>
  </si>
  <si>
    <t>Cidade</t>
  </si>
  <si>
    <t>Estado</t>
  </si>
  <si>
    <t>Situação</t>
  </si>
  <si>
    <t>A</t>
  </si>
  <si>
    <t>Hospital da Fundação Centro de Controle de Oncologia</t>
  </si>
  <si>
    <t>Manaus</t>
  </si>
  <si>
    <t>AM</t>
  </si>
  <si>
    <t>Hospital da Fundação Hospitalar Estadual do Acre</t>
  </si>
  <si>
    <t>AC</t>
  </si>
  <si>
    <t>Porto Velho</t>
  </si>
  <si>
    <t>RO</t>
  </si>
  <si>
    <t>C.B</t>
  </si>
  <si>
    <t xml:space="preserve">Hospital Geral de Roraima </t>
  </si>
  <si>
    <t>Boa Vista</t>
  </si>
  <si>
    <t xml:space="preserve">Hospital de Clinicas Dr. Alberto Lima </t>
  </si>
  <si>
    <t>Macapá</t>
  </si>
  <si>
    <t>AP</t>
  </si>
  <si>
    <t>Tipologias - Região Norte</t>
  </si>
  <si>
    <t>Santa Casa de Misericordia de Maceió</t>
  </si>
  <si>
    <t>Maceió</t>
  </si>
  <si>
    <t>AL</t>
  </si>
  <si>
    <t>Hospital Dom Pedro de Alcântara</t>
  </si>
  <si>
    <t>Feira de Santana</t>
  </si>
  <si>
    <t>BA</t>
  </si>
  <si>
    <t>Santa Casa de Misericórdia de Sobral</t>
  </si>
  <si>
    <t>Sobral</t>
  </si>
  <si>
    <t>CE</t>
  </si>
  <si>
    <t xml:space="preserve">Hospital e Maternidade São Vicente de Paulo </t>
  </si>
  <si>
    <t>Barbalha</t>
  </si>
  <si>
    <t>Instituto do Câncer do Ceará</t>
  </si>
  <si>
    <t>Fortaleza</t>
  </si>
  <si>
    <t>Fundação Hospitalar Assistencial da Paraíba</t>
  </si>
  <si>
    <t>Campina Grande</t>
  </si>
  <si>
    <t>PB</t>
  </si>
  <si>
    <t>Hospital do Câncer de Pernambuco</t>
  </si>
  <si>
    <t>Recife</t>
  </si>
  <si>
    <t>PE</t>
  </si>
  <si>
    <t>Hospital Governador João Alves Filho</t>
  </si>
  <si>
    <t>Aracajú</t>
  </si>
  <si>
    <t>SE</t>
  </si>
  <si>
    <t xml:space="preserve">Hospital Geral Roberto Santos CICAN </t>
  </si>
  <si>
    <t>Salvador</t>
  </si>
  <si>
    <t>C</t>
  </si>
  <si>
    <t>Hospital Cura D’ars Sociedade Beneficente São Camilo</t>
  </si>
  <si>
    <t>Instituto Materno Infantil de Pernambuco IMIP</t>
  </si>
  <si>
    <t>Hospital Universitário Prof. Alberto Antunes - HUPAA</t>
  </si>
  <si>
    <t>Hospital de Juazeiro</t>
  </si>
  <si>
    <t>Juazeiro</t>
  </si>
  <si>
    <t>Liga Norte Riograndense Contra o Câncer</t>
  </si>
  <si>
    <t>Natal</t>
  </si>
  <si>
    <t>RN</t>
  </si>
  <si>
    <t>Liga Mossoroense de Estudos e Combate ao Câncer</t>
  </si>
  <si>
    <t>Mossoró</t>
  </si>
  <si>
    <t xml:space="preserve">Hospital Geral de Vitória da Conquista </t>
  </si>
  <si>
    <t>Vitória da Conquista</t>
  </si>
  <si>
    <t xml:space="preserve">Hospital Dom Tomás </t>
  </si>
  <si>
    <t>Petrolina</t>
  </si>
  <si>
    <t>SPMIP/Hospital e Maternidade Marques Basto</t>
  </si>
  <si>
    <t>Parnaíba</t>
  </si>
  <si>
    <t>PI</t>
  </si>
  <si>
    <t>HU da Universidade Federal do Piauí</t>
  </si>
  <si>
    <t xml:space="preserve">Teresina </t>
  </si>
  <si>
    <t xml:space="preserve">Hospital Geral Tarquínio Lopes Filho </t>
  </si>
  <si>
    <t>São Luís</t>
  </si>
  <si>
    <t>MA</t>
  </si>
  <si>
    <t>Teixeira de Freitas</t>
  </si>
  <si>
    <t>Santa Casa de Misericórdia de Fortaleza</t>
  </si>
  <si>
    <t>Fundação Benjamin Guimarães Hospital da Baleia</t>
  </si>
  <si>
    <t>Belo Horizonte</t>
  </si>
  <si>
    <t>MG</t>
  </si>
  <si>
    <t>Hospital Hélio Angotti</t>
  </si>
  <si>
    <t>Uberaba</t>
  </si>
  <si>
    <t>Hospital do Câncer INCA I</t>
  </si>
  <si>
    <t>Rio de Janeiro</t>
  </si>
  <si>
    <t>RJ</t>
  </si>
  <si>
    <t>Hospital do Câncer INCA III</t>
  </si>
  <si>
    <t>Hospital das Clínicas Luzia de Pinho Melo</t>
  </si>
  <si>
    <t>Mogi das Cruzes</t>
  </si>
  <si>
    <t>SP</t>
  </si>
  <si>
    <t>Irmandade da Santa Casa de Misericórdia de Piracicaba</t>
  </si>
  <si>
    <t>Piracicaba</t>
  </si>
  <si>
    <t>Casa de Saúde Santa Marcelina</t>
  </si>
  <si>
    <t>São Paulo</t>
  </si>
  <si>
    <t>Irmandade da Santa Casa de Misericórdia de Araraquara</t>
  </si>
  <si>
    <t>Instituto Brasileiro de Controle do Câncer - IBCC</t>
  </si>
  <si>
    <t>Santa Casa de Misericórdia de Limeira/SP</t>
  </si>
  <si>
    <t>Limeira</t>
  </si>
  <si>
    <t>Hospital da Irmandade Santa Casa de Misericórdia</t>
  </si>
  <si>
    <t>Sorocaba</t>
  </si>
  <si>
    <t>Hospital Regional do Vale do Paraíba</t>
  </si>
  <si>
    <t>Taubaté</t>
  </si>
  <si>
    <t>Hospital Universitário Severino Sombra</t>
  </si>
  <si>
    <t>Vassouras</t>
  </si>
  <si>
    <t>Hospital São Francisco de Assis</t>
  </si>
  <si>
    <t>Jacareí</t>
  </si>
  <si>
    <t>Hospital Universitário São Francisco</t>
  </si>
  <si>
    <t>Bragança Paulista</t>
  </si>
  <si>
    <t>Conjunto Hospitalar de Sorocaba</t>
  </si>
  <si>
    <t>Hospital Anchieta Fundação ABC</t>
  </si>
  <si>
    <t>São Bernardo do Campo</t>
  </si>
  <si>
    <t>Hospital Estadual Mário Covas</t>
  </si>
  <si>
    <t>Santo André</t>
  </si>
  <si>
    <t>Hospital Municipal Dr. Tabajara Ramos</t>
  </si>
  <si>
    <t>Mogi Guaçu</t>
  </si>
  <si>
    <t>Hospital Estadual de Bauru</t>
  </si>
  <si>
    <t>Bauru</t>
  </si>
  <si>
    <t>Hospital de Clínicas FAMEMA</t>
  </si>
  <si>
    <t>Marília</t>
  </si>
  <si>
    <t>Hospital e Maternidade São José</t>
  </si>
  <si>
    <t>Colatina</t>
  </si>
  <si>
    <t>ES</t>
  </si>
  <si>
    <t xml:space="preserve">Hospital Fundação Beneficente Rio Doce </t>
  </si>
  <si>
    <t>Linhares</t>
  </si>
  <si>
    <t>Hospital Nossa Senhora das Dores</t>
  </si>
  <si>
    <t>Itabira</t>
  </si>
  <si>
    <t>Hospital São José</t>
  </si>
  <si>
    <t>Teresópolis</t>
  </si>
  <si>
    <t>Hospital Regional Darcy Vargas</t>
  </si>
  <si>
    <t>Rio Bonito</t>
  </si>
  <si>
    <t>Santa Casa de Misericórdia de Guarantinguetá</t>
  </si>
  <si>
    <t>Guaratinguetá</t>
  </si>
  <si>
    <t xml:space="preserve">Hospital Regional de Presidente Prudente </t>
  </si>
  <si>
    <t>Presidente Prudente</t>
  </si>
  <si>
    <t>Santa Casa de Misericórdia de Itapeva</t>
  </si>
  <si>
    <t>Itapeva</t>
  </si>
  <si>
    <t>Hospital Regional Dr. Leopoldo Bevilacqua</t>
  </si>
  <si>
    <t>Pariquera-Açú</t>
  </si>
  <si>
    <t>Hospital São Paulo</t>
  </si>
  <si>
    <t>Hospital Federal do Andaraí</t>
  </si>
  <si>
    <t>Santa Casa Misericórdia de Marília</t>
  </si>
  <si>
    <t>Santa Casa de Misericórdia e Maternidade de Rondonópolis</t>
  </si>
  <si>
    <t>Rondonópolis</t>
  </si>
  <si>
    <t>MT</t>
  </si>
  <si>
    <t>Campo Grande</t>
  </si>
  <si>
    <t>MS</t>
  </si>
  <si>
    <t>Hospital das Clínicas da Universidade Federal de Goiás</t>
  </si>
  <si>
    <t>Goiânia</t>
  </si>
  <si>
    <t>GO</t>
  </si>
  <si>
    <t>Santa Casa de Misericórdia de Anápolis</t>
  </si>
  <si>
    <t>Anápolis</t>
  </si>
  <si>
    <t xml:space="preserve">Hospital Santo Antônio </t>
  </si>
  <si>
    <t>Sinop</t>
  </si>
  <si>
    <t xml:space="preserve">Hospital Regional de Mato Grosso do Sul </t>
  </si>
  <si>
    <t>Hospital Santo Antônio</t>
  </si>
  <si>
    <t>Blumenau</t>
  </si>
  <si>
    <t>SC</t>
  </si>
  <si>
    <t>Hospital Bruno Born</t>
  </si>
  <si>
    <t>Lajeado</t>
  </si>
  <si>
    <t>RS</t>
  </si>
  <si>
    <t>Hospital Geral de Caxias do Sul</t>
  </si>
  <si>
    <t>Caxias do Sul</t>
  </si>
  <si>
    <t>Hospital de Clínicas da Universidade Federal do Paraná</t>
  </si>
  <si>
    <t>PR</t>
  </si>
  <si>
    <t>Hospital Erasto Gaertner</t>
  </si>
  <si>
    <t>Curitiba</t>
  </si>
  <si>
    <t>Hospital Escola da Universidade Federal de Pelotas</t>
  </si>
  <si>
    <t>Pelotas</t>
  </si>
  <si>
    <t>Hospital das Clínicas de Porto Alegre/RS</t>
  </si>
  <si>
    <t>Porto Alegre</t>
  </si>
  <si>
    <t>Hospital Regional do Oeste</t>
  </si>
  <si>
    <t>Chapecó</t>
  </si>
  <si>
    <t>Instituto de Câncer de Londrina</t>
  </si>
  <si>
    <t>Londrina</t>
  </si>
  <si>
    <t>Hospital Santa Casa de Misericórdia</t>
  </si>
  <si>
    <t>Campo Mourão</t>
  </si>
  <si>
    <t>Hospital Ana Nery</t>
  </si>
  <si>
    <t>Santa Cruz do Sul</t>
  </si>
  <si>
    <t>Santa Casa de Misericórdia de Pelotas/RS</t>
  </si>
  <si>
    <t>Hospital Universitário de Santa Maria</t>
  </si>
  <si>
    <t>Santa Maria</t>
  </si>
  <si>
    <t>Hospital Marieta Konder</t>
  </si>
  <si>
    <t>Itajaí</t>
  </si>
  <si>
    <t>Hospital N. Sra. da Conceição</t>
  </si>
  <si>
    <t>Tubarão</t>
  </si>
  <si>
    <t>Hospital de Caridade São Vicente de Paulo</t>
  </si>
  <si>
    <t>Guarapuava</t>
  </si>
  <si>
    <t>Hospital da Santa Casa de Caridade de Bagé</t>
  </si>
  <si>
    <t>Bagé</t>
  </si>
  <si>
    <t>Hospital Universitário Santa Terezinha</t>
  </si>
  <si>
    <t>Joaçaba</t>
  </si>
  <si>
    <t>Hospital Angelina Caron</t>
  </si>
  <si>
    <t>Campina Grande do Sul</t>
  </si>
  <si>
    <t>Hospital Norte Paranaense HONPAR</t>
  </si>
  <si>
    <t>Arapongas</t>
  </si>
  <si>
    <t>Grupo Hospitalar Conceição</t>
  </si>
  <si>
    <t>Hospital Universitário Maria Aparecida Pedrossian</t>
  </si>
  <si>
    <t>Hospital Universitário de Brasília</t>
  </si>
  <si>
    <t>Brasília</t>
  </si>
  <si>
    <t>DF</t>
  </si>
  <si>
    <t xml:space="preserve">Hospital Regional de Taguatinga </t>
  </si>
  <si>
    <t>Taguatinga</t>
  </si>
  <si>
    <t>ESTRUTURA DO PER-SUS</t>
  </si>
  <si>
    <t>Hospital do Oeste</t>
  </si>
  <si>
    <t>Barreiras</t>
  </si>
  <si>
    <t>Araraquara</t>
  </si>
  <si>
    <t>Hospital Universitário Clementino Fraga Filho</t>
  </si>
  <si>
    <t>-</t>
  </si>
  <si>
    <t>Total Região Norte</t>
  </si>
  <si>
    <t>Rio Branco</t>
  </si>
  <si>
    <t>Inauguradas</t>
  </si>
  <si>
    <t>Aguardando inauguração</t>
  </si>
  <si>
    <t>Quantidade</t>
  </si>
  <si>
    <t>Observação</t>
  </si>
  <si>
    <t>LEGENDA</t>
  </si>
  <si>
    <t>Ampliação</t>
  </si>
  <si>
    <t>Construção</t>
  </si>
  <si>
    <t>Construção com Braquiterapia</t>
  </si>
  <si>
    <t xml:space="preserve">Hospital Municipal de Teixeira de Freitas </t>
  </si>
  <si>
    <t>Inaugurada</t>
  </si>
  <si>
    <t>NOVO PAC</t>
  </si>
  <si>
    <t xml:space="preserve">Total </t>
  </si>
  <si>
    <t>RR</t>
  </si>
  <si>
    <t>TEXTO</t>
  </si>
  <si>
    <t>CV</t>
  </si>
  <si>
    <t>EO</t>
  </si>
  <si>
    <t xml:space="preserve">Casamata vazia </t>
  </si>
  <si>
    <t>Equipamento Obsoleto</t>
  </si>
  <si>
    <t>Novo PAC</t>
  </si>
  <si>
    <t>Licença de Operação</t>
  </si>
  <si>
    <t>Ordem de Serviço</t>
  </si>
  <si>
    <t>TRP</t>
  </si>
  <si>
    <t>TIPOLOGIA</t>
  </si>
  <si>
    <t>QUANTIDADE</t>
  </si>
  <si>
    <t>CONCLUÍDAS</t>
  </si>
  <si>
    <t>Investimento total MS</t>
  </si>
  <si>
    <t>TRD</t>
  </si>
  <si>
    <t>PERSUS</t>
  </si>
  <si>
    <t>AMPLIAÇÃO</t>
  </si>
  <si>
    <t>CONSTRUÇÃO SEM BRAQUITERAPIA</t>
  </si>
  <si>
    <t>EQUIPAMENTO OBSOLETO / CASAMATA VAZIA</t>
  </si>
  <si>
    <t>CONSTRUÇÃO COM BRAQUITERAPIA</t>
  </si>
  <si>
    <t>1.Inaugurada</t>
  </si>
  <si>
    <t>2.Apta para inaugurar</t>
  </si>
  <si>
    <t>4.SCRA em preparação</t>
  </si>
  <si>
    <t>5.Não apto</t>
  </si>
  <si>
    <t>---</t>
  </si>
  <si>
    <t>3.SCRA em análise - CNEN</t>
  </si>
  <si>
    <t>Não aptas</t>
  </si>
  <si>
    <t>1.Inaugurada *</t>
  </si>
  <si>
    <t>Ag LO</t>
  </si>
  <si>
    <t>Região</t>
  </si>
  <si>
    <t>Nordeste</t>
  </si>
  <si>
    <t>Sul</t>
  </si>
  <si>
    <t>Centro-Oeste</t>
  </si>
  <si>
    <t>Sudeste</t>
  </si>
  <si>
    <t>Norte</t>
  </si>
  <si>
    <t>S</t>
  </si>
  <si>
    <t>Não inaugurada</t>
  </si>
  <si>
    <t>CHEGADA NA OBRA</t>
  </si>
  <si>
    <t>PRAZO TOTAL</t>
  </si>
  <si>
    <t>CNES</t>
  </si>
  <si>
    <t>2006197</t>
  </si>
  <si>
    <t>2007037</t>
  </si>
  <si>
    <t>2020645</t>
  </si>
  <si>
    <t>3972925</t>
  </si>
  <si>
    <t>2601680</t>
  </si>
  <si>
    <t>4028155</t>
  </si>
  <si>
    <t>0003859</t>
  </si>
  <si>
    <t>2301318</t>
  </si>
  <si>
    <t>2402076</t>
  </si>
  <si>
    <t>3021114</t>
  </si>
  <si>
    <t>2611686</t>
  </si>
  <si>
    <t>2651394</t>
  </si>
  <si>
    <t>0010510</t>
  </si>
  <si>
    <t>0010499</t>
  </si>
  <si>
    <t>2465833</t>
  </si>
  <si>
    <t>2338424</t>
  </si>
  <si>
    <t>2361787</t>
  </si>
  <si>
    <t>2646536</t>
  </si>
  <si>
    <t>2695324</t>
  </si>
  <si>
    <t>2165058</t>
  </si>
  <si>
    <t>2111640</t>
  </si>
  <si>
    <t>0009709</t>
  </si>
  <si>
    <t>0009725</t>
  </si>
  <si>
    <t>2396866</t>
  </si>
  <si>
    <t>2315793</t>
  </si>
  <si>
    <t>0000582</t>
  </si>
  <si>
    <t>0000434</t>
  </si>
  <si>
    <t>9262407</t>
  </si>
  <si>
    <t>3285391</t>
  </si>
  <si>
    <t>4009444</t>
  </si>
  <si>
    <t>2384299</t>
  </si>
  <si>
    <t>0015644</t>
  </si>
  <si>
    <t>0014109</t>
  </si>
  <si>
    <t>2576341</t>
  </si>
  <si>
    <t>0013633</t>
  </si>
  <si>
    <t>2273454</t>
  </si>
  <si>
    <t>2296241</t>
  </si>
  <si>
    <t>2409194</t>
  </si>
  <si>
    <t>3675580</t>
  </si>
  <si>
    <t>2319659</t>
  </si>
  <si>
    <t>2252287</t>
  </si>
  <si>
    <t>2223538</t>
  </si>
  <si>
    <t>2252694</t>
  </si>
  <si>
    <t>2237601</t>
  </si>
  <si>
    <t>2255936</t>
  </si>
  <si>
    <t>2253054</t>
  </si>
  <si>
    <t>2261987</t>
  </si>
  <si>
    <t>2244306</t>
  </si>
  <si>
    <t>2237571</t>
  </si>
  <si>
    <t>2558254</t>
  </si>
  <si>
    <t>2537788</t>
  </si>
  <si>
    <t>2522691</t>
  </si>
  <si>
    <t>2560771</t>
  </si>
  <si>
    <t>2816210</t>
  </si>
  <si>
    <t>2080680</t>
  </si>
  <si>
    <t>2772310</t>
  </si>
  <si>
    <t>2082527</t>
  </si>
  <si>
    <t>2085194</t>
  </si>
  <si>
    <t>2081458</t>
  </si>
  <si>
    <t xml:space="preserve">
2083116</t>
  </si>
  <si>
    <t>2096498</t>
  </si>
  <si>
    <t>2755130</t>
  </si>
  <si>
    <t>2080273</t>
  </si>
  <si>
    <t>2077485</t>
  </si>
  <si>
    <t>2077590</t>
  </si>
  <si>
    <t>2081695</t>
  </si>
  <si>
    <t>2708779</t>
  </si>
  <si>
    <t>3126838</t>
  </si>
  <si>
    <t>Hospital de Amor Amazônia - Fundação Pio XII</t>
  </si>
  <si>
    <t>Aguardando abertura do SCRA. Em testes finais</t>
  </si>
  <si>
    <t>Situação PAC</t>
  </si>
  <si>
    <t>Novo Pac</t>
  </si>
  <si>
    <t>Não Pac</t>
  </si>
  <si>
    <t>Data Inauguração</t>
  </si>
  <si>
    <t>Não há</t>
  </si>
  <si>
    <t>Município</t>
  </si>
  <si>
    <t>AG. LO</t>
  </si>
  <si>
    <t>Hospital Geral do Oeste</t>
  </si>
  <si>
    <t>2026SCRA1520</t>
  </si>
  <si>
    <t>Obra paralisada. Em processo de contratação emergencial</t>
  </si>
  <si>
    <t>2026SCRA1284</t>
  </si>
  <si>
    <t>2026SCRA1336</t>
  </si>
  <si>
    <t>Aguardando Licença de operação</t>
  </si>
  <si>
    <t>Divergências documentais com hospital. Pendente TRD e Termo de Aceite da Solução</t>
  </si>
  <si>
    <t>Em conclusão infraestrutura decorrente da ligação definitiva. Previsão obra para novembro</t>
  </si>
  <si>
    <t>Casamata Vazia</t>
  </si>
  <si>
    <t>Concluídas</t>
  </si>
  <si>
    <t>Entregas</t>
  </si>
  <si>
    <t>TOTAL PERSUS</t>
  </si>
  <si>
    <t>SITUAÇÃO PERSUS</t>
  </si>
  <si>
    <t>Plano de Expansão da Radioterapia no SUS</t>
  </si>
  <si>
    <t>Total</t>
  </si>
  <si>
    <t>Natureza</t>
  </si>
  <si>
    <t>Filantrópico</t>
  </si>
  <si>
    <t>EBSERH</t>
  </si>
  <si>
    <t>Estadual</t>
  </si>
  <si>
    <t>Federal</t>
  </si>
  <si>
    <t>Municipal</t>
  </si>
  <si>
    <t>Entrega dos dados da CNEN para agosto. Previsão para outubro</t>
  </si>
  <si>
    <t>Aguardando somente inauguração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</si>
</sst>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[$R$-416]\ * #,##0.00_-;\-[$R$-416]\ * #,##0.00_-;_-[$R$-416]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indexed="81"/>
      <name val="Segoe UI"/>
      <family val="2"/>
    </font>
    <font>
      <sz val="13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theme="0"/>
        </stop>
        <stop position="1">
          <color theme="4" tint="0.59999389629810485"/>
        </stop>
      </gradientFill>
    </fill>
    <fill>
      <gradientFill>
        <stop position="0">
          <color theme="0"/>
        </stop>
        <stop position="1">
          <color theme="9" tint="0.80001220740379042"/>
        </stop>
      </gradientFill>
    </fill>
    <fill>
      <gradientFill>
        <stop position="0">
          <color theme="0"/>
        </stop>
        <stop position="1">
          <color theme="7" tint="0.80001220740379042"/>
        </stop>
      </gradientFill>
    </fill>
    <fill>
      <patternFill patternType="solid">
        <fgColor theme="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6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16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/>
    <xf numFmtId="0" fontId="0" fillId="3" borderId="0" xfId="0" applyFill="1"/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9" fontId="3" fillId="0" borderId="1" xfId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7" fillId="5" borderId="5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9" fontId="3" fillId="3" borderId="4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0" fillId="2" borderId="9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indent="1"/>
    </xf>
    <xf numFmtId="0" fontId="3" fillId="0" borderId="4" xfId="0" applyFont="1" applyBorder="1" applyAlignment="1">
      <alignment horizontal="right"/>
    </xf>
    <xf numFmtId="0" fontId="0" fillId="3" borderId="6" xfId="0" applyFill="1" applyBorder="1" applyAlignment="1">
      <alignment horizontal="left" vertical="center" indent="1"/>
    </xf>
    <xf numFmtId="0" fontId="10" fillId="2" borderId="9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indent="1"/>
    </xf>
    <xf numFmtId="0" fontId="0" fillId="0" borderId="7" xfId="0" applyBorder="1"/>
    <xf numFmtId="44" fontId="0" fillId="0" borderId="0" xfId="2" applyFont="1"/>
    <xf numFmtId="0" fontId="13" fillId="3" borderId="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indent="1"/>
    </xf>
    <xf numFmtId="0" fontId="0" fillId="0" borderId="0" xfId="0" applyBorder="1"/>
    <xf numFmtId="0" fontId="7" fillId="11" borderId="14" xfId="0" applyFont="1" applyFill="1" applyBorder="1" applyAlignment="1">
      <alignment horizontal="justify" vertical="center"/>
    </xf>
    <xf numFmtId="0" fontId="7" fillId="11" borderId="10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/>
    </xf>
    <xf numFmtId="0" fontId="7" fillId="13" borderId="15" xfId="0" applyFont="1" applyFill="1" applyBorder="1" applyAlignment="1">
      <alignment horizontal="justify" vertical="center"/>
    </xf>
    <xf numFmtId="0" fontId="7" fillId="13" borderId="8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/>
    </xf>
    <xf numFmtId="0" fontId="2" fillId="12" borderId="19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 wrapText="1"/>
    </xf>
    <xf numFmtId="0" fontId="7" fillId="13" borderId="17" xfId="0" applyFont="1" applyFill="1" applyBorder="1" applyAlignment="1">
      <alignment horizontal="center" vertical="center" wrapText="1"/>
    </xf>
    <xf numFmtId="44" fontId="0" fillId="0" borderId="0" xfId="2" applyFont="1" applyAlignment="1"/>
    <xf numFmtId="44" fontId="10" fillId="2" borderId="9" xfId="2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3" borderId="0" xfId="0" applyFill="1" applyBorder="1" applyAlignment="1">
      <alignment horizontal="center" vertical="center"/>
    </xf>
    <xf numFmtId="14" fontId="7" fillId="0" borderId="12" xfId="0" applyNumberFormat="1" applyFont="1" applyFill="1" applyBorder="1" applyAlignment="1">
      <alignment horizontal="center" vertical="center"/>
    </xf>
    <xf numFmtId="14" fontId="15" fillId="0" borderId="12" xfId="0" applyNumberFormat="1" applyFont="1" applyFill="1" applyBorder="1" applyAlignment="1">
      <alignment horizontal="center" vertical="center"/>
    </xf>
    <xf numFmtId="14" fontId="7" fillId="0" borderId="22" xfId="0" applyNumberFormat="1" applyFont="1" applyFill="1" applyBorder="1" applyAlignment="1">
      <alignment horizontal="center" vertical="center"/>
    </xf>
    <xf numFmtId="14" fontId="9" fillId="3" borderId="12" xfId="0" applyNumberFormat="1" applyFont="1" applyFill="1" applyBorder="1" applyAlignment="1">
      <alignment horizontal="center" vertical="center" wrapText="1"/>
    </xf>
    <xf numFmtId="14" fontId="9" fillId="3" borderId="11" xfId="0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vertical="center" wrapText="1"/>
    </xf>
    <xf numFmtId="0" fontId="9" fillId="3" borderId="12" xfId="0" applyFont="1" applyFill="1" applyBorder="1" applyAlignment="1">
      <alignment horizontal="center" vertical="center" wrapText="1"/>
    </xf>
    <xf numFmtId="14" fontId="15" fillId="3" borderId="12" xfId="0" applyNumberFormat="1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 wrapText="1"/>
    </xf>
    <xf numFmtId="14" fontId="7" fillId="3" borderId="12" xfId="0" applyNumberFormat="1" applyFont="1" applyFill="1" applyBorder="1" applyAlignment="1">
      <alignment horizontal="center" vertical="center"/>
    </xf>
    <xf numFmtId="14" fontId="15" fillId="3" borderId="12" xfId="0" applyNumberFormat="1" applyFont="1" applyFill="1" applyBorder="1" applyAlignment="1" applyProtection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44" fontId="20" fillId="0" borderId="12" xfId="2" applyFont="1" applyBorder="1" applyAlignment="1">
      <alignment vertical="center"/>
    </xf>
    <xf numFmtId="0" fontId="7" fillId="11" borderId="23" xfId="0" applyFont="1" applyFill="1" applyBorder="1" applyAlignment="1">
      <alignment horizontal="justify" vertical="center"/>
    </xf>
    <xf numFmtId="0" fontId="7" fillId="11" borderId="24" xfId="0" applyFont="1" applyFill="1" applyBorder="1" applyAlignment="1">
      <alignment horizontal="center" vertical="center" wrapText="1"/>
    </xf>
    <xf numFmtId="0" fontId="7" fillId="11" borderId="25" xfId="0" applyFont="1" applyFill="1" applyBorder="1" applyAlignment="1">
      <alignment horizontal="center" vertical="center" wrapText="1"/>
    </xf>
    <xf numFmtId="9" fontId="3" fillId="3" borderId="26" xfId="0" applyNumberFormat="1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/>
    </xf>
    <xf numFmtId="0" fontId="3" fillId="0" borderId="27" xfId="0" applyFont="1" applyBorder="1" applyAlignment="1">
      <alignment horizontal="right"/>
    </xf>
    <xf numFmtId="0" fontId="7" fillId="5" borderId="28" xfId="0" applyFont="1" applyFill="1" applyBorder="1" applyAlignment="1">
      <alignment horizontal="left" vertical="center"/>
    </xf>
    <xf numFmtId="0" fontId="7" fillId="4" borderId="29" xfId="0" applyFont="1" applyFill="1" applyBorder="1" applyAlignment="1">
      <alignment horizontal="left" vertical="center"/>
    </xf>
    <xf numFmtId="0" fontId="7" fillId="6" borderId="29" xfId="0" applyFont="1" applyFill="1" applyBorder="1" applyAlignment="1">
      <alignment horizontal="left" vertical="center"/>
    </xf>
    <xf numFmtId="0" fontId="7" fillId="6" borderId="30" xfId="0" applyFont="1" applyFill="1" applyBorder="1" applyAlignment="1">
      <alignment horizontal="left" vertical="center"/>
    </xf>
    <xf numFmtId="0" fontId="9" fillId="14" borderId="12" xfId="0" applyFont="1" applyFill="1" applyBorder="1" applyAlignment="1">
      <alignment horizontal="left" vertical="center" wrapText="1"/>
    </xf>
    <xf numFmtId="0" fontId="9" fillId="10" borderId="12" xfId="0" applyFont="1" applyFill="1" applyBorder="1" applyAlignment="1">
      <alignment horizontal="left" vertical="center" wrapText="1"/>
    </xf>
    <xf numFmtId="0" fontId="9" fillId="13" borderId="12" xfId="0" applyFont="1" applyFill="1" applyBorder="1" applyAlignment="1">
      <alignment horizontal="left" vertical="center"/>
    </xf>
    <xf numFmtId="0" fontId="9" fillId="8" borderId="1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14" borderId="22" xfId="0" applyFont="1" applyFill="1" applyBorder="1" applyAlignment="1">
      <alignment horizontal="left" vertical="center" wrapText="1"/>
    </xf>
    <xf numFmtId="0" fontId="9" fillId="15" borderId="12" xfId="0" applyFont="1" applyFill="1" applyBorder="1" applyAlignment="1">
      <alignment horizontal="left" vertical="center"/>
    </xf>
    <xf numFmtId="14" fontId="15" fillId="3" borderId="22" xfId="0" applyNumberFormat="1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>
      <alignment vertical="center" wrapText="1"/>
    </xf>
    <xf numFmtId="0" fontId="19" fillId="3" borderId="22" xfId="0" applyFont="1" applyFill="1" applyBorder="1" applyAlignment="1">
      <alignment vertical="center" wrapText="1"/>
    </xf>
    <xf numFmtId="0" fontId="19" fillId="3" borderId="12" xfId="0" applyFont="1" applyFill="1" applyBorder="1" applyAlignment="1">
      <alignment horizontal="center" vertical="center"/>
    </xf>
    <xf numFmtId="0" fontId="19" fillId="3" borderId="22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vertical="center" wrapText="1"/>
    </xf>
    <xf numFmtId="0" fontId="9" fillId="3" borderId="0" xfId="0" applyFont="1" applyFill="1" applyBorder="1" applyAlignment="1">
      <alignment horizontal="left" vertical="center"/>
    </xf>
    <xf numFmtId="0" fontId="19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vertical="center" wrapText="1"/>
    </xf>
    <xf numFmtId="14" fontId="7" fillId="0" borderId="0" xfId="0" applyNumberFormat="1" applyFont="1" applyFill="1" applyBorder="1" applyAlignment="1">
      <alignment horizontal="center" vertical="center"/>
    </xf>
    <xf numFmtId="14" fontId="15" fillId="3" borderId="0" xfId="0" applyNumberFormat="1" applyFont="1" applyFill="1" applyBorder="1" applyAlignment="1" applyProtection="1">
      <alignment horizontal="center" vertical="center" wrapText="1"/>
    </xf>
    <xf numFmtId="14" fontId="7" fillId="3" borderId="0" xfId="0" applyNumberFormat="1" applyFont="1" applyFill="1" applyBorder="1" applyAlignment="1">
      <alignment horizontal="center" vertical="center"/>
    </xf>
    <xf numFmtId="44" fontId="20" fillId="0" borderId="0" xfId="2" applyFont="1" applyBorder="1" applyAlignment="1">
      <alignment vertical="center"/>
    </xf>
    <xf numFmtId="0" fontId="9" fillId="14" borderId="0" xfId="0" applyFont="1" applyFill="1" applyBorder="1" applyAlignment="1">
      <alignment horizontal="left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44" fontId="19" fillId="0" borderId="12" xfId="2" applyFont="1" applyBorder="1" applyAlignment="1">
      <alignment vertical="center"/>
    </xf>
    <xf numFmtId="14" fontId="0" fillId="0" borderId="0" xfId="0" applyNumberFormat="1" applyAlignment="1">
      <alignment vertical="center"/>
    </xf>
    <xf numFmtId="164" fontId="0" fillId="0" borderId="0" xfId="3" applyNumberFormat="1" applyFont="1" applyAlignment="1">
      <alignment vertical="center"/>
    </xf>
    <xf numFmtId="14" fontId="0" fillId="0" borderId="0" xfId="0" applyNumberFormat="1"/>
    <xf numFmtId="0" fontId="19" fillId="16" borderId="12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left" vertical="center" wrapText="1"/>
    </xf>
    <xf numFmtId="14" fontId="9" fillId="0" borderId="12" xfId="0" applyNumberFormat="1" applyFont="1" applyFill="1" applyBorder="1" applyAlignment="1">
      <alignment horizontal="center" vertical="center"/>
    </xf>
    <xf numFmtId="14" fontId="19" fillId="0" borderId="12" xfId="0" applyNumberFormat="1" applyFont="1" applyFill="1" applyBorder="1" applyAlignment="1">
      <alignment horizontal="center" vertical="center"/>
    </xf>
    <xf numFmtId="14" fontId="9" fillId="3" borderId="12" xfId="0" applyNumberFormat="1" applyFont="1" applyFill="1" applyBorder="1" applyAlignment="1">
      <alignment horizontal="center" vertical="center"/>
    </xf>
    <xf numFmtId="14" fontId="9" fillId="3" borderId="12" xfId="0" quotePrefix="1" applyNumberFormat="1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left" vertical="center" wrapText="1"/>
    </xf>
    <xf numFmtId="0" fontId="21" fillId="9" borderId="12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44" fontId="19" fillId="0" borderId="31" xfId="2" applyFont="1" applyBorder="1" applyAlignment="1">
      <alignment horizontal="center" vertical="center"/>
    </xf>
    <xf numFmtId="44" fontId="19" fillId="0" borderId="12" xfId="2" applyFont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14" fontId="9" fillId="18" borderId="12" xfId="0" applyNumberFormat="1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36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44" fontId="10" fillId="2" borderId="35" xfId="2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0" fillId="0" borderId="40" xfId="0" applyBorder="1" applyAlignment="1">
      <alignment vertical="center"/>
    </xf>
    <xf numFmtId="0" fontId="9" fillId="3" borderId="41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left" vertical="center" wrapText="1"/>
    </xf>
    <xf numFmtId="0" fontId="19" fillId="3" borderId="43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 wrapText="1"/>
    </xf>
    <xf numFmtId="14" fontId="9" fillId="3" borderId="43" xfId="0" applyNumberFormat="1" applyFont="1" applyFill="1" applyBorder="1" applyAlignment="1">
      <alignment horizontal="center" vertical="center"/>
    </xf>
    <xf numFmtId="0" fontId="11" fillId="17" borderId="43" xfId="0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165" fontId="19" fillId="0" borderId="12" xfId="2" applyNumberFormat="1" applyFont="1" applyBorder="1" applyAlignment="1">
      <alignment vertical="center" wrapText="1"/>
    </xf>
    <xf numFmtId="44" fontId="19" fillId="0" borderId="31" xfId="2" applyFont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 wrapText="1"/>
    </xf>
    <xf numFmtId="0" fontId="21" fillId="9" borderId="32" xfId="0" applyFont="1" applyFill="1" applyBorder="1" applyAlignment="1">
      <alignment horizontal="center" vertical="center" wrapText="1"/>
    </xf>
    <xf numFmtId="0" fontId="21" fillId="9" borderId="33" xfId="0" applyFont="1" applyFill="1" applyBorder="1" applyAlignment="1">
      <alignment horizontal="center" vertical="center" wrapText="1"/>
    </xf>
    <xf numFmtId="0" fontId="21" fillId="9" borderId="12" xfId="0" applyFont="1" applyFill="1" applyBorder="1" applyAlignment="1">
      <alignment horizontal="center" vertical="center" wrapText="1"/>
    </xf>
    <xf numFmtId="44" fontId="19" fillId="0" borderId="12" xfId="2" applyFont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44" fontId="19" fillId="3" borderId="12" xfId="2" applyFont="1" applyFill="1" applyBorder="1" applyAlignment="1">
      <alignment vertical="center"/>
    </xf>
    <xf numFmtId="44" fontId="19" fillId="3" borderId="12" xfId="2" applyFont="1" applyFill="1" applyBorder="1" applyAlignment="1">
      <alignment horizontal="center" vertical="center"/>
    </xf>
    <xf numFmtId="165" fontId="19" fillId="3" borderId="12" xfId="2" applyNumberFormat="1" applyFont="1" applyFill="1" applyBorder="1" applyAlignment="1">
      <alignment vertical="center" wrapText="1"/>
    </xf>
    <xf numFmtId="44" fontId="19" fillId="3" borderId="12" xfId="2" applyFont="1" applyFill="1" applyBorder="1" applyAlignment="1">
      <alignment horizontal="center" vertical="center" wrapText="1"/>
    </xf>
    <xf numFmtId="44" fontId="19" fillId="3" borderId="43" xfId="2" applyFont="1" applyFill="1" applyBorder="1" applyAlignment="1">
      <alignment vertical="center"/>
    </xf>
    <xf numFmtId="44" fontId="19" fillId="3" borderId="43" xfId="2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left" vertical="center"/>
    </xf>
    <xf numFmtId="44" fontId="0" fillId="0" borderId="0" xfId="0" applyNumberFormat="1"/>
    <xf numFmtId="0" fontId="9" fillId="3" borderId="45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14" fontId="22" fillId="18" borderId="12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19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3" fillId="0" borderId="48" xfId="0" applyFont="1" applyBorder="1" applyAlignment="1">
      <alignment horizontal="center" wrapText="1"/>
    </xf>
    <xf numFmtId="9" fontId="3" fillId="0" borderId="49" xfId="1" applyFont="1" applyBorder="1" applyAlignment="1">
      <alignment horizontal="center" wrapText="1"/>
    </xf>
    <xf numFmtId="0" fontId="2" fillId="19" borderId="50" xfId="0" applyFont="1" applyFill="1" applyBorder="1" applyAlignment="1">
      <alignment horizontal="center"/>
    </xf>
    <xf numFmtId="0" fontId="2" fillId="19" borderId="52" xfId="0" applyFont="1" applyFill="1" applyBorder="1" applyAlignment="1">
      <alignment horizontal="center"/>
    </xf>
    <xf numFmtId="9" fontId="0" fillId="0" borderId="53" xfId="1" applyFont="1" applyBorder="1" applyAlignment="1">
      <alignment wrapText="1"/>
    </xf>
    <xf numFmtId="9" fontId="0" fillId="0" borderId="55" xfId="1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19" borderId="56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23" fillId="0" borderId="40" xfId="0" applyFont="1" applyBorder="1" applyAlignment="1">
      <alignment vertical="center"/>
    </xf>
    <xf numFmtId="0" fontId="0" fillId="0" borderId="44" xfId="0" applyBorder="1" applyAlignment="1">
      <alignment vertic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2" fillId="19" borderId="1" xfId="0" applyFont="1" applyFill="1" applyBorder="1" applyAlignment="1">
      <alignment horizontal="center"/>
    </xf>
    <xf numFmtId="0" fontId="2" fillId="19" borderId="47" xfId="0" applyFont="1" applyFill="1" applyBorder="1" applyAlignment="1">
      <alignment horizontal="center"/>
    </xf>
    <xf numFmtId="0" fontId="2" fillId="19" borderId="48" xfId="0" applyFont="1" applyFill="1" applyBorder="1" applyAlignment="1">
      <alignment horizontal="center"/>
    </xf>
    <xf numFmtId="0" fontId="2" fillId="19" borderId="51" xfId="0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vertical="center" wrapText="1"/>
    </xf>
    <xf numFmtId="0" fontId="19" fillId="3" borderId="11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vertical="center" wrapText="1"/>
    </xf>
    <xf numFmtId="0" fontId="19" fillId="3" borderId="11" xfId="0" applyFont="1" applyFill="1" applyBorder="1" applyAlignment="1">
      <alignment horizontal="center" vertical="center" wrapText="1"/>
    </xf>
    <xf numFmtId="44" fontId="19" fillId="3" borderId="31" xfId="2" applyFont="1" applyFill="1" applyBorder="1" applyAlignment="1">
      <alignment horizontal="center" vertical="center"/>
    </xf>
    <xf numFmtId="44" fontId="19" fillId="3" borderId="31" xfId="2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vertical="center" wrapText="1"/>
    </xf>
    <xf numFmtId="14" fontId="9" fillId="0" borderId="43" xfId="0" applyNumberFormat="1" applyFont="1" applyFill="1" applyBorder="1" applyAlignment="1">
      <alignment horizontal="center" vertical="center"/>
    </xf>
    <xf numFmtId="14" fontId="9" fillId="3" borderId="43" xfId="0" applyNumberFormat="1" applyFont="1" applyFill="1" applyBorder="1" applyAlignment="1">
      <alignment horizontal="center" vertical="center" wrapText="1"/>
    </xf>
    <xf numFmtId="44" fontId="19" fillId="0" borderId="43" xfId="2" applyFont="1" applyBorder="1" applyAlignment="1">
      <alignment vertical="center"/>
    </xf>
    <xf numFmtId="44" fontId="19" fillId="0" borderId="43" xfId="2" applyFont="1" applyBorder="1" applyAlignment="1">
      <alignment horizontal="center" vertical="center"/>
    </xf>
    <xf numFmtId="0" fontId="21" fillId="9" borderId="4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19" borderId="48" xfId="0" applyFont="1" applyFill="1" applyBorder="1" applyAlignment="1">
      <alignment horizontal="center" vertical="center"/>
    </xf>
    <xf numFmtId="0" fontId="2" fillId="19" borderId="5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3" borderId="43" xfId="0" applyFont="1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19" borderId="5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3" fillId="0" borderId="47" xfId="0" applyFont="1" applyBorder="1" applyAlignment="1">
      <alignment horizontal="left" vertical="center" wrapText="1"/>
    </xf>
  </cellXfs>
  <cellStyles count="4">
    <cellStyle name="Moeda" xfId="2" builtinId="4"/>
    <cellStyle name="Normal" xfId="0" builtinId="0"/>
    <cellStyle name="Porcentagem" xfId="1" builtinId="5"/>
    <cellStyle name="Vírgula" xfId="3" builtinId="3"/>
  </cellStyles>
  <dxfs count="0"/>
  <tableStyles count="0" defaultTableStyle="TableStyleMedium2" defaultPivotStyle="PivotStyleLight16"/>
  <colors>
    <mruColors>
      <color rgb="FF99FF99"/>
      <color rgb="FF66FFFF"/>
      <color rgb="FFFF9999"/>
      <color rgb="FFFFFF99"/>
      <color rgb="FFCCECFF"/>
      <color rgb="FFFF66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PERSUS - 92 Equipamentos</a:t>
            </a:r>
          </a:p>
        </c:rich>
      </c:tx>
      <c:layout>
        <c:manualLayout>
          <c:xMode val="edge"/>
          <c:yMode val="edge"/>
          <c:x val="0.35863858648316704"/>
          <c:y val="1.27070555926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'Panorama PER-SUS'!$I$108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37-4647-866E-BD5DA65DD7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37-4647-866E-BD5DA65DD7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37-4647-866E-BD5DA65DD7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37-4647-866E-BD5DA65DD7A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'Panorama PER-SUS'!$G$109:$G$112</c:f>
              <c:strCache>
                <c:ptCount val="4"/>
                <c:pt idx="0">
                  <c:v>Ampliação</c:v>
                </c:pt>
                <c:pt idx="1">
                  <c:v>Construção</c:v>
                </c:pt>
                <c:pt idx="2">
                  <c:v>Equipamento Obsoleto</c:v>
                </c:pt>
                <c:pt idx="3">
                  <c:v>Casamata Vazia</c:v>
                </c:pt>
              </c:strCache>
            </c:strRef>
          </c:cat>
          <c:val>
            <c:numRef>
              <c:f>'Panorama PER-SUS'!$I$109:$I$112</c:f>
              <c:numCache>
                <c:formatCode>General</c:formatCode>
                <c:ptCount val="4"/>
                <c:pt idx="0">
                  <c:v>28</c:v>
                </c:pt>
                <c:pt idx="1">
                  <c:v>44</c:v>
                </c:pt>
                <c:pt idx="2">
                  <c:v>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E-4577-B1EC-348F911E12B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01956121008422"/>
          <c:y val="0.41893036108299131"/>
          <c:w val="0.26470990752499912"/>
          <c:h val="0.2605396646487962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RESUMO SITUACIONAL DO PERSUS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'Panorama PER-SUS'!$I$141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'Panorama PER-SUS'!$G$142:$G$146</c:f>
              <c:strCache>
                <c:ptCount val="5"/>
                <c:pt idx="0">
                  <c:v>Ampliação</c:v>
                </c:pt>
                <c:pt idx="1">
                  <c:v>Construção</c:v>
                </c:pt>
                <c:pt idx="2">
                  <c:v>Equipamento Obsoleto</c:v>
                </c:pt>
                <c:pt idx="3">
                  <c:v>Casamata Vazia</c:v>
                </c:pt>
                <c:pt idx="4">
                  <c:v>TOTAL PERSUS</c:v>
                </c:pt>
              </c:strCache>
            </c:strRef>
          </c:cat>
          <c:val>
            <c:numRef>
              <c:f>'Panorama PER-SUS'!$I$142:$I$146</c:f>
              <c:numCache>
                <c:formatCode>General</c:formatCode>
                <c:ptCount val="5"/>
                <c:pt idx="0">
                  <c:v>28</c:v>
                </c:pt>
                <c:pt idx="1">
                  <c:v>44</c:v>
                </c:pt>
                <c:pt idx="2">
                  <c:v>9</c:v>
                </c:pt>
                <c:pt idx="3">
                  <c:v>11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3-45F4-8EA2-BD3ACA82DDB6}"/>
            </c:ext>
          </c:extLst>
        </c:ser>
        <c:ser>
          <c:idx val="1"/>
          <c:order val="1"/>
          <c:tx>
            <c:strRef>
              <c:f>'Panorama PER-SUS'!$J$141</c:f>
              <c:strCache>
                <c:ptCount val="1"/>
                <c:pt idx="0">
                  <c:v>Concluídas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'Panorama PER-SUS'!$G$142:$G$146</c:f>
              <c:strCache>
                <c:ptCount val="5"/>
                <c:pt idx="0">
                  <c:v>Ampliação</c:v>
                </c:pt>
                <c:pt idx="1">
                  <c:v>Construção</c:v>
                </c:pt>
                <c:pt idx="2">
                  <c:v>Equipamento Obsoleto</c:v>
                </c:pt>
                <c:pt idx="3">
                  <c:v>Casamata Vazia</c:v>
                </c:pt>
                <c:pt idx="4">
                  <c:v>TOTAL PERSUS</c:v>
                </c:pt>
              </c:strCache>
            </c:strRef>
          </c:cat>
          <c:val>
            <c:numRef>
              <c:f>'Panorama PER-SUS'!$J$142:$J$146</c:f>
              <c:numCache>
                <c:formatCode>General</c:formatCode>
                <c:ptCount val="5"/>
                <c:pt idx="0">
                  <c:v>28</c:v>
                </c:pt>
                <c:pt idx="1">
                  <c:v>39</c:v>
                </c:pt>
                <c:pt idx="2">
                  <c:v>9</c:v>
                </c:pt>
                <c:pt idx="3">
                  <c:v>11</c:v>
                </c:pt>
                <c:pt idx="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3-45F4-8EA2-BD3ACA82D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07440"/>
        <c:axId val="160506608"/>
      </c:barChart>
      <c:catAx>
        <c:axId val="1605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06608"/>
        <c:crosses val="autoZero"/>
        <c:auto val="1"/>
        <c:lblAlgn val="ctr"/>
        <c:lblOffset val="100"/>
        <c:noMultiLvlLbl val="0"/>
      </c:catAx>
      <c:valAx>
        <c:axId val="16050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251730</xdr:colOff>
      <xdr:row>114</xdr:row>
      <xdr:rowOff>2720</xdr:rowOff>
    </xdr:from>
    <xdr:to>
      <xdr:col>9</xdr:col>
      <xdr:colOff>408214</xdr:colOff>
      <xdr:row>134</xdr:row>
      <xdr:rowOff>190499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204108</xdr:colOff>
      <xdr:row>148</xdr:row>
      <xdr:rowOff>36739</xdr:rowOff>
    </xdr:from>
    <xdr:to>
      <xdr:col>10</xdr:col>
      <xdr:colOff>1932214</xdr:colOff>
      <xdr:row>171</xdr:row>
      <xdr:rowOff>176893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7</xdr:row>
      <xdr:rowOff>152400</xdr:rowOff>
    </xdr:from>
    <xdr:to>
      <xdr:col>5</xdr:col>
      <xdr:colOff>3715270</xdr:colOff>
      <xdr:row>24</xdr:row>
      <xdr:rowOff>57589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4225" y="2905125"/>
          <a:ext cx="3724795" cy="31436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54304</xdr:colOff>
      <xdr:row>26</xdr:row>
      <xdr:rowOff>136071</xdr:rowOff>
    </xdr:from>
    <xdr:to>
      <xdr:col>7</xdr:col>
      <xdr:colOff>567664</xdr:colOff>
      <xdr:row>47</xdr:row>
      <xdr:rowOff>29001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8752" y="7050974"/>
          <a:ext cx="4570763" cy="37895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390525</xdr:colOff>
      <xdr:row>3</xdr:row>
      <xdr:rowOff>57150</xdr:rowOff>
    </xdr:from>
    <xdr:to>
      <xdr:col>19</xdr:col>
      <xdr:colOff>95719</xdr:colOff>
      <xdr:row>16</xdr:row>
      <xdr:rowOff>76624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00" y="638175"/>
          <a:ext cx="3362794" cy="30388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616822</xdr:colOff>
      <xdr:row>39</xdr:row>
      <xdr:rowOff>10467</xdr:rowOff>
    </xdr:from>
    <xdr:to>
      <xdr:col>5</xdr:col>
      <xdr:colOff>3182946</xdr:colOff>
      <xdr:row>55</xdr:row>
      <xdr:rowOff>1802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6822" y="8781841"/>
          <a:ext cx="3194146" cy="30058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</xdr:colOff>
      <xdr:row>4</xdr:row>
      <xdr:rowOff>66675</xdr:rowOff>
    </xdr:from>
    <xdr:to>
      <xdr:col>19</xdr:col>
      <xdr:colOff>352893</xdr:colOff>
      <xdr:row>16</xdr:row>
      <xdr:rowOff>152815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16325" y="828675"/>
          <a:ext cx="3353268" cy="2972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1:V146"/>
  <sheetViews>
    <sheetView tabSelected="1" topLeftCell="A10" zoomScale="70" zoomScaleNormal="70" workbookViewId="0">
      <pane ySplit="3" topLeftCell="A37" activePane="bottomLeft" state="frozen"/>
      <selection activeCell="A10" sqref="A10"/>
      <selection pane="bottomLeft" activeCell="H42" sqref="H42"/>
    </sheetView>
  </sheetViews>
  <sheetFormatPr defaultRowHeight="15" x14ac:dyDescent="0.25"/>
  <cols>
    <col min="1" max="1" width="9.140625" style="22"/>
    <col min="2" max="3" width="15.5703125" style="10" customWidth="1"/>
    <col min="4" max="4" width="22.42578125" style="14" customWidth="1"/>
    <col min="5" max="5" width="33.85546875" customWidth="1"/>
    <col min="6" max="6" width="9.7109375" bestFit="1" customWidth="1"/>
    <col min="7" max="7" width="57.28515625" style="216" customWidth="1"/>
    <col min="8" max="8" width="57.28515625" style="14" customWidth="1"/>
    <col min="9" max="9" width="25.28515625" style="90" customWidth="1"/>
    <col min="10" max="12" width="29.5703125" style="14" customWidth="1"/>
    <col min="13" max="13" width="22.7109375" style="54" customWidth="1"/>
    <col min="14" max="14" width="30.7109375" style="90" customWidth="1"/>
    <col min="15" max="15" width="16.85546875" style="90" customWidth="1"/>
    <col min="16" max="16" width="24.42578125" style="90" customWidth="1"/>
    <col min="17" max="17" width="18.140625" style="8" customWidth="1"/>
    <col min="18" max="18" width="96" style="35" bestFit="1" customWidth="1"/>
    <col min="19" max="19" width="51" style="15" customWidth="1"/>
    <col min="20" max="20" width="25" customWidth="1"/>
    <col min="21" max="21" width="17" customWidth="1"/>
    <col min="22" max="22" width="17.5703125" style="5" customWidth="1"/>
    <col min="23" max="23" width="13.5703125" customWidth="1"/>
  </cols>
  <sheetData>
    <row r="1" spans="1:22" s="15" customFormat="1" x14ac:dyDescent="0.25">
      <c r="A1" s="22"/>
      <c r="B1" s="10"/>
      <c r="C1" s="10"/>
      <c r="D1" s="14"/>
      <c r="E1"/>
      <c r="F1"/>
      <c r="G1" s="216"/>
      <c r="H1" s="14"/>
      <c r="I1" s="90"/>
      <c r="J1" s="14"/>
      <c r="K1" s="14"/>
      <c r="L1" s="14"/>
      <c r="M1" s="54"/>
      <c r="N1" s="90"/>
      <c r="O1" s="90"/>
      <c r="P1" s="90"/>
      <c r="Q1" s="8"/>
      <c r="R1" s="35"/>
      <c r="V1" s="5"/>
    </row>
    <row r="2" spans="1:22" s="15" customFormat="1" x14ac:dyDescent="0.25">
      <c r="A2" s="22"/>
      <c r="B2" s="10"/>
      <c r="C2" s="10"/>
      <c r="D2" s="14"/>
      <c r="E2"/>
      <c r="F2"/>
      <c r="G2" s="216"/>
      <c r="H2" s="14"/>
      <c r="I2" s="90"/>
      <c r="J2" s="14"/>
      <c r="K2" s="14"/>
      <c r="L2" s="14"/>
      <c r="M2" s="54"/>
      <c r="N2" s="90"/>
      <c r="O2" s="90"/>
      <c r="P2" s="90"/>
      <c r="Q2" s="8"/>
      <c r="R2" s="35"/>
      <c r="V2" s="5"/>
    </row>
    <row r="3" spans="1:22" s="15" customFormat="1" x14ac:dyDescent="0.25">
      <c r="A3" s="22"/>
      <c r="B3" s="10"/>
      <c r="C3" s="10"/>
      <c r="D3" s="14"/>
      <c r="E3"/>
      <c r="F3"/>
      <c r="G3" s="216"/>
      <c r="H3" s="14"/>
      <c r="I3" s="90"/>
      <c r="J3" s="14"/>
      <c r="K3" s="14"/>
      <c r="L3" s="14"/>
      <c r="M3" s="54"/>
      <c r="N3" s="90"/>
      <c r="O3" s="90"/>
      <c r="P3" s="90"/>
      <c r="Q3" s="8"/>
      <c r="R3" s="35"/>
      <c r="V3" s="5"/>
    </row>
    <row r="4" spans="1:22" s="15" customFormat="1" x14ac:dyDescent="0.25">
      <c r="A4" s="22"/>
      <c r="B4" s="10"/>
      <c r="C4" s="10"/>
      <c r="D4" s="14"/>
      <c r="E4"/>
      <c r="F4"/>
      <c r="G4" s="216"/>
      <c r="H4" s="14"/>
      <c r="I4" s="90"/>
      <c r="J4" s="14"/>
      <c r="K4" s="14"/>
      <c r="L4" s="14"/>
      <c r="M4" s="54"/>
      <c r="N4" s="90"/>
      <c r="O4" s="90"/>
      <c r="P4" s="90"/>
      <c r="Q4" s="8"/>
      <c r="R4" s="35"/>
      <c r="V4" s="5"/>
    </row>
    <row r="5" spans="1:22" s="15" customFormat="1" x14ac:dyDescent="0.25">
      <c r="A5" s="22"/>
      <c r="B5" s="10"/>
      <c r="C5" s="10"/>
      <c r="D5" s="14"/>
      <c r="E5"/>
      <c r="F5"/>
      <c r="G5" s="216"/>
      <c r="H5" s="14"/>
      <c r="I5" s="90"/>
      <c r="J5" s="14"/>
      <c r="K5" s="14"/>
      <c r="L5" s="14"/>
      <c r="M5" s="54"/>
      <c r="N5" s="90"/>
      <c r="O5" s="90"/>
      <c r="P5" s="90"/>
      <c r="Q5" s="8"/>
      <c r="R5" s="35"/>
      <c r="V5" s="5"/>
    </row>
    <row r="6" spans="1:22" s="15" customFormat="1" x14ac:dyDescent="0.25">
      <c r="A6" s="22"/>
      <c r="B6" s="10"/>
      <c r="C6" s="10"/>
      <c r="D6" s="14"/>
      <c r="E6"/>
      <c r="F6"/>
      <c r="G6" s="216"/>
      <c r="H6" s="14"/>
      <c r="I6" s="90"/>
      <c r="J6" s="14"/>
      <c r="K6" s="14"/>
      <c r="L6" s="14"/>
      <c r="M6" s="54"/>
      <c r="N6" s="90"/>
      <c r="O6" s="90"/>
      <c r="P6" s="90"/>
      <c r="Q6" s="8"/>
      <c r="R6" s="35"/>
      <c r="V6" s="5"/>
    </row>
    <row r="7" spans="1:22" s="15" customFormat="1" x14ac:dyDescent="0.25">
      <c r="A7" s="22"/>
      <c r="B7" s="10"/>
      <c r="C7" s="10"/>
      <c r="D7" s="14"/>
      <c r="E7"/>
      <c r="F7"/>
      <c r="G7" s="182"/>
      <c r="H7" s="182"/>
      <c r="I7" s="183"/>
      <c r="J7" s="182"/>
      <c r="K7" s="182"/>
      <c r="L7" s="182"/>
      <c r="M7" s="182"/>
      <c r="N7" s="183"/>
      <c r="O7" s="183"/>
      <c r="P7" s="183"/>
      <c r="Q7" s="182"/>
      <c r="R7" s="182"/>
    </row>
    <row r="8" spans="1:22" s="15" customFormat="1" x14ac:dyDescent="0.25">
      <c r="A8" s="22"/>
      <c r="B8" s="10"/>
      <c r="C8" s="10"/>
      <c r="D8" s="110"/>
      <c r="E8" s="21"/>
      <c r="F8" s="21"/>
      <c r="G8" s="208"/>
      <c r="H8" s="21"/>
      <c r="I8" s="8"/>
      <c r="J8" s="21"/>
      <c r="K8" s="21"/>
      <c r="L8" s="21"/>
      <c r="M8" s="5"/>
      <c r="N8" s="8"/>
      <c r="O8" s="8"/>
      <c r="P8" s="8"/>
      <c r="Q8" s="8"/>
      <c r="R8" s="50"/>
    </row>
    <row r="9" spans="1:22" x14ac:dyDescent="0.25">
      <c r="D9" s="110"/>
      <c r="E9" s="21"/>
      <c r="F9" s="21"/>
      <c r="G9" s="208"/>
      <c r="H9" s="21"/>
      <c r="I9" s="8"/>
      <c r="J9" s="21"/>
      <c r="K9" s="21"/>
      <c r="L9" s="21"/>
      <c r="M9" s="5"/>
      <c r="N9" s="8"/>
      <c r="O9" s="8"/>
      <c r="P9" s="8"/>
    </row>
    <row r="10" spans="1:22" ht="20.25" customHeight="1" x14ac:dyDescent="0.25">
      <c r="D10" s="110"/>
      <c r="E10" s="21"/>
      <c r="F10" s="21"/>
      <c r="G10" s="208"/>
      <c r="H10" s="21"/>
      <c r="I10" s="8"/>
      <c r="J10" s="21"/>
      <c r="K10" s="21"/>
      <c r="L10" s="21"/>
      <c r="M10" s="5"/>
      <c r="N10" s="8"/>
      <c r="O10" s="8"/>
      <c r="P10" s="8"/>
    </row>
    <row r="11" spans="1:22" ht="15.75" thickBot="1" x14ac:dyDescent="0.3"/>
    <row r="12" spans="1:22" s="90" customFormat="1" ht="39" x14ac:dyDescent="0.25">
      <c r="A12" s="128" t="s">
        <v>6</v>
      </c>
      <c r="B12" s="129" t="s">
        <v>7</v>
      </c>
      <c r="C12" s="129" t="s">
        <v>6</v>
      </c>
      <c r="D12" s="129" t="s">
        <v>335</v>
      </c>
      <c r="E12" s="129" t="s">
        <v>249</v>
      </c>
      <c r="F12" s="129" t="s">
        <v>10</v>
      </c>
      <c r="G12" s="129" t="s">
        <v>8</v>
      </c>
      <c r="H12" s="130" t="s">
        <v>352</v>
      </c>
      <c r="I12" s="130" t="s">
        <v>259</v>
      </c>
      <c r="J12" s="130" t="s">
        <v>228</v>
      </c>
      <c r="K12" s="129" t="s">
        <v>229</v>
      </c>
      <c r="L12" s="131" t="s">
        <v>234</v>
      </c>
      <c r="M12" s="131" t="s">
        <v>227</v>
      </c>
      <c r="N12" s="132" t="s">
        <v>233</v>
      </c>
      <c r="O12" s="132" t="s">
        <v>330</v>
      </c>
      <c r="P12" s="131" t="s">
        <v>333</v>
      </c>
      <c r="Q12" s="129" t="s">
        <v>11</v>
      </c>
      <c r="R12" s="133" t="s">
        <v>211</v>
      </c>
      <c r="T12" s="52" t="s">
        <v>257</v>
      </c>
      <c r="U12" s="52" t="s">
        <v>258</v>
      </c>
    </row>
    <row r="13" spans="1:22" s="22" customFormat="1" ht="32.25" customHeight="1" x14ac:dyDescent="0.25">
      <c r="A13" s="192">
        <v>1</v>
      </c>
      <c r="B13" s="193" t="s">
        <v>12</v>
      </c>
      <c r="C13" s="193"/>
      <c r="D13" s="194" t="s">
        <v>207</v>
      </c>
      <c r="E13" s="63" t="s">
        <v>254</v>
      </c>
      <c r="F13" s="195" t="s">
        <v>17</v>
      </c>
      <c r="G13" s="116" t="s">
        <v>16</v>
      </c>
      <c r="H13" s="196" t="s">
        <v>355</v>
      </c>
      <c r="I13" s="197">
        <v>2001586</v>
      </c>
      <c r="J13" s="117">
        <v>42922</v>
      </c>
      <c r="K13" s="117">
        <v>43367</v>
      </c>
      <c r="L13" s="117">
        <v>44371</v>
      </c>
      <c r="M13" s="60">
        <v>44215</v>
      </c>
      <c r="N13" s="111">
        <v>5227397.8499999996</v>
      </c>
      <c r="O13" s="124" t="s">
        <v>332</v>
      </c>
      <c r="P13" s="60">
        <v>44215</v>
      </c>
      <c r="Q13" s="200" t="s">
        <v>217</v>
      </c>
      <c r="R13" s="134"/>
      <c r="T13" s="112">
        <v>43756</v>
      </c>
      <c r="U13" s="113">
        <f t="shared" ref="U13:U29" si="0">M13-T13</f>
        <v>459</v>
      </c>
    </row>
    <row r="14" spans="1:22" s="22" customFormat="1" ht="32.25" customHeight="1" x14ac:dyDescent="0.25">
      <c r="A14" s="144">
        <v>3</v>
      </c>
      <c r="B14" s="64" t="s">
        <v>12</v>
      </c>
      <c r="C14" s="64">
        <v>30</v>
      </c>
      <c r="D14" s="62" t="s">
        <v>28</v>
      </c>
      <c r="E14" s="61" t="s">
        <v>250</v>
      </c>
      <c r="F14" s="64" t="s">
        <v>29</v>
      </c>
      <c r="G14" s="62" t="s">
        <v>27</v>
      </c>
      <c r="H14" s="62" t="s">
        <v>353</v>
      </c>
      <c r="I14" s="115" t="s">
        <v>261</v>
      </c>
      <c r="J14" s="117">
        <v>42276</v>
      </c>
      <c r="K14" s="118">
        <v>42993</v>
      </c>
      <c r="L14" s="118">
        <v>44148</v>
      </c>
      <c r="M14" s="59">
        <v>42940</v>
      </c>
      <c r="N14" s="145">
        <v>4675974.6500000004</v>
      </c>
      <c r="O14" s="146" t="s">
        <v>332</v>
      </c>
      <c r="P14" s="59">
        <v>42940</v>
      </c>
      <c r="Q14" s="148" t="s">
        <v>217</v>
      </c>
      <c r="R14" s="134"/>
      <c r="T14" s="112">
        <v>43897</v>
      </c>
      <c r="U14" s="113">
        <f t="shared" si="0"/>
        <v>-957</v>
      </c>
    </row>
    <row r="15" spans="1:22" s="22" customFormat="1" ht="32.25" customHeight="1" x14ac:dyDescent="0.25">
      <c r="A15" s="144">
        <v>2</v>
      </c>
      <c r="B15" s="64" t="s">
        <v>223</v>
      </c>
      <c r="C15" s="64"/>
      <c r="D15" s="62" t="s">
        <v>28</v>
      </c>
      <c r="E15" s="63" t="s">
        <v>250</v>
      </c>
      <c r="F15" s="64" t="s">
        <v>29</v>
      </c>
      <c r="G15" s="62" t="s">
        <v>54</v>
      </c>
      <c r="H15" s="62" t="s">
        <v>354</v>
      </c>
      <c r="I15" s="66" t="s">
        <v>260</v>
      </c>
      <c r="J15" s="119" t="s">
        <v>334</v>
      </c>
      <c r="K15" s="119" t="s">
        <v>334</v>
      </c>
      <c r="L15" s="119" t="s">
        <v>334</v>
      </c>
      <c r="M15" s="59">
        <v>44763</v>
      </c>
      <c r="N15" s="145">
        <v>2997223</v>
      </c>
      <c r="O15" s="146" t="s">
        <v>332</v>
      </c>
      <c r="P15" s="59">
        <v>44763</v>
      </c>
      <c r="Q15" s="150" t="s">
        <v>217</v>
      </c>
      <c r="R15" s="134"/>
      <c r="T15" s="112">
        <v>43717</v>
      </c>
      <c r="U15" s="113">
        <f t="shared" si="0"/>
        <v>1046</v>
      </c>
    </row>
    <row r="16" spans="1:22" ht="32.25" customHeight="1" x14ac:dyDescent="0.25">
      <c r="A16" s="135">
        <v>4</v>
      </c>
      <c r="B16" s="37" t="s">
        <v>12</v>
      </c>
      <c r="C16" s="37"/>
      <c r="D16" s="94" t="s">
        <v>14</v>
      </c>
      <c r="E16" s="63" t="s">
        <v>254</v>
      </c>
      <c r="F16" s="96" t="s">
        <v>15</v>
      </c>
      <c r="G16" s="62" t="s">
        <v>13</v>
      </c>
      <c r="H16" s="63" t="s">
        <v>355</v>
      </c>
      <c r="I16" s="66">
        <v>2012677</v>
      </c>
      <c r="J16" s="117">
        <v>42530</v>
      </c>
      <c r="K16" s="117">
        <v>43482</v>
      </c>
      <c r="L16" s="117">
        <v>43798</v>
      </c>
      <c r="M16" s="59">
        <v>43668</v>
      </c>
      <c r="N16" s="111">
        <v>5298817.88</v>
      </c>
      <c r="O16" s="124" t="s">
        <v>332</v>
      </c>
      <c r="P16" s="59">
        <v>43668</v>
      </c>
      <c r="Q16" s="123" t="s">
        <v>217</v>
      </c>
      <c r="R16" s="134"/>
      <c r="T16" s="114">
        <v>43925</v>
      </c>
      <c r="U16" s="113">
        <f t="shared" si="0"/>
        <v>-257</v>
      </c>
    </row>
    <row r="17" spans="1:21" ht="32.25" customHeight="1" x14ac:dyDescent="0.25">
      <c r="A17" s="135">
        <v>5</v>
      </c>
      <c r="B17" s="64" t="s">
        <v>20</v>
      </c>
      <c r="C17" s="64"/>
      <c r="D17" s="94" t="s">
        <v>24</v>
      </c>
      <c r="E17" s="121" t="s">
        <v>254</v>
      </c>
      <c r="F17" s="66" t="s">
        <v>25</v>
      </c>
      <c r="G17" s="121" t="s">
        <v>23</v>
      </c>
      <c r="H17" s="94" t="s">
        <v>355</v>
      </c>
      <c r="I17" s="115" t="s">
        <v>262</v>
      </c>
      <c r="J17" s="117">
        <v>45012</v>
      </c>
      <c r="K17" s="119">
        <v>45665</v>
      </c>
      <c r="L17" s="120">
        <v>46035</v>
      </c>
      <c r="M17" s="59">
        <v>45992</v>
      </c>
      <c r="N17" s="111">
        <v>17072142.829999998</v>
      </c>
      <c r="O17" s="124" t="s">
        <v>331</v>
      </c>
      <c r="P17" s="59">
        <v>45996</v>
      </c>
      <c r="Q17" s="122" t="s">
        <v>217</v>
      </c>
      <c r="R17" s="134"/>
      <c r="T17" s="114">
        <v>43897</v>
      </c>
      <c r="U17" s="113">
        <f t="shared" si="0"/>
        <v>2095</v>
      </c>
    </row>
    <row r="18" spans="1:21" ht="32.25" customHeight="1" x14ac:dyDescent="0.25">
      <c r="A18" s="144">
        <v>6</v>
      </c>
      <c r="B18" s="64" t="s">
        <v>12</v>
      </c>
      <c r="C18" s="64">
        <v>15</v>
      </c>
      <c r="D18" s="62" t="s">
        <v>31</v>
      </c>
      <c r="E18" s="61" t="s">
        <v>250</v>
      </c>
      <c r="F18" s="64" t="s">
        <v>32</v>
      </c>
      <c r="G18" s="62" t="s">
        <v>30</v>
      </c>
      <c r="H18" s="62" t="s">
        <v>353</v>
      </c>
      <c r="I18" s="115" t="s">
        <v>264</v>
      </c>
      <c r="J18" s="117">
        <v>42192</v>
      </c>
      <c r="K18" s="117">
        <v>42683</v>
      </c>
      <c r="L18" s="117">
        <v>43004</v>
      </c>
      <c r="M18" s="59">
        <v>42828</v>
      </c>
      <c r="N18" s="145">
        <v>5449642.9800000004</v>
      </c>
      <c r="O18" s="146" t="s">
        <v>332</v>
      </c>
      <c r="P18" s="59">
        <v>42828</v>
      </c>
      <c r="Q18" s="149" t="s">
        <v>217</v>
      </c>
      <c r="R18" s="134"/>
      <c r="T18" s="114">
        <v>44102</v>
      </c>
      <c r="U18" s="113">
        <f t="shared" si="0"/>
        <v>-1274</v>
      </c>
    </row>
    <row r="19" spans="1:21" ht="32.25" customHeight="1" x14ac:dyDescent="0.25">
      <c r="A19" s="144">
        <v>8</v>
      </c>
      <c r="B19" s="64" t="s">
        <v>20</v>
      </c>
      <c r="C19" s="64"/>
      <c r="D19" s="62" t="s">
        <v>50</v>
      </c>
      <c r="E19" s="63" t="s">
        <v>250</v>
      </c>
      <c r="F19" s="64" t="s">
        <v>32</v>
      </c>
      <c r="G19" s="62" t="s">
        <v>49</v>
      </c>
      <c r="H19" s="62" t="s">
        <v>355</v>
      </c>
      <c r="I19" s="115" t="s">
        <v>266</v>
      </c>
      <c r="J19" s="117">
        <v>43559</v>
      </c>
      <c r="K19" s="117">
        <v>44158</v>
      </c>
      <c r="L19" s="117">
        <v>44552</v>
      </c>
      <c r="M19" s="59">
        <v>44522</v>
      </c>
      <c r="N19" s="145">
        <v>10236744.66</v>
      </c>
      <c r="O19" s="146" t="s">
        <v>332</v>
      </c>
      <c r="P19" s="59">
        <v>44522</v>
      </c>
      <c r="Q19" s="149" t="s">
        <v>217</v>
      </c>
      <c r="R19" s="134"/>
      <c r="T19" s="114">
        <v>44021</v>
      </c>
      <c r="U19" s="113">
        <f t="shared" si="0"/>
        <v>501</v>
      </c>
    </row>
    <row r="20" spans="1:21" ht="32.25" customHeight="1" x14ac:dyDescent="0.25">
      <c r="A20" s="144">
        <v>7</v>
      </c>
      <c r="B20" s="64" t="s">
        <v>222</v>
      </c>
      <c r="C20" s="64"/>
      <c r="D20" s="62" t="s">
        <v>56</v>
      </c>
      <c r="E20" s="63" t="s">
        <v>250</v>
      </c>
      <c r="F20" s="64" t="s">
        <v>32</v>
      </c>
      <c r="G20" s="62" t="s">
        <v>55</v>
      </c>
      <c r="H20" s="62" t="s">
        <v>355</v>
      </c>
      <c r="I20" s="66" t="s">
        <v>265</v>
      </c>
      <c r="J20" s="119" t="s">
        <v>334</v>
      </c>
      <c r="K20" s="119" t="s">
        <v>334</v>
      </c>
      <c r="L20" s="119" t="s">
        <v>334</v>
      </c>
      <c r="M20" s="59">
        <v>45005</v>
      </c>
      <c r="N20" s="145">
        <v>3092532.98</v>
      </c>
      <c r="O20" s="146" t="s">
        <v>331</v>
      </c>
      <c r="P20" s="59">
        <v>45005</v>
      </c>
      <c r="Q20" s="150" t="s">
        <v>217</v>
      </c>
      <c r="R20" s="134"/>
      <c r="T20" s="114">
        <v>44098</v>
      </c>
      <c r="U20" s="113">
        <f t="shared" si="0"/>
        <v>907</v>
      </c>
    </row>
    <row r="21" spans="1:21" ht="32.25" customHeight="1" x14ac:dyDescent="0.25">
      <c r="A21" s="144">
        <v>11</v>
      </c>
      <c r="B21" s="64" t="s">
        <v>20</v>
      </c>
      <c r="C21" s="64"/>
      <c r="D21" s="121" t="s">
        <v>63</v>
      </c>
      <c r="E21" s="121" t="s">
        <v>250</v>
      </c>
      <c r="F21" s="66" t="s">
        <v>32</v>
      </c>
      <c r="G21" s="121" t="s">
        <v>62</v>
      </c>
      <c r="H21" s="121" t="s">
        <v>355</v>
      </c>
      <c r="I21" s="66" t="s">
        <v>268</v>
      </c>
      <c r="J21" s="119">
        <v>45187</v>
      </c>
      <c r="K21" s="119">
        <v>45785</v>
      </c>
      <c r="L21" s="119">
        <v>46035</v>
      </c>
      <c r="M21" s="59">
        <v>46006</v>
      </c>
      <c r="N21" s="145">
        <v>15564231.5</v>
      </c>
      <c r="O21" s="146" t="s">
        <v>331</v>
      </c>
      <c r="P21" s="119">
        <v>45989</v>
      </c>
      <c r="Q21" s="150" t="s">
        <v>217</v>
      </c>
      <c r="R21" s="134"/>
      <c r="T21" s="114">
        <v>44282</v>
      </c>
      <c r="U21" s="113">
        <f t="shared" si="0"/>
        <v>1724</v>
      </c>
    </row>
    <row r="22" spans="1:21" ht="32.25" customHeight="1" x14ac:dyDescent="0.25">
      <c r="A22" s="144">
        <v>9</v>
      </c>
      <c r="B22" s="64" t="s">
        <v>51</v>
      </c>
      <c r="C22" s="64"/>
      <c r="D22" s="121" t="s">
        <v>74</v>
      </c>
      <c r="E22" s="121" t="s">
        <v>250</v>
      </c>
      <c r="F22" s="66" t="s">
        <v>32</v>
      </c>
      <c r="G22" s="121" t="s">
        <v>216</v>
      </c>
      <c r="H22" s="121" t="s">
        <v>355</v>
      </c>
      <c r="I22" s="66" t="s">
        <v>267</v>
      </c>
      <c r="J22" s="119">
        <v>45068</v>
      </c>
      <c r="K22" s="119">
        <v>45364</v>
      </c>
      <c r="L22" s="119">
        <v>46156</v>
      </c>
      <c r="M22" s="59">
        <v>46154</v>
      </c>
      <c r="N22" s="145">
        <v>13096536.960000001</v>
      </c>
      <c r="O22" s="146" t="s">
        <v>331</v>
      </c>
      <c r="P22" s="119">
        <v>46119</v>
      </c>
      <c r="Q22" s="150" t="s">
        <v>217</v>
      </c>
      <c r="R22" s="134"/>
      <c r="T22" s="114">
        <v>44018</v>
      </c>
      <c r="U22" s="113">
        <f t="shared" si="0"/>
        <v>2136</v>
      </c>
    </row>
    <row r="23" spans="1:21" ht="32.25" customHeight="1" x14ac:dyDescent="0.25">
      <c r="A23" s="144">
        <v>10</v>
      </c>
      <c r="B23" s="64" t="s">
        <v>223</v>
      </c>
      <c r="C23" s="64"/>
      <c r="D23" s="121" t="s">
        <v>202</v>
      </c>
      <c r="E23" s="121" t="s">
        <v>250</v>
      </c>
      <c r="F23" s="66" t="s">
        <v>32</v>
      </c>
      <c r="G23" s="121" t="s">
        <v>337</v>
      </c>
      <c r="H23" s="121" t="s">
        <v>355</v>
      </c>
      <c r="I23" s="66" t="s">
        <v>263</v>
      </c>
      <c r="J23" s="119" t="s">
        <v>334</v>
      </c>
      <c r="K23" s="119" t="s">
        <v>334</v>
      </c>
      <c r="L23" s="119" t="s">
        <v>334</v>
      </c>
      <c r="M23" s="164" t="s">
        <v>341</v>
      </c>
      <c r="N23" s="155">
        <v>3316062.03</v>
      </c>
      <c r="O23" s="199" t="s">
        <v>331</v>
      </c>
      <c r="P23" s="119">
        <v>46199</v>
      </c>
      <c r="Q23" s="122" t="s">
        <v>217</v>
      </c>
      <c r="R23" s="134" t="s">
        <v>342</v>
      </c>
      <c r="T23" s="114">
        <v>44536</v>
      </c>
      <c r="U23" s="113" t="e">
        <f t="shared" si="0"/>
        <v>#VALUE!</v>
      </c>
    </row>
    <row r="24" spans="1:21" ht="32.25" customHeight="1" x14ac:dyDescent="0.25">
      <c r="A24" s="144">
        <v>15</v>
      </c>
      <c r="B24" s="64" t="s">
        <v>12</v>
      </c>
      <c r="C24" s="64">
        <v>47</v>
      </c>
      <c r="D24" s="62" t="s">
        <v>34</v>
      </c>
      <c r="E24" s="61" t="s">
        <v>250</v>
      </c>
      <c r="F24" s="64" t="s">
        <v>35</v>
      </c>
      <c r="G24" s="62" t="s">
        <v>33</v>
      </c>
      <c r="H24" s="62" t="s">
        <v>353</v>
      </c>
      <c r="I24" s="66" t="s">
        <v>269</v>
      </c>
      <c r="J24" s="117">
        <v>42537</v>
      </c>
      <c r="K24" s="117">
        <v>43207</v>
      </c>
      <c r="L24" s="117">
        <v>43369</v>
      </c>
      <c r="M24" s="59">
        <v>43249</v>
      </c>
      <c r="N24" s="145">
        <v>4774456.93</v>
      </c>
      <c r="O24" s="146" t="s">
        <v>332</v>
      </c>
      <c r="P24" s="59">
        <v>43249</v>
      </c>
      <c r="Q24" s="150" t="s">
        <v>217</v>
      </c>
      <c r="R24" s="134"/>
      <c r="T24" s="114">
        <v>44528</v>
      </c>
      <c r="U24" s="113">
        <f t="shared" si="0"/>
        <v>-1279</v>
      </c>
    </row>
    <row r="25" spans="1:21" ht="32.25" customHeight="1" x14ac:dyDescent="0.25">
      <c r="A25" s="144">
        <v>12</v>
      </c>
      <c r="B25" s="64" t="s">
        <v>12</v>
      </c>
      <c r="C25" s="64">
        <v>4</v>
      </c>
      <c r="D25" s="62" t="s">
        <v>37</v>
      </c>
      <c r="E25" s="61" t="s">
        <v>250</v>
      </c>
      <c r="F25" s="64" t="s">
        <v>35</v>
      </c>
      <c r="G25" s="62" t="s">
        <v>36</v>
      </c>
      <c r="H25" s="62" t="s">
        <v>353</v>
      </c>
      <c r="I25" s="66">
        <v>2564211</v>
      </c>
      <c r="J25" s="117">
        <v>42943</v>
      </c>
      <c r="K25" s="117">
        <v>43209</v>
      </c>
      <c r="L25" s="117">
        <v>43607</v>
      </c>
      <c r="M25" s="59">
        <v>43605</v>
      </c>
      <c r="N25" s="145">
        <v>4516108.6399999997</v>
      </c>
      <c r="O25" s="146" t="s">
        <v>332</v>
      </c>
      <c r="P25" s="59">
        <v>43605</v>
      </c>
      <c r="Q25" s="150" t="s">
        <v>217</v>
      </c>
      <c r="R25" s="134"/>
      <c r="T25" s="114">
        <v>44815</v>
      </c>
      <c r="U25" s="113">
        <f t="shared" si="0"/>
        <v>-1210</v>
      </c>
    </row>
    <row r="26" spans="1:21" ht="32.25" customHeight="1" x14ac:dyDescent="0.25">
      <c r="A26" s="144">
        <v>13</v>
      </c>
      <c r="B26" s="64" t="s">
        <v>12</v>
      </c>
      <c r="C26" s="64">
        <v>16</v>
      </c>
      <c r="D26" s="62" t="s">
        <v>39</v>
      </c>
      <c r="E26" s="61" t="s">
        <v>250</v>
      </c>
      <c r="F26" s="64" t="s">
        <v>35</v>
      </c>
      <c r="G26" s="62" t="s">
        <v>38</v>
      </c>
      <c r="H26" s="62" t="s">
        <v>353</v>
      </c>
      <c r="I26" s="66">
        <v>2723220</v>
      </c>
      <c r="J26" s="117">
        <v>43262</v>
      </c>
      <c r="K26" s="117">
        <v>43606</v>
      </c>
      <c r="L26" s="117">
        <v>43878</v>
      </c>
      <c r="M26" s="59">
        <v>43788</v>
      </c>
      <c r="N26" s="145">
        <v>5411105.3200000003</v>
      </c>
      <c r="O26" s="146" t="s">
        <v>332</v>
      </c>
      <c r="P26" s="59">
        <v>43788</v>
      </c>
      <c r="Q26" s="150" t="s">
        <v>217</v>
      </c>
      <c r="R26" s="134"/>
      <c r="T26" s="114">
        <v>44366</v>
      </c>
      <c r="U26" s="113">
        <f t="shared" si="0"/>
        <v>-578</v>
      </c>
    </row>
    <row r="27" spans="1:21" ht="32.25" customHeight="1" x14ac:dyDescent="0.25">
      <c r="A27" s="144">
        <v>14</v>
      </c>
      <c r="B27" s="64" t="s">
        <v>51</v>
      </c>
      <c r="C27" s="64">
        <v>17</v>
      </c>
      <c r="D27" s="62" t="s">
        <v>39</v>
      </c>
      <c r="E27" s="63" t="s">
        <v>250</v>
      </c>
      <c r="F27" s="64" t="s">
        <v>35</v>
      </c>
      <c r="G27" s="62" t="s">
        <v>52</v>
      </c>
      <c r="H27" s="62" t="s">
        <v>353</v>
      </c>
      <c r="I27" s="66" t="s">
        <v>270</v>
      </c>
      <c r="J27" s="117">
        <v>44133</v>
      </c>
      <c r="K27" s="117">
        <v>44756</v>
      </c>
      <c r="L27" s="117">
        <v>45246</v>
      </c>
      <c r="M27" s="59">
        <v>45218</v>
      </c>
      <c r="N27" s="145">
        <v>9818350.0700000003</v>
      </c>
      <c r="O27" s="146" t="s">
        <v>331</v>
      </c>
      <c r="P27" s="59">
        <v>45218</v>
      </c>
      <c r="Q27" s="150" t="s">
        <v>217</v>
      </c>
      <c r="R27" s="134"/>
      <c r="T27" s="114">
        <v>44511</v>
      </c>
      <c r="U27" s="113">
        <f t="shared" si="0"/>
        <v>707</v>
      </c>
    </row>
    <row r="28" spans="1:21" ht="32.25" customHeight="1" x14ac:dyDescent="0.25">
      <c r="A28" s="144">
        <v>16</v>
      </c>
      <c r="B28" s="64" t="s">
        <v>51</v>
      </c>
      <c r="C28" s="64">
        <v>18</v>
      </c>
      <c r="D28" s="94" t="s">
        <v>39</v>
      </c>
      <c r="E28" s="121" t="s">
        <v>250</v>
      </c>
      <c r="F28" s="66" t="s">
        <v>35</v>
      </c>
      <c r="G28" s="121" t="s">
        <v>75</v>
      </c>
      <c r="H28" s="94" t="s">
        <v>353</v>
      </c>
      <c r="I28" s="115" t="s">
        <v>271</v>
      </c>
      <c r="J28" s="117">
        <v>44802</v>
      </c>
      <c r="K28" s="117">
        <v>45428</v>
      </c>
      <c r="L28" s="117">
        <v>45848</v>
      </c>
      <c r="M28" s="59">
        <v>45832</v>
      </c>
      <c r="N28" s="145">
        <v>13594058.57</v>
      </c>
      <c r="O28" s="146" t="s">
        <v>331</v>
      </c>
      <c r="P28" s="59">
        <v>45856</v>
      </c>
      <c r="Q28" s="150" t="s">
        <v>217</v>
      </c>
      <c r="R28" s="134"/>
      <c r="T28" s="114">
        <v>44185</v>
      </c>
      <c r="U28" s="113">
        <f t="shared" si="0"/>
        <v>1647</v>
      </c>
    </row>
    <row r="29" spans="1:21" ht="32.25" customHeight="1" x14ac:dyDescent="0.25">
      <c r="A29" s="135">
        <v>17</v>
      </c>
      <c r="B29" s="64" t="s">
        <v>12</v>
      </c>
      <c r="C29" s="64"/>
      <c r="D29" s="63" t="s">
        <v>196</v>
      </c>
      <c r="E29" s="63" t="s">
        <v>252</v>
      </c>
      <c r="F29" s="64" t="s">
        <v>197</v>
      </c>
      <c r="G29" s="62" t="s">
        <v>195</v>
      </c>
      <c r="H29" s="63" t="s">
        <v>354</v>
      </c>
      <c r="I29" s="115" t="s">
        <v>272</v>
      </c>
      <c r="J29" s="117">
        <v>42374</v>
      </c>
      <c r="K29" s="117">
        <v>42937</v>
      </c>
      <c r="L29" s="117">
        <v>43111</v>
      </c>
      <c r="M29" s="59">
        <v>43026</v>
      </c>
      <c r="N29" s="111">
        <v>4351299.84</v>
      </c>
      <c r="O29" s="124" t="s">
        <v>332</v>
      </c>
      <c r="P29" s="59">
        <v>43026</v>
      </c>
      <c r="Q29" s="122" t="s">
        <v>217</v>
      </c>
      <c r="R29" s="134"/>
      <c r="T29" s="114">
        <v>43744</v>
      </c>
      <c r="U29" s="113">
        <f t="shared" si="0"/>
        <v>-718</v>
      </c>
    </row>
    <row r="30" spans="1:21" ht="32.25" customHeight="1" x14ac:dyDescent="0.25">
      <c r="A30" s="135">
        <v>18</v>
      </c>
      <c r="B30" s="64" t="s">
        <v>51</v>
      </c>
      <c r="C30" s="64"/>
      <c r="D30" s="63" t="s">
        <v>199</v>
      </c>
      <c r="E30" s="63" t="s">
        <v>252</v>
      </c>
      <c r="F30" s="64" t="s">
        <v>197</v>
      </c>
      <c r="G30" s="62" t="s">
        <v>198</v>
      </c>
      <c r="H30" s="63" t="s">
        <v>355</v>
      </c>
      <c r="I30" s="66" t="s">
        <v>273</v>
      </c>
      <c r="J30" s="117">
        <v>43472</v>
      </c>
      <c r="K30" s="117">
        <v>43990</v>
      </c>
      <c r="L30" s="117">
        <v>44063</v>
      </c>
      <c r="M30" s="59">
        <v>44061</v>
      </c>
      <c r="N30" s="111">
        <v>9088582.4399999995</v>
      </c>
      <c r="O30" s="124" t="s">
        <v>332</v>
      </c>
      <c r="P30" s="59">
        <v>44061</v>
      </c>
      <c r="Q30" s="122" t="s">
        <v>217</v>
      </c>
      <c r="R30" s="134"/>
    </row>
    <row r="31" spans="1:21" ht="32.25" customHeight="1" x14ac:dyDescent="0.25">
      <c r="A31" s="135">
        <v>19</v>
      </c>
      <c r="B31" s="64" t="s">
        <v>51</v>
      </c>
      <c r="C31" s="64">
        <v>13</v>
      </c>
      <c r="D31" s="94" t="s">
        <v>118</v>
      </c>
      <c r="E31" s="121" t="s">
        <v>253</v>
      </c>
      <c r="F31" s="66" t="s">
        <v>119</v>
      </c>
      <c r="G31" s="121" t="s">
        <v>117</v>
      </c>
      <c r="H31" s="94" t="s">
        <v>353</v>
      </c>
      <c r="I31" s="115">
        <v>2448521</v>
      </c>
      <c r="J31" s="117">
        <v>44790</v>
      </c>
      <c r="K31" s="119">
        <v>45644</v>
      </c>
      <c r="L31" s="119">
        <v>46091</v>
      </c>
      <c r="M31" s="119">
        <v>45995</v>
      </c>
      <c r="N31" s="111">
        <v>15971337.460000001</v>
      </c>
      <c r="O31" s="124" t="s">
        <v>331</v>
      </c>
      <c r="P31" s="119">
        <v>45973</v>
      </c>
      <c r="Q31" s="122" t="s">
        <v>217</v>
      </c>
      <c r="R31" s="134"/>
    </row>
    <row r="32" spans="1:21" ht="32.25" customHeight="1" x14ac:dyDescent="0.25">
      <c r="A32" s="135">
        <v>20</v>
      </c>
      <c r="B32" s="64" t="s">
        <v>51</v>
      </c>
      <c r="C32" s="64">
        <v>28</v>
      </c>
      <c r="D32" s="94" t="s">
        <v>121</v>
      </c>
      <c r="E32" s="121" t="s">
        <v>253</v>
      </c>
      <c r="F32" s="66" t="s">
        <v>119</v>
      </c>
      <c r="G32" s="121" t="s">
        <v>120</v>
      </c>
      <c r="H32" s="94" t="s">
        <v>353</v>
      </c>
      <c r="I32" s="66" t="s">
        <v>274</v>
      </c>
      <c r="J32" s="117">
        <v>44790</v>
      </c>
      <c r="K32" s="119">
        <v>45672</v>
      </c>
      <c r="L32" s="119">
        <v>46093</v>
      </c>
      <c r="M32" s="119">
        <v>45995</v>
      </c>
      <c r="N32" s="111">
        <v>15294041.5</v>
      </c>
      <c r="O32" s="124" t="s">
        <v>331</v>
      </c>
      <c r="P32" s="119">
        <v>46087</v>
      </c>
      <c r="Q32" s="122" t="s">
        <v>217</v>
      </c>
      <c r="R32" s="134"/>
    </row>
    <row r="33" spans="1:22" s="22" customFormat="1" ht="32.25" customHeight="1" x14ac:dyDescent="0.25">
      <c r="A33" s="135">
        <v>22</v>
      </c>
      <c r="B33" s="64" t="s">
        <v>20</v>
      </c>
      <c r="C33" s="64"/>
      <c r="D33" s="94" t="s">
        <v>145</v>
      </c>
      <c r="E33" s="121" t="s">
        <v>252</v>
      </c>
      <c r="F33" s="66" t="s">
        <v>146</v>
      </c>
      <c r="G33" s="121" t="s">
        <v>144</v>
      </c>
      <c r="H33" s="94" t="s">
        <v>354</v>
      </c>
      <c r="I33" s="66" t="s">
        <v>275</v>
      </c>
      <c r="J33" s="117">
        <v>44756</v>
      </c>
      <c r="K33" s="118">
        <v>45121</v>
      </c>
      <c r="L33" s="119">
        <v>46058</v>
      </c>
      <c r="M33" s="119">
        <v>45989</v>
      </c>
      <c r="N33" s="111">
        <v>14572794.65</v>
      </c>
      <c r="O33" s="124" t="s">
        <v>331</v>
      </c>
      <c r="P33" s="119">
        <v>45973</v>
      </c>
      <c r="Q33" s="122" t="s">
        <v>217</v>
      </c>
      <c r="R33" s="134"/>
      <c r="V33" s="8"/>
    </row>
    <row r="34" spans="1:22" s="22" customFormat="1" ht="32.25" customHeight="1" x14ac:dyDescent="0.25">
      <c r="A34" s="135">
        <v>21</v>
      </c>
      <c r="B34" s="37" t="s">
        <v>51</v>
      </c>
      <c r="C34" s="37">
        <v>1</v>
      </c>
      <c r="D34" s="121" t="s">
        <v>148</v>
      </c>
      <c r="E34" s="121" t="s">
        <v>252</v>
      </c>
      <c r="F34" s="96" t="s">
        <v>146</v>
      </c>
      <c r="G34" s="121" t="s">
        <v>147</v>
      </c>
      <c r="H34" s="121" t="s">
        <v>353</v>
      </c>
      <c r="I34" s="66" t="s">
        <v>276</v>
      </c>
      <c r="J34" s="119">
        <v>44712</v>
      </c>
      <c r="K34" s="119">
        <v>45603</v>
      </c>
      <c r="L34" s="119">
        <v>46129</v>
      </c>
      <c r="M34" s="119">
        <v>46128</v>
      </c>
      <c r="N34" s="153">
        <v>13466660.439999999</v>
      </c>
      <c r="O34" s="198" t="s">
        <v>331</v>
      </c>
      <c r="P34" s="119">
        <v>46139</v>
      </c>
      <c r="Q34" s="122" t="s">
        <v>217</v>
      </c>
      <c r="R34" s="134"/>
      <c r="V34" s="8"/>
    </row>
    <row r="35" spans="1:22" s="22" customFormat="1" ht="32.25" customHeight="1" x14ac:dyDescent="0.25">
      <c r="A35" s="144">
        <v>23</v>
      </c>
      <c r="B35" s="64" t="s">
        <v>20</v>
      </c>
      <c r="C35" s="64"/>
      <c r="D35" s="94" t="s">
        <v>72</v>
      </c>
      <c r="E35" s="121" t="s">
        <v>250</v>
      </c>
      <c r="F35" s="66" t="s">
        <v>73</v>
      </c>
      <c r="G35" s="121" t="s">
        <v>71</v>
      </c>
      <c r="H35" s="94" t="s">
        <v>355</v>
      </c>
      <c r="I35" s="115" t="s">
        <v>277</v>
      </c>
      <c r="J35" s="119">
        <v>44963</v>
      </c>
      <c r="K35" s="119">
        <v>45425</v>
      </c>
      <c r="L35" s="119">
        <v>45972</v>
      </c>
      <c r="M35" s="59">
        <v>45972</v>
      </c>
      <c r="N35" s="145">
        <v>15349988.98</v>
      </c>
      <c r="O35" s="146" t="s">
        <v>331</v>
      </c>
      <c r="P35" s="119">
        <v>45973</v>
      </c>
      <c r="Q35" s="150" t="s">
        <v>217</v>
      </c>
      <c r="R35" s="134"/>
      <c r="V35" s="8"/>
    </row>
    <row r="36" spans="1:22" s="22" customFormat="1" ht="32.25" customHeight="1" x14ac:dyDescent="0.25">
      <c r="A36" s="135">
        <v>24</v>
      </c>
      <c r="B36" s="37" t="s">
        <v>222</v>
      </c>
      <c r="C36" s="37">
        <v>5</v>
      </c>
      <c r="D36" s="63" t="s">
        <v>77</v>
      </c>
      <c r="E36" s="63" t="s">
        <v>253</v>
      </c>
      <c r="F36" s="64" t="s">
        <v>78</v>
      </c>
      <c r="G36" s="62" t="s">
        <v>76</v>
      </c>
      <c r="H36" s="63" t="s">
        <v>353</v>
      </c>
      <c r="I36" s="66" t="s">
        <v>278</v>
      </c>
      <c r="J36" s="119" t="s">
        <v>334</v>
      </c>
      <c r="K36" s="119" t="s">
        <v>334</v>
      </c>
      <c r="L36" s="119" t="s">
        <v>334</v>
      </c>
      <c r="M36" s="59">
        <v>44582</v>
      </c>
      <c r="N36" s="111">
        <v>2961331.15</v>
      </c>
      <c r="O36" s="124" t="s">
        <v>332</v>
      </c>
      <c r="P36" s="59">
        <v>44582</v>
      </c>
      <c r="Q36" s="122" t="s">
        <v>217</v>
      </c>
      <c r="R36" s="134"/>
      <c r="V36" s="8"/>
    </row>
    <row r="37" spans="1:22" s="22" customFormat="1" ht="32.25" customHeight="1" x14ac:dyDescent="0.25">
      <c r="A37" s="135">
        <v>25</v>
      </c>
      <c r="B37" s="37" t="s">
        <v>223</v>
      </c>
      <c r="C37" s="37">
        <v>52</v>
      </c>
      <c r="D37" s="63" t="s">
        <v>80</v>
      </c>
      <c r="E37" s="63" t="s">
        <v>253</v>
      </c>
      <c r="F37" s="64" t="s">
        <v>78</v>
      </c>
      <c r="G37" s="62" t="s">
        <v>79</v>
      </c>
      <c r="H37" s="63" t="s">
        <v>353</v>
      </c>
      <c r="I37" s="66" t="s">
        <v>279</v>
      </c>
      <c r="J37" s="119" t="s">
        <v>334</v>
      </c>
      <c r="K37" s="119" t="s">
        <v>334</v>
      </c>
      <c r="L37" s="119" t="s">
        <v>334</v>
      </c>
      <c r="M37" s="59">
        <v>45022</v>
      </c>
      <c r="N37" s="111">
        <v>3011067.39</v>
      </c>
      <c r="O37" s="124" t="s">
        <v>331</v>
      </c>
      <c r="P37" s="59">
        <v>45022</v>
      </c>
      <c r="Q37" s="122" t="s">
        <v>217</v>
      </c>
      <c r="R37" s="134"/>
      <c r="V37" s="8"/>
    </row>
    <row r="38" spans="1:22" s="22" customFormat="1" ht="32.25" customHeight="1" x14ac:dyDescent="0.25">
      <c r="A38" s="135">
        <v>26</v>
      </c>
      <c r="B38" s="64" t="s">
        <v>51</v>
      </c>
      <c r="C38" s="64">
        <v>21</v>
      </c>
      <c r="D38" s="94" t="s">
        <v>123</v>
      </c>
      <c r="E38" s="121" t="s">
        <v>253</v>
      </c>
      <c r="F38" s="66" t="s">
        <v>78</v>
      </c>
      <c r="G38" s="121" t="s">
        <v>122</v>
      </c>
      <c r="H38" s="94" t="s">
        <v>353</v>
      </c>
      <c r="I38" s="115" t="s">
        <v>280</v>
      </c>
      <c r="J38" s="117">
        <v>44854</v>
      </c>
      <c r="K38" s="117">
        <v>45665</v>
      </c>
      <c r="L38" s="117">
        <v>45883</v>
      </c>
      <c r="M38" s="59">
        <v>45874</v>
      </c>
      <c r="N38" s="111">
        <v>13911547.26</v>
      </c>
      <c r="O38" s="124" t="s">
        <v>331</v>
      </c>
      <c r="P38" s="59">
        <v>45973</v>
      </c>
      <c r="Q38" s="122" t="s">
        <v>217</v>
      </c>
      <c r="R38" s="134"/>
      <c r="V38" s="8"/>
    </row>
    <row r="39" spans="1:22" s="22" customFormat="1" ht="32.25" customHeight="1" x14ac:dyDescent="0.25">
      <c r="A39" s="135">
        <v>27</v>
      </c>
      <c r="B39" s="64" t="s">
        <v>12</v>
      </c>
      <c r="C39" s="64"/>
      <c r="D39" s="63" t="s">
        <v>142</v>
      </c>
      <c r="E39" s="63" t="s">
        <v>252</v>
      </c>
      <c r="F39" s="64" t="s">
        <v>143</v>
      </c>
      <c r="G39" s="62" t="s">
        <v>194</v>
      </c>
      <c r="H39" s="63" t="s">
        <v>354</v>
      </c>
      <c r="I39" s="66" t="s">
        <v>281</v>
      </c>
      <c r="J39" s="117">
        <v>43448</v>
      </c>
      <c r="K39" s="117">
        <v>43945</v>
      </c>
      <c r="L39" s="117">
        <v>44546</v>
      </c>
      <c r="M39" s="59">
        <v>44529</v>
      </c>
      <c r="N39" s="111">
        <v>5391352.4400000004</v>
      </c>
      <c r="O39" s="124" t="s">
        <v>332</v>
      </c>
      <c r="P39" s="59">
        <v>44529</v>
      </c>
      <c r="Q39" s="122" t="s">
        <v>217</v>
      </c>
      <c r="R39" s="134"/>
      <c r="V39" s="8"/>
    </row>
    <row r="40" spans="1:22" s="22" customFormat="1" ht="32.25" customHeight="1" x14ac:dyDescent="0.25">
      <c r="A40" s="135">
        <v>28</v>
      </c>
      <c r="B40" s="37" t="s">
        <v>20</v>
      </c>
      <c r="C40" s="37"/>
      <c r="D40" s="121" t="s">
        <v>142</v>
      </c>
      <c r="E40" s="121" t="s">
        <v>252</v>
      </c>
      <c r="F40" s="96" t="s">
        <v>143</v>
      </c>
      <c r="G40" s="121" t="s">
        <v>151</v>
      </c>
      <c r="H40" s="121" t="s">
        <v>355</v>
      </c>
      <c r="I40" s="66" t="s">
        <v>282</v>
      </c>
      <c r="J40" s="119">
        <v>45159</v>
      </c>
      <c r="K40" s="119" t="s">
        <v>205</v>
      </c>
      <c r="L40" s="119" t="s">
        <v>205</v>
      </c>
      <c r="M40" s="119" t="s">
        <v>205</v>
      </c>
      <c r="N40" s="153">
        <v>16367923.220000001</v>
      </c>
      <c r="O40" s="198" t="s">
        <v>331</v>
      </c>
      <c r="P40" s="119" t="s">
        <v>205</v>
      </c>
      <c r="Q40" s="126" t="s">
        <v>256</v>
      </c>
      <c r="R40" s="180" t="s">
        <v>339</v>
      </c>
      <c r="V40" s="8"/>
    </row>
    <row r="41" spans="1:22" s="22" customFormat="1" ht="32.25" customHeight="1" x14ac:dyDescent="0.25">
      <c r="A41" s="135">
        <v>29</v>
      </c>
      <c r="B41" s="64" t="s">
        <v>20</v>
      </c>
      <c r="C41" s="64">
        <v>41</v>
      </c>
      <c r="D41" s="63" t="s">
        <v>140</v>
      </c>
      <c r="E41" s="63" t="s">
        <v>252</v>
      </c>
      <c r="F41" s="64" t="s">
        <v>141</v>
      </c>
      <c r="G41" s="62" t="s">
        <v>139</v>
      </c>
      <c r="H41" s="63" t="s">
        <v>353</v>
      </c>
      <c r="I41" s="115" t="s">
        <v>283</v>
      </c>
      <c r="J41" s="117">
        <v>43391</v>
      </c>
      <c r="K41" s="117">
        <v>44041</v>
      </c>
      <c r="L41" s="117">
        <v>44399</v>
      </c>
      <c r="M41" s="59">
        <v>44295</v>
      </c>
      <c r="N41" s="111">
        <v>10097947.77</v>
      </c>
      <c r="O41" s="124" t="s">
        <v>332</v>
      </c>
      <c r="P41" s="59">
        <v>44295</v>
      </c>
      <c r="Q41" s="122" t="s">
        <v>217</v>
      </c>
      <c r="R41" s="134"/>
      <c r="V41" s="8"/>
    </row>
    <row r="42" spans="1:22" s="22" customFormat="1" ht="32.25" customHeight="1" x14ac:dyDescent="0.25">
      <c r="A42" s="135">
        <v>30</v>
      </c>
      <c r="B42" s="37" t="s">
        <v>20</v>
      </c>
      <c r="C42" s="37">
        <v>46</v>
      </c>
      <c r="D42" s="121" t="s">
        <v>150</v>
      </c>
      <c r="E42" s="121" t="s">
        <v>252</v>
      </c>
      <c r="F42" s="96" t="s">
        <v>141</v>
      </c>
      <c r="G42" s="121" t="s">
        <v>149</v>
      </c>
      <c r="H42" s="121" t="s">
        <v>353</v>
      </c>
      <c r="I42" s="66">
        <v>2795671</v>
      </c>
      <c r="J42" s="119">
        <v>45166</v>
      </c>
      <c r="K42" s="119">
        <v>45685</v>
      </c>
      <c r="L42" s="119">
        <v>46191</v>
      </c>
      <c r="M42" s="119">
        <v>46191</v>
      </c>
      <c r="N42" s="153">
        <v>17568185.850000001</v>
      </c>
      <c r="O42" s="198" t="s">
        <v>331</v>
      </c>
      <c r="P42" s="119" t="s">
        <v>205</v>
      </c>
      <c r="Q42" s="150" t="s">
        <v>217</v>
      </c>
      <c r="R42" s="134"/>
      <c r="V42" s="8"/>
    </row>
    <row r="43" spans="1:22" s="22" customFormat="1" ht="32.25" customHeight="1" x14ac:dyDescent="0.25">
      <c r="A43" s="144">
        <v>31</v>
      </c>
      <c r="B43" s="64" t="s">
        <v>12</v>
      </c>
      <c r="C43" s="64">
        <v>8</v>
      </c>
      <c r="D43" s="62" t="s">
        <v>41</v>
      </c>
      <c r="E43" s="61" t="s">
        <v>250</v>
      </c>
      <c r="F43" s="64" t="s">
        <v>42</v>
      </c>
      <c r="G43" s="62" t="s">
        <v>40</v>
      </c>
      <c r="H43" s="62" t="s">
        <v>353</v>
      </c>
      <c r="I43" s="115" t="s">
        <v>284</v>
      </c>
      <c r="J43" s="117">
        <v>42136</v>
      </c>
      <c r="K43" s="117">
        <v>42667</v>
      </c>
      <c r="L43" s="117">
        <v>42998</v>
      </c>
      <c r="M43" s="59">
        <v>42692</v>
      </c>
      <c r="N43" s="145">
        <v>5167324.72</v>
      </c>
      <c r="O43" s="146" t="s">
        <v>332</v>
      </c>
      <c r="P43" s="59">
        <v>42692</v>
      </c>
      <c r="Q43" s="150" t="s">
        <v>217</v>
      </c>
      <c r="R43" s="134"/>
      <c r="V43" s="8"/>
    </row>
    <row r="44" spans="1:22" s="22" customFormat="1" ht="32.25" customHeight="1" x14ac:dyDescent="0.25">
      <c r="A44" s="144">
        <v>32</v>
      </c>
      <c r="B44" s="64" t="s">
        <v>12</v>
      </c>
      <c r="C44" s="64">
        <v>39</v>
      </c>
      <c r="D44" s="62" t="s">
        <v>44</v>
      </c>
      <c r="E44" s="61" t="s">
        <v>250</v>
      </c>
      <c r="F44" s="64" t="s">
        <v>45</v>
      </c>
      <c r="G44" s="62" t="s">
        <v>43</v>
      </c>
      <c r="H44" s="62" t="s">
        <v>353</v>
      </c>
      <c r="I44" s="66" t="s">
        <v>285</v>
      </c>
      <c r="J44" s="117">
        <v>42997</v>
      </c>
      <c r="K44" s="117">
        <v>43948</v>
      </c>
      <c r="L44" s="117">
        <v>44217</v>
      </c>
      <c r="M44" s="59">
        <v>44172</v>
      </c>
      <c r="N44" s="145">
        <v>5143052.8499999996</v>
      </c>
      <c r="O44" s="146" t="s">
        <v>332</v>
      </c>
      <c r="P44" s="59">
        <v>44172</v>
      </c>
      <c r="Q44" s="150" t="s">
        <v>217</v>
      </c>
      <c r="R44" s="134"/>
      <c r="V44" s="8"/>
    </row>
    <row r="45" spans="1:22" s="22" customFormat="1" ht="32.25" customHeight="1" x14ac:dyDescent="0.25">
      <c r="A45" s="144">
        <v>33</v>
      </c>
      <c r="B45" s="64" t="s">
        <v>51</v>
      </c>
      <c r="C45" s="64">
        <v>40</v>
      </c>
      <c r="D45" s="62" t="s">
        <v>44</v>
      </c>
      <c r="E45" s="63" t="s">
        <v>250</v>
      </c>
      <c r="F45" s="64" t="s">
        <v>45</v>
      </c>
      <c r="G45" s="62" t="s">
        <v>53</v>
      </c>
      <c r="H45" s="62" t="s">
        <v>353</v>
      </c>
      <c r="I45" s="115" t="s">
        <v>286</v>
      </c>
      <c r="J45" s="117">
        <v>43395</v>
      </c>
      <c r="K45" s="117">
        <v>43879</v>
      </c>
      <c r="L45" s="117">
        <v>44385</v>
      </c>
      <c r="M45" s="59">
        <v>44323</v>
      </c>
      <c r="N45" s="145">
        <v>9276920.1600000001</v>
      </c>
      <c r="O45" s="146" t="s">
        <v>332</v>
      </c>
      <c r="P45" s="59">
        <v>44323</v>
      </c>
      <c r="Q45" s="150" t="s">
        <v>217</v>
      </c>
      <c r="R45" s="134"/>
      <c r="V45" s="8"/>
    </row>
    <row r="46" spans="1:22" s="22" customFormat="1" ht="32.25" customHeight="1" x14ac:dyDescent="0.25">
      <c r="A46" s="144">
        <v>34</v>
      </c>
      <c r="B46" s="64" t="s">
        <v>51</v>
      </c>
      <c r="C46" s="64">
        <v>36</v>
      </c>
      <c r="D46" s="121" t="s">
        <v>65</v>
      </c>
      <c r="E46" s="121" t="s">
        <v>250</v>
      </c>
      <c r="F46" s="66" t="s">
        <v>45</v>
      </c>
      <c r="G46" s="121" t="s">
        <v>64</v>
      </c>
      <c r="H46" s="121" t="s">
        <v>353</v>
      </c>
      <c r="I46" s="66" t="s">
        <v>287</v>
      </c>
      <c r="J46" s="119">
        <v>44900</v>
      </c>
      <c r="K46" s="119">
        <v>45708</v>
      </c>
      <c r="L46" s="119">
        <v>46084</v>
      </c>
      <c r="M46" s="59">
        <v>46073</v>
      </c>
      <c r="N46" s="145">
        <v>12592144.66</v>
      </c>
      <c r="O46" s="146" t="s">
        <v>331</v>
      </c>
      <c r="P46" s="119">
        <v>46114</v>
      </c>
      <c r="Q46" s="150" t="s">
        <v>217</v>
      </c>
      <c r="R46" s="134"/>
      <c r="V46" s="8"/>
    </row>
    <row r="47" spans="1:22" s="22" customFormat="1" ht="32.25" customHeight="1" x14ac:dyDescent="0.25">
      <c r="A47" s="144">
        <v>35</v>
      </c>
      <c r="B47" s="64" t="s">
        <v>51</v>
      </c>
      <c r="C47" s="64"/>
      <c r="D47" s="121" t="s">
        <v>70</v>
      </c>
      <c r="E47" s="121" t="s">
        <v>250</v>
      </c>
      <c r="F47" s="66" t="s">
        <v>68</v>
      </c>
      <c r="G47" s="121" t="s">
        <v>69</v>
      </c>
      <c r="H47" s="121" t="s">
        <v>354</v>
      </c>
      <c r="I47" s="66" t="s">
        <v>288</v>
      </c>
      <c r="J47" s="119">
        <v>44929</v>
      </c>
      <c r="K47" s="119">
        <v>45546</v>
      </c>
      <c r="L47" s="119">
        <v>45790</v>
      </c>
      <c r="M47" s="59">
        <v>45772</v>
      </c>
      <c r="N47" s="145">
        <v>12805628.25</v>
      </c>
      <c r="O47" s="146" t="s">
        <v>331</v>
      </c>
      <c r="P47" s="119">
        <v>45807</v>
      </c>
      <c r="Q47" s="150" t="s">
        <v>217</v>
      </c>
      <c r="R47" s="134"/>
      <c r="V47" s="8"/>
    </row>
    <row r="48" spans="1:22" s="22" customFormat="1" ht="32.25" customHeight="1" x14ac:dyDescent="0.25">
      <c r="A48" s="144">
        <v>36</v>
      </c>
      <c r="B48" s="64" t="s">
        <v>51</v>
      </c>
      <c r="C48" s="64">
        <v>34</v>
      </c>
      <c r="D48" s="94" t="s">
        <v>67</v>
      </c>
      <c r="E48" s="121" t="s">
        <v>250</v>
      </c>
      <c r="F48" s="66" t="s">
        <v>68</v>
      </c>
      <c r="G48" s="121" t="s">
        <v>66</v>
      </c>
      <c r="H48" s="94" t="s">
        <v>353</v>
      </c>
      <c r="I48" s="115" t="s">
        <v>289</v>
      </c>
      <c r="J48" s="119">
        <v>44809</v>
      </c>
      <c r="K48" s="119">
        <v>45547</v>
      </c>
      <c r="L48" s="119">
        <v>45876</v>
      </c>
      <c r="M48" s="59">
        <v>45832</v>
      </c>
      <c r="N48" s="145">
        <v>14427537.07</v>
      </c>
      <c r="O48" s="146" t="s">
        <v>331</v>
      </c>
      <c r="P48" s="119">
        <v>45856</v>
      </c>
      <c r="Q48" s="150" t="s">
        <v>217</v>
      </c>
      <c r="R48" s="134"/>
      <c r="V48" s="8"/>
    </row>
    <row r="49" spans="1:22" s="22" customFormat="1" ht="32.25" customHeight="1" x14ac:dyDescent="0.25">
      <c r="A49" s="135">
        <v>38</v>
      </c>
      <c r="B49" s="37" t="s">
        <v>12</v>
      </c>
      <c r="C49" s="37">
        <v>14</v>
      </c>
      <c r="D49" s="63" t="s">
        <v>163</v>
      </c>
      <c r="E49" s="63" t="s">
        <v>251</v>
      </c>
      <c r="F49" s="64" t="s">
        <v>161</v>
      </c>
      <c r="G49" s="62" t="s">
        <v>162</v>
      </c>
      <c r="H49" s="63" t="s">
        <v>353</v>
      </c>
      <c r="I49" s="115" t="s">
        <v>291</v>
      </c>
      <c r="J49" s="117">
        <v>42347</v>
      </c>
      <c r="K49" s="117">
        <v>42691</v>
      </c>
      <c r="L49" s="117">
        <v>42943</v>
      </c>
      <c r="M49" s="59">
        <v>42859</v>
      </c>
      <c r="N49" s="111">
        <v>4485509.32</v>
      </c>
      <c r="O49" s="124" t="s">
        <v>332</v>
      </c>
      <c r="P49" s="59">
        <v>42859</v>
      </c>
      <c r="Q49" s="122" t="s">
        <v>217</v>
      </c>
      <c r="R49" s="134"/>
      <c r="V49" s="8"/>
    </row>
    <row r="50" spans="1:22" s="22" customFormat="1" ht="32.25" customHeight="1" x14ac:dyDescent="0.25">
      <c r="A50" s="135">
        <v>40</v>
      </c>
      <c r="B50" s="37" t="s">
        <v>12</v>
      </c>
      <c r="C50" s="37">
        <v>29</v>
      </c>
      <c r="D50" s="63" t="s">
        <v>171</v>
      </c>
      <c r="E50" s="63" t="s">
        <v>251</v>
      </c>
      <c r="F50" s="64" t="s">
        <v>161</v>
      </c>
      <c r="G50" s="62" t="s">
        <v>170</v>
      </c>
      <c r="H50" s="63" t="s">
        <v>353</v>
      </c>
      <c r="I50" s="115">
        <v>2577623</v>
      </c>
      <c r="J50" s="117">
        <v>43185</v>
      </c>
      <c r="K50" s="117">
        <v>43567</v>
      </c>
      <c r="L50" s="117">
        <v>43661</v>
      </c>
      <c r="M50" s="59">
        <v>43676</v>
      </c>
      <c r="N50" s="111">
        <v>5115935.2300000004</v>
      </c>
      <c r="O50" s="124" t="s">
        <v>332</v>
      </c>
      <c r="P50" s="59">
        <v>43676</v>
      </c>
      <c r="Q50" s="122" t="s">
        <v>217</v>
      </c>
      <c r="R50" s="134"/>
      <c r="V50" s="8"/>
    </row>
    <row r="51" spans="1:22" s="22" customFormat="1" ht="32.25" customHeight="1" x14ac:dyDescent="0.25">
      <c r="A51" s="135">
        <v>37</v>
      </c>
      <c r="B51" s="37" t="s">
        <v>12</v>
      </c>
      <c r="C51" s="37">
        <v>10</v>
      </c>
      <c r="D51" s="63" t="s">
        <v>173</v>
      </c>
      <c r="E51" s="63" t="s">
        <v>251</v>
      </c>
      <c r="F51" s="64" t="s">
        <v>161</v>
      </c>
      <c r="G51" s="62" t="s">
        <v>172</v>
      </c>
      <c r="H51" s="63" t="s">
        <v>353</v>
      </c>
      <c r="I51" s="115" t="s">
        <v>292</v>
      </c>
      <c r="J51" s="117">
        <v>43186</v>
      </c>
      <c r="K51" s="117">
        <v>43657</v>
      </c>
      <c r="L51" s="117">
        <v>44109</v>
      </c>
      <c r="M51" s="59">
        <v>43819</v>
      </c>
      <c r="N51" s="111">
        <v>5030554.58</v>
      </c>
      <c r="O51" s="124" t="s">
        <v>332</v>
      </c>
      <c r="P51" s="59">
        <v>43819</v>
      </c>
      <c r="Q51" s="122" t="s">
        <v>217</v>
      </c>
      <c r="R51" s="134"/>
      <c r="V51" s="8"/>
    </row>
    <row r="52" spans="1:22" s="22" customFormat="1" ht="32.25" customHeight="1" x14ac:dyDescent="0.25">
      <c r="A52" s="135">
        <v>39</v>
      </c>
      <c r="B52" s="37" t="s">
        <v>51</v>
      </c>
      <c r="C52" s="37">
        <v>19</v>
      </c>
      <c r="D52" s="63" t="s">
        <v>184</v>
      </c>
      <c r="E52" s="63" t="s">
        <v>251</v>
      </c>
      <c r="F52" s="64" t="s">
        <v>161</v>
      </c>
      <c r="G52" s="62" t="s">
        <v>183</v>
      </c>
      <c r="H52" s="63" t="s">
        <v>353</v>
      </c>
      <c r="I52" s="66">
        <v>2741989</v>
      </c>
      <c r="J52" s="117">
        <v>44013</v>
      </c>
      <c r="K52" s="117">
        <v>44383</v>
      </c>
      <c r="L52" s="117">
        <v>44694</v>
      </c>
      <c r="M52" s="59">
        <v>44677</v>
      </c>
      <c r="N52" s="111">
        <v>9157015.9900000002</v>
      </c>
      <c r="O52" s="124" t="s">
        <v>332</v>
      </c>
      <c r="P52" s="59">
        <v>44677</v>
      </c>
      <c r="Q52" s="122" t="s">
        <v>217</v>
      </c>
      <c r="R52" s="134"/>
      <c r="V52" s="8"/>
    </row>
    <row r="53" spans="1:22" s="22" customFormat="1" ht="32.25" customHeight="1" x14ac:dyDescent="0.25">
      <c r="A53" s="135">
        <v>41</v>
      </c>
      <c r="B53" s="37" t="s">
        <v>222</v>
      </c>
      <c r="C53" s="37"/>
      <c r="D53" s="63" t="s">
        <v>163</v>
      </c>
      <c r="E53" s="63" t="s">
        <v>251</v>
      </c>
      <c r="F53" s="64" t="s">
        <v>161</v>
      </c>
      <c r="G53" s="62" t="s">
        <v>160</v>
      </c>
      <c r="H53" s="63" t="s">
        <v>354</v>
      </c>
      <c r="I53" s="66" t="s">
        <v>290</v>
      </c>
      <c r="J53" s="119" t="s">
        <v>334</v>
      </c>
      <c r="K53" s="119" t="s">
        <v>334</v>
      </c>
      <c r="L53" s="119" t="s">
        <v>334</v>
      </c>
      <c r="M53" s="59">
        <v>45371</v>
      </c>
      <c r="N53" s="111">
        <v>3304342.48</v>
      </c>
      <c r="O53" s="124" t="s">
        <v>331</v>
      </c>
      <c r="P53" s="59">
        <v>45371</v>
      </c>
      <c r="Q53" s="122" t="s">
        <v>217</v>
      </c>
      <c r="R53" s="134"/>
      <c r="V53" s="8"/>
    </row>
    <row r="54" spans="1:22" s="22" customFormat="1" ht="32.25" customHeight="1" x14ac:dyDescent="0.25">
      <c r="A54" s="135">
        <v>43</v>
      </c>
      <c r="B54" s="37" t="s">
        <v>51</v>
      </c>
      <c r="C54" s="37">
        <v>9</v>
      </c>
      <c r="D54" s="121" t="s">
        <v>190</v>
      </c>
      <c r="E54" s="121" t="s">
        <v>251</v>
      </c>
      <c r="F54" s="96" t="s">
        <v>161</v>
      </c>
      <c r="G54" s="121" t="s">
        <v>189</v>
      </c>
      <c r="H54" s="121" t="s">
        <v>353</v>
      </c>
      <c r="I54" s="66" t="s">
        <v>294</v>
      </c>
      <c r="J54" s="119">
        <v>45054</v>
      </c>
      <c r="K54" s="119">
        <v>45834</v>
      </c>
      <c r="L54" s="119" t="s">
        <v>205</v>
      </c>
      <c r="M54" s="164" t="s">
        <v>340</v>
      </c>
      <c r="N54" s="153">
        <v>13584016.949999999</v>
      </c>
      <c r="O54" s="198" t="s">
        <v>331</v>
      </c>
      <c r="P54" s="119">
        <v>46157</v>
      </c>
      <c r="Q54" s="122" t="s">
        <v>217</v>
      </c>
      <c r="R54" s="134" t="s">
        <v>342</v>
      </c>
      <c r="V54" s="8"/>
    </row>
    <row r="55" spans="1:22" s="22" customFormat="1" ht="32.25" customHeight="1" x14ac:dyDescent="0.25">
      <c r="A55" s="135">
        <v>42</v>
      </c>
      <c r="B55" s="37" t="s">
        <v>51</v>
      </c>
      <c r="C55" s="37">
        <v>54</v>
      </c>
      <c r="D55" s="121" t="s">
        <v>192</v>
      </c>
      <c r="E55" s="121" t="s">
        <v>251</v>
      </c>
      <c r="F55" s="96" t="s">
        <v>161</v>
      </c>
      <c r="G55" s="121" t="s">
        <v>191</v>
      </c>
      <c r="H55" s="121" t="s">
        <v>353</v>
      </c>
      <c r="I55" s="66" t="s">
        <v>293</v>
      </c>
      <c r="J55" s="119">
        <v>44914</v>
      </c>
      <c r="K55" s="119">
        <v>45833</v>
      </c>
      <c r="L55" s="119" t="s">
        <v>205</v>
      </c>
      <c r="M55" s="119" t="s">
        <v>205</v>
      </c>
      <c r="N55" s="153">
        <v>14751453.33</v>
      </c>
      <c r="O55" s="198" t="s">
        <v>331</v>
      </c>
      <c r="P55" s="119" t="s">
        <v>205</v>
      </c>
      <c r="Q55" s="126" t="s">
        <v>256</v>
      </c>
      <c r="R55" s="134" t="s">
        <v>329</v>
      </c>
      <c r="V55" s="8"/>
    </row>
    <row r="56" spans="1:22" ht="32.25" customHeight="1" x14ac:dyDescent="0.25">
      <c r="A56" s="135">
        <v>44</v>
      </c>
      <c r="B56" s="37" t="s">
        <v>223</v>
      </c>
      <c r="C56" s="37"/>
      <c r="D56" s="63" t="s">
        <v>82</v>
      </c>
      <c r="E56" s="63" t="s">
        <v>253</v>
      </c>
      <c r="F56" s="64" t="s">
        <v>83</v>
      </c>
      <c r="G56" s="62" t="s">
        <v>81</v>
      </c>
      <c r="H56" s="63" t="s">
        <v>356</v>
      </c>
      <c r="I56" s="66" t="s">
        <v>295</v>
      </c>
      <c r="J56" s="119" t="s">
        <v>334</v>
      </c>
      <c r="K56" s="119" t="s">
        <v>334</v>
      </c>
      <c r="L56" s="119" t="s">
        <v>334</v>
      </c>
      <c r="M56" s="59">
        <v>44244</v>
      </c>
      <c r="N56" s="111">
        <v>2386724.8199999998</v>
      </c>
      <c r="O56" s="124" t="s">
        <v>332</v>
      </c>
      <c r="P56" s="59">
        <v>44244</v>
      </c>
      <c r="Q56" s="122" t="s">
        <v>217</v>
      </c>
      <c r="R56" s="134"/>
    </row>
    <row r="57" spans="1:22" ht="32.25" customHeight="1" x14ac:dyDescent="0.25">
      <c r="A57" s="135">
        <v>47</v>
      </c>
      <c r="B57" s="64" t="s">
        <v>51</v>
      </c>
      <c r="C57" s="64">
        <v>53</v>
      </c>
      <c r="D57" s="63" t="s">
        <v>101</v>
      </c>
      <c r="E57" s="63" t="s">
        <v>253</v>
      </c>
      <c r="F57" s="64" t="s">
        <v>83</v>
      </c>
      <c r="G57" s="62" t="s">
        <v>100</v>
      </c>
      <c r="H57" s="63" t="s">
        <v>353</v>
      </c>
      <c r="I57" s="66">
        <v>2273748</v>
      </c>
      <c r="J57" s="117">
        <v>44125</v>
      </c>
      <c r="K57" s="117">
        <v>44664</v>
      </c>
      <c r="L57" s="117">
        <v>44915</v>
      </c>
      <c r="M57" s="59">
        <v>44887</v>
      </c>
      <c r="N57" s="111">
        <v>11124089.93</v>
      </c>
      <c r="O57" s="124" t="s">
        <v>332</v>
      </c>
      <c r="P57" s="59">
        <v>44887</v>
      </c>
      <c r="Q57" s="122" t="s">
        <v>217</v>
      </c>
      <c r="R57" s="134"/>
    </row>
    <row r="58" spans="1:22" ht="32.25" customHeight="1" x14ac:dyDescent="0.25">
      <c r="A58" s="135">
        <v>45</v>
      </c>
      <c r="B58" s="37" t="s">
        <v>223</v>
      </c>
      <c r="C58" s="37"/>
      <c r="D58" s="63" t="s">
        <v>82</v>
      </c>
      <c r="E58" s="63" t="s">
        <v>253</v>
      </c>
      <c r="F58" s="64" t="s">
        <v>83</v>
      </c>
      <c r="G58" s="62" t="s">
        <v>84</v>
      </c>
      <c r="H58" s="63" t="s">
        <v>356</v>
      </c>
      <c r="I58" s="115">
        <v>2273462</v>
      </c>
      <c r="J58" s="119" t="s">
        <v>334</v>
      </c>
      <c r="K58" s="119" t="s">
        <v>334</v>
      </c>
      <c r="L58" s="119" t="s">
        <v>334</v>
      </c>
      <c r="M58" s="59">
        <v>44931</v>
      </c>
      <c r="N58" s="111">
        <v>3186575.26</v>
      </c>
      <c r="O58" s="124" t="s">
        <v>331</v>
      </c>
      <c r="P58" s="59">
        <v>44931</v>
      </c>
      <c r="Q58" s="122" t="s">
        <v>217</v>
      </c>
      <c r="R58" s="134"/>
    </row>
    <row r="59" spans="1:22" ht="32.25" customHeight="1" x14ac:dyDescent="0.25">
      <c r="A59" s="135">
        <v>46</v>
      </c>
      <c r="B59" s="37" t="s">
        <v>51</v>
      </c>
      <c r="C59" s="37"/>
      <c r="D59" s="94" t="s">
        <v>82</v>
      </c>
      <c r="E59" s="121" t="s">
        <v>253</v>
      </c>
      <c r="F59" s="66" t="s">
        <v>83</v>
      </c>
      <c r="G59" s="121" t="s">
        <v>137</v>
      </c>
      <c r="H59" s="94" t="s">
        <v>356</v>
      </c>
      <c r="I59" s="66">
        <v>2269384</v>
      </c>
      <c r="J59" s="117">
        <v>44795</v>
      </c>
      <c r="K59" s="118">
        <v>45280</v>
      </c>
      <c r="L59" s="118">
        <v>45607</v>
      </c>
      <c r="M59" s="59">
        <v>45603</v>
      </c>
      <c r="N59" s="111">
        <v>13452963.640000001</v>
      </c>
      <c r="O59" s="124" t="s">
        <v>331</v>
      </c>
      <c r="P59" s="59">
        <v>45807</v>
      </c>
      <c r="Q59" s="122" t="s">
        <v>217</v>
      </c>
      <c r="R59" s="134"/>
    </row>
    <row r="60" spans="1:22" ht="32.25" customHeight="1" x14ac:dyDescent="0.25">
      <c r="A60" s="135">
        <v>50</v>
      </c>
      <c r="B60" s="37" t="s">
        <v>51</v>
      </c>
      <c r="C60" s="37">
        <v>50</v>
      </c>
      <c r="D60" s="121" t="s">
        <v>125</v>
      </c>
      <c r="E60" s="121" t="s">
        <v>253</v>
      </c>
      <c r="F60" s="96" t="s">
        <v>83</v>
      </c>
      <c r="G60" s="121" t="s">
        <v>124</v>
      </c>
      <c r="H60" s="121" t="s">
        <v>353</v>
      </c>
      <c r="I60" s="66">
        <v>2292386</v>
      </c>
      <c r="J60" s="119">
        <v>44795</v>
      </c>
      <c r="K60" s="119">
        <v>45797</v>
      </c>
      <c r="L60" s="127" t="s">
        <v>205</v>
      </c>
      <c r="M60" s="119">
        <v>45903</v>
      </c>
      <c r="N60" s="153">
        <v>14471453.640000001</v>
      </c>
      <c r="O60" s="198" t="s">
        <v>331</v>
      </c>
      <c r="P60" s="119">
        <v>46139</v>
      </c>
      <c r="Q60" s="122" t="s">
        <v>217</v>
      </c>
      <c r="R60" s="134" t="s">
        <v>343</v>
      </c>
    </row>
    <row r="61" spans="1:22" ht="32.25" customHeight="1" x14ac:dyDescent="0.25">
      <c r="A61" s="135">
        <v>49</v>
      </c>
      <c r="B61" s="37" t="s">
        <v>222</v>
      </c>
      <c r="C61" s="37"/>
      <c r="D61" s="121" t="s">
        <v>82</v>
      </c>
      <c r="E61" s="121" t="s">
        <v>253</v>
      </c>
      <c r="F61" s="96" t="s">
        <v>83</v>
      </c>
      <c r="G61" s="121" t="s">
        <v>204</v>
      </c>
      <c r="H61" s="121" t="s">
        <v>356</v>
      </c>
      <c r="I61" s="66">
        <v>2280167</v>
      </c>
      <c r="J61" s="119" t="s">
        <v>334</v>
      </c>
      <c r="K61" s="119" t="s">
        <v>334</v>
      </c>
      <c r="L61" s="119" t="s">
        <v>334</v>
      </c>
      <c r="M61" s="164" t="s">
        <v>338</v>
      </c>
      <c r="N61" s="153">
        <v>3447641.8</v>
      </c>
      <c r="O61" s="198" t="s">
        <v>331</v>
      </c>
      <c r="P61" s="119">
        <v>46200</v>
      </c>
      <c r="Q61" s="122" t="s">
        <v>217</v>
      </c>
      <c r="R61" s="134" t="s">
        <v>342</v>
      </c>
    </row>
    <row r="62" spans="1:22" ht="32.25" customHeight="1" x14ac:dyDescent="0.25">
      <c r="A62" s="135">
        <v>48</v>
      </c>
      <c r="B62" s="37" t="s">
        <v>51</v>
      </c>
      <c r="C62" s="37">
        <v>55</v>
      </c>
      <c r="D62" s="121" t="s">
        <v>127</v>
      </c>
      <c r="E62" s="121" t="s">
        <v>253</v>
      </c>
      <c r="F62" s="96" t="s">
        <v>83</v>
      </c>
      <c r="G62" s="121" t="s">
        <v>126</v>
      </c>
      <c r="H62" s="121" t="s">
        <v>353</v>
      </c>
      <c r="I62" s="66" t="s">
        <v>296</v>
      </c>
      <c r="J62" s="119">
        <v>44902</v>
      </c>
      <c r="K62" s="119" t="s">
        <v>205</v>
      </c>
      <c r="L62" s="119" t="s">
        <v>205</v>
      </c>
      <c r="M62" s="119" t="s">
        <v>205</v>
      </c>
      <c r="N62" s="153">
        <v>15751807.310000001</v>
      </c>
      <c r="O62" s="198" t="s">
        <v>331</v>
      </c>
      <c r="P62" s="119" t="s">
        <v>205</v>
      </c>
      <c r="Q62" s="126" t="s">
        <v>256</v>
      </c>
      <c r="R62" s="134" t="s">
        <v>344</v>
      </c>
    </row>
    <row r="63" spans="1:22" ht="32.25" customHeight="1" x14ac:dyDescent="0.25">
      <c r="A63" s="144">
        <v>52</v>
      </c>
      <c r="B63" s="64" t="s">
        <v>223</v>
      </c>
      <c r="C63" s="64">
        <v>33</v>
      </c>
      <c r="D63" s="62" t="s">
        <v>58</v>
      </c>
      <c r="E63" s="63" t="s">
        <v>250</v>
      </c>
      <c r="F63" s="64" t="s">
        <v>59</v>
      </c>
      <c r="G63" s="62" t="s">
        <v>57</v>
      </c>
      <c r="H63" s="62" t="s">
        <v>353</v>
      </c>
      <c r="I63" s="66" t="s">
        <v>297</v>
      </c>
      <c r="J63" s="119" t="s">
        <v>334</v>
      </c>
      <c r="K63" s="119" t="s">
        <v>334</v>
      </c>
      <c r="L63" s="119" t="s">
        <v>334</v>
      </c>
      <c r="M63" s="59">
        <v>44258</v>
      </c>
      <c r="N63" s="145">
        <v>2932746.87</v>
      </c>
      <c r="O63" s="146" t="s">
        <v>332</v>
      </c>
      <c r="P63" s="59">
        <v>44258</v>
      </c>
      <c r="Q63" s="150" t="s">
        <v>217</v>
      </c>
      <c r="R63" s="134"/>
    </row>
    <row r="64" spans="1:22" ht="32.25" customHeight="1" x14ac:dyDescent="0.25">
      <c r="A64" s="144">
        <v>51</v>
      </c>
      <c r="B64" s="64" t="s">
        <v>222</v>
      </c>
      <c r="C64" s="64">
        <v>32</v>
      </c>
      <c r="D64" s="62" t="s">
        <v>61</v>
      </c>
      <c r="E64" s="63" t="s">
        <v>250</v>
      </c>
      <c r="F64" s="64" t="s">
        <v>59</v>
      </c>
      <c r="G64" s="62" t="s">
        <v>60</v>
      </c>
      <c r="H64" s="62" t="s">
        <v>353</v>
      </c>
      <c r="I64" s="115" t="s">
        <v>298</v>
      </c>
      <c r="J64" s="119" t="s">
        <v>334</v>
      </c>
      <c r="K64" s="119" t="s">
        <v>334</v>
      </c>
      <c r="L64" s="119" t="s">
        <v>334</v>
      </c>
      <c r="M64" s="59">
        <v>44782</v>
      </c>
      <c r="N64" s="145">
        <v>2805032.32</v>
      </c>
      <c r="O64" s="146" t="s">
        <v>332</v>
      </c>
      <c r="P64" s="59">
        <v>44782</v>
      </c>
      <c r="Q64" s="150" t="s">
        <v>217</v>
      </c>
      <c r="R64" s="134"/>
    </row>
    <row r="65" spans="1:21" ht="32.25" customHeight="1" x14ac:dyDescent="0.25">
      <c r="A65" s="135">
        <v>53</v>
      </c>
      <c r="B65" s="37" t="s">
        <v>222</v>
      </c>
      <c r="C65" s="37">
        <v>38</v>
      </c>
      <c r="D65" s="94" t="s">
        <v>18</v>
      </c>
      <c r="E65" s="63" t="s">
        <v>254</v>
      </c>
      <c r="F65" s="96" t="s">
        <v>19</v>
      </c>
      <c r="G65" s="62" t="s">
        <v>328</v>
      </c>
      <c r="H65" s="63" t="s">
        <v>353</v>
      </c>
      <c r="I65" s="115">
        <v>7068336</v>
      </c>
      <c r="J65" s="119" t="s">
        <v>334</v>
      </c>
      <c r="K65" s="119" t="s">
        <v>334</v>
      </c>
      <c r="L65" s="119" t="s">
        <v>334</v>
      </c>
      <c r="M65" s="59">
        <v>43840</v>
      </c>
      <c r="N65" s="111">
        <v>2018793.04</v>
      </c>
      <c r="O65" s="125" t="s">
        <v>332</v>
      </c>
      <c r="P65" s="59">
        <v>43840</v>
      </c>
      <c r="Q65" s="122" t="s">
        <v>217</v>
      </c>
      <c r="R65" s="134"/>
    </row>
    <row r="66" spans="1:21" ht="32.25" customHeight="1" x14ac:dyDescent="0.25">
      <c r="A66" s="135">
        <v>54</v>
      </c>
      <c r="B66" s="37" t="s">
        <v>20</v>
      </c>
      <c r="C66" s="37"/>
      <c r="D66" s="121" t="s">
        <v>22</v>
      </c>
      <c r="E66" s="121" t="s">
        <v>254</v>
      </c>
      <c r="F66" s="96" t="s">
        <v>220</v>
      </c>
      <c r="G66" s="121" t="s">
        <v>21</v>
      </c>
      <c r="H66" s="121" t="s">
        <v>355</v>
      </c>
      <c r="I66" s="66" t="s">
        <v>299</v>
      </c>
      <c r="J66" s="119">
        <v>45460</v>
      </c>
      <c r="K66" s="119">
        <v>46119</v>
      </c>
      <c r="L66" s="119" t="s">
        <v>205</v>
      </c>
      <c r="M66" s="119" t="s">
        <v>205</v>
      </c>
      <c r="N66" s="153">
        <v>16970310.579999998</v>
      </c>
      <c r="O66" s="154" t="s">
        <v>331</v>
      </c>
      <c r="P66" s="119" t="s">
        <v>205</v>
      </c>
      <c r="Q66" s="126" t="s">
        <v>256</v>
      </c>
      <c r="R66" s="134" t="s">
        <v>358</v>
      </c>
    </row>
    <row r="67" spans="1:21" ht="32.25" customHeight="1" x14ac:dyDescent="0.25">
      <c r="A67" s="135">
        <v>58</v>
      </c>
      <c r="B67" s="37" t="s">
        <v>12</v>
      </c>
      <c r="C67" s="37"/>
      <c r="D67" s="63" t="s">
        <v>165</v>
      </c>
      <c r="E67" s="63" t="s">
        <v>251</v>
      </c>
      <c r="F67" s="64" t="s">
        <v>157</v>
      </c>
      <c r="G67" s="62" t="s">
        <v>164</v>
      </c>
      <c r="H67" s="63" t="s">
        <v>354</v>
      </c>
      <c r="I67" s="115" t="s">
        <v>302</v>
      </c>
      <c r="J67" s="117">
        <v>43004</v>
      </c>
      <c r="K67" s="117">
        <v>43312</v>
      </c>
      <c r="L67" s="117">
        <v>43516</v>
      </c>
      <c r="M67" s="59">
        <v>43584</v>
      </c>
      <c r="N67" s="111">
        <v>4480842.78</v>
      </c>
      <c r="O67" s="125" t="s">
        <v>332</v>
      </c>
      <c r="P67" s="59">
        <v>43584</v>
      </c>
      <c r="Q67" s="122" t="s">
        <v>217</v>
      </c>
      <c r="R67" s="134"/>
    </row>
    <row r="68" spans="1:21" ht="32.25" customHeight="1" x14ac:dyDescent="0.25">
      <c r="A68" s="135">
        <v>60</v>
      </c>
      <c r="B68" s="37" t="s">
        <v>12</v>
      </c>
      <c r="C68" s="37"/>
      <c r="D68" s="63" t="s">
        <v>167</v>
      </c>
      <c r="E68" s="63" t="s">
        <v>251</v>
      </c>
      <c r="F68" s="64" t="s">
        <v>157</v>
      </c>
      <c r="G68" s="62" t="s">
        <v>166</v>
      </c>
      <c r="H68" s="63" t="s">
        <v>356</v>
      </c>
      <c r="I68" s="115" t="s">
        <v>303</v>
      </c>
      <c r="J68" s="117">
        <v>43123</v>
      </c>
      <c r="K68" s="117">
        <v>43515</v>
      </c>
      <c r="L68" s="117">
        <v>44126</v>
      </c>
      <c r="M68" s="59">
        <v>43969</v>
      </c>
      <c r="N68" s="111">
        <v>5143058.12</v>
      </c>
      <c r="O68" s="125" t="s">
        <v>332</v>
      </c>
      <c r="P68" s="59">
        <v>43969</v>
      </c>
      <c r="Q68" s="122" t="s">
        <v>217</v>
      </c>
      <c r="R68" s="134"/>
    </row>
    <row r="69" spans="1:21" ht="32.25" customHeight="1" x14ac:dyDescent="0.25">
      <c r="A69" s="135">
        <v>62</v>
      </c>
      <c r="B69" s="37" t="s">
        <v>12</v>
      </c>
      <c r="C69" s="37">
        <v>42</v>
      </c>
      <c r="D69" s="63" t="s">
        <v>175</v>
      </c>
      <c r="E69" s="63" t="s">
        <v>251</v>
      </c>
      <c r="F69" s="64" t="s">
        <v>157</v>
      </c>
      <c r="G69" s="62" t="s">
        <v>174</v>
      </c>
      <c r="H69" s="63" t="s">
        <v>353</v>
      </c>
      <c r="I69" s="66" t="s">
        <v>304</v>
      </c>
      <c r="J69" s="117">
        <v>43286</v>
      </c>
      <c r="K69" s="117">
        <v>43732</v>
      </c>
      <c r="L69" s="117">
        <v>44126</v>
      </c>
      <c r="M69" s="59">
        <v>44026</v>
      </c>
      <c r="N69" s="111">
        <v>5028299.7</v>
      </c>
      <c r="O69" s="125" t="s">
        <v>332</v>
      </c>
      <c r="P69" s="59">
        <v>44026</v>
      </c>
      <c r="Q69" s="122" t="s">
        <v>217</v>
      </c>
      <c r="R69" s="134"/>
    </row>
    <row r="70" spans="1:21" ht="32.25" customHeight="1" x14ac:dyDescent="0.25">
      <c r="A70" s="135">
        <v>59</v>
      </c>
      <c r="B70" s="37" t="s">
        <v>12</v>
      </c>
      <c r="C70" s="37">
        <v>35</v>
      </c>
      <c r="D70" s="63" t="s">
        <v>165</v>
      </c>
      <c r="E70" s="63" t="s">
        <v>251</v>
      </c>
      <c r="F70" s="64" t="s">
        <v>157</v>
      </c>
      <c r="G70" s="62" t="s">
        <v>176</v>
      </c>
      <c r="H70" s="63" t="s">
        <v>353</v>
      </c>
      <c r="I70" s="66" t="s">
        <v>305</v>
      </c>
      <c r="J70" s="117">
        <v>43032</v>
      </c>
      <c r="K70" s="117">
        <v>44054</v>
      </c>
      <c r="L70" s="117">
        <v>44701</v>
      </c>
      <c r="M70" s="59">
        <v>44174</v>
      </c>
      <c r="N70" s="111">
        <v>5091502.49</v>
      </c>
      <c r="O70" s="125" t="s">
        <v>332</v>
      </c>
      <c r="P70" s="59">
        <v>44174</v>
      </c>
      <c r="Q70" s="122" t="s">
        <v>217</v>
      </c>
      <c r="R70" s="134"/>
    </row>
    <row r="71" spans="1:21" ht="32.25" customHeight="1" x14ac:dyDescent="0.25">
      <c r="A71" s="135">
        <v>57</v>
      </c>
      <c r="B71" s="37" t="s">
        <v>223</v>
      </c>
      <c r="C71" s="37">
        <v>26</v>
      </c>
      <c r="D71" s="63" t="s">
        <v>156</v>
      </c>
      <c r="E71" s="63" t="s">
        <v>251</v>
      </c>
      <c r="F71" s="64" t="s">
        <v>157</v>
      </c>
      <c r="G71" s="62" t="s">
        <v>155</v>
      </c>
      <c r="H71" s="63" t="s">
        <v>353</v>
      </c>
      <c r="I71" s="115" t="s">
        <v>300</v>
      </c>
      <c r="J71" s="119" t="s">
        <v>334</v>
      </c>
      <c r="K71" s="119" t="s">
        <v>334</v>
      </c>
      <c r="L71" s="119" t="s">
        <v>334</v>
      </c>
      <c r="M71" s="59">
        <v>44291</v>
      </c>
      <c r="N71" s="111">
        <v>3063091.18</v>
      </c>
      <c r="O71" s="125" t="s">
        <v>332</v>
      </c>
      <c r="P71" s="59">
        <v>44291</v>
      </c>
      <c r="Q71" s="122" t="s">
        <v>217</v>
      </c>
      <c r="R71" s="134"/>
    </row>
    <row r="72" spans="1:21" ht="32.25" customHeight="1" x14ac:dyDescent="0.25">
      <c r="A72" s="135">
        <v>56</v>
      </c>
      <c r="B72" s="37" t="s">
        <v>222</v>
      </c>
      <c r="C72" s="37">
        <v>11</v>
      </c>
      <c r="D72" s="63" t="s">
        <v>159</v>
      </c>
      <c r="E72" s="63" t="s">
        <v>251</v>
      </c>
      <c r="F72" s="64" t="s">
        <v>157</v>
      </c>
      <c r="G72" s="62" t="s">
        <v>158</v>
      </c>
      <c r="H72" s="63" t="s">
        <v>353</v>
      </c>
      <c r="I72" s="66" t="s">
        <v>301</v>
      </c>
      <c r="J72" s="119" t="s">
        <v>334</v>
      </c>
      <c r="K72" s="119" t="s">
        <v>334</v>
      </c>
      <c r="L72" s="119" t="s">
        <v>334</v>
      </c>
      <c r="M72" s="59">
        <v>44519</v>
      </c>
      <c r="N72" s="111">
        <v>2961331.15</v>
      </c>
      <c r="O72" s="125" t="s">
        <v>332</v>
      </c>
      <c r="P72" s="59">
        <v>44519</v>
      </c>
      <c r="Q72" s="122" t="s">
        <v>217</v>
      </c>
      <c r="R72" s="134"/>
    </row>
    <row r="73" spans="1:21" ht="32.25" customHeight="1" x14ac:dyDescent="0.25">
      <c r="A73" s="135">
        <v>55</v>
      </c>
      <c r="B73" s="37" t="s">
        <v>51</v>
      </c>
      <c r="C73" s="37">
        <v>3</v>
      </c>
      <c r="D73" s="63" t="s">
        <v>186</v>
      </c>
      <c r="E73" s="63" t="s">
        <v>251</v>
      </c>
      <c r="F73" s="64" t="s">
        <v>157</v>
      </c>
      <c r="G73" s="62" t="s">
        <v>185</v>
      </c>
      <c r="H73" s="63" t="s">
        <v>353</v>
      </c>
      <c r="I73" s="115" t="s">
        <v>306</v>
      </c>
      <c r="J73" s="117">
        <v>44098</v>
      </c>
      <c r="K73" s="117">
        <v>44697</v>
      </c>
      <c r="L73" s="117">
        <v>44852</v>
      </c>
      <c r="M73" s="59">
        <v>44813</v>
      </c>
      <c r="N73" s="111">
        <v>11913829.289999999</v>
      </c>
      <c r="O73" s="125" t="s">
        <v>332</v>
      </c>
      <c r="P73" s="59">
        <v>44813</v>
      </c>
      <c r="Q73" s="122" t="s">
        <v>217</v>
      </c>
      <c r="R73" s="134"/>
    </row>
    <row r="74" spans="1:21" ht="32.25" customHeight="1" x14ac:dyDescent="0.25">
      <c r="A74" s="135">
        <v>63</v>
      </c>
      <c r="B74" s="37" t="s">
        <v>12</v>
      </c>
      <c r="C74" s="37"/>
      <c r="D74" s="94" t="s">
        <v>178</v>
      </c>
      <c r="E74" s="121" t="s">
        <v>251</v>
      </c>
      <c r="F74" s="66" t="s">
        <v>157</v>
      </c>
      <c r="G74" s="121" t="s">
        <v>177</v>
      </c>
      <c r="H74" s="94" t="s">
        <v>354</v>
      </c>
      <c r="I74" s="115" t="s">
        <v>307</v>
      </c>
      <c r="J74" s="117">
        <v>44810</v>
      </c>
      <c r="K74" s="118">
        <v>45078</v>
      </c>
      <c r="L74" s="118">
        <v>45330</v>
      </c>
      <c r="M74" s="59">
        <v>45301</v>
      </c>
      <c r="N74" s="111">
        <v>7379186.75</v>
      </c>
      <c r="O74" s="125" t="s">
        <v>331</v>
      </c>
      <c r="P74" s="59">
        <v>45506</v>
      </c>
      <c r="Q74" s="122" t="s">
        <v>217</v>
      </c>
      <c r="R74" s="134"/>
    </row>
    <row r="75" spans="1:21" ht="32.25" customHeight="1" x14ac:dyDescent="0.25">
      <c r="A75" s="135">
        <v>61</v>
      </c>
      <c r="B75" s="37" t="s">
        <v>222</v>
      </c>
      <c r="C75" s="37"/>
      <c r="D75" s="94" t="s">
        <v>167</v>
      </c>
      <c r="E75" s="121" t="s">
        <v>251</v>
      </c>
      <c r="F75" s="66" t="s">
        <v>157</v>
      </c>
      <c r="G75" s="121" t="s">
        <v>193</v>
      </c>
      <c r="H75" s="94" t="s">
        <v>356</v>
      </c>
      <c r="I75" s="66" t="s">
        <v>308</v>
      </c>
      <c r="J75" s="119" t="s">
        <v>334</v>
      </c>
      <c r="K75" s="119" t="s">
        <v>334</v>
      </c>
      <c r="L75" s="119" t="s">
        <v>334</v>
      </c>
      <c r="M75" s="119">
        <v>45687</v>
      </c>
      <c r="N75" s="111">
        <v>3263815.5</v>
      </c>
      <c r="O75" s="125" t="s">
        <v>331</v>
      </c>
      <c r="P75" s="119">
        <v>45520</v>
      </c>
      <c r="Q75" s="122" t="s">
        <v>217</v>
      </c>
      <c r="R75" s="134"/>
    </row>
    <row r="76" spans="1:21" ht="32.25" customHeight="1" x14ac:dyDescent="0.25">
      <c r="A76" s="135">
        <v>65</v>
      </c>
      <c r="B76" s="37" t="s">
        <v>12</v>
      </c>
      <c r="C76" s="37">
        <v>12</v>
      </c>
      <c r="D76" s="63" t="s">
        <v>169</v>
      </c>
      <c r="E76" s="63" t="s">
        <v>251</v>
      </c>
      <c r="F76" s="64" t="s">
        <v>154</v>
      </c>
      <c r="G76" s="62" t="s">
        <v>168</v>
      </c>
      <c r="H76" s="63" t="s">
        <v>353</v>
      </c>
      <c r="I76" s="66" t="s">
        <v>310</v>
      </c>
      <c r="J76" s="117">
        <v>43172</v>
      </c>
      <c r="K76" s="117">
        <v>43438</v>
      </c>
      <c r="L76" s="117">
        <v>43621</v>
      </c>
      <c r="M76" s="59">
        <v>43602</v>
      </c>
      <c r="N76" s="111">
        <v>4766471.13</v>
      </c>
      <c r="O76" s="125" t="s">
        <v>332</v>
      </c>
      <c r="P76" s="59">
        <v>43602</v>
      </c>
      <c r="Q76" s="122" t="s">
        <v>217</v>
      </c>
      <c r="R76" s="134"/>
      <c r="T76" s="114">
        <v>45412</v>
      </c>
      <c r="U76" s="113">
        <f>M76-T76</f>
        <v>-1810</v>
      </c>
    </row>
    <row r="77" spans="1:21" ht="32.25" customHeight="1" x14ac:dyDescent="0.25">
      <c r="A77" s="135">
        <v>66</v>
      </c>
      <c r="B77" s="37" t="s">
        <v>51</v>
      </c>
      <c r="C77" s="37">
        <v>22</v>
      </c>
      <c r="D77" s="63" t="s">
        <v>180</v>
      </c>
      <c r="E77" s="63" t="s">
        <v>251</v>
      </c>
      <c r="F77" s="64" t="s">
        <v>154</v>
      </c>
      <c r="G77" s="62" t="s">
        <v>179</v>
      </c>
      <c r="H77" s="63" t="s">
        <v>353</v>
      </c>
      <c r="I77" s="66" t="s">
        <v>311</v>
      </c>
      <c r="J77" s="117">
        <v>43325</v>
      </c>
      <c r="K77" s="117">
        <v>44043</v>
      </c>
      <c r="L77" s="117">
        <v>44166</v>
      </c>
      <c r="M77" s="59">
        <v>44134</v>
      </c>
      <c r="N77" s="111">
        <v>7360299.2300000004</v>
      </c>
      <c r="O77" s="125" t="s">
        <v>332</v>
      </c>
      <c r="P77" s="59">
        <v>44134</v>
      </c>
      <c r="Q77" s="122" t="s">
        <v>217</v>
      </c>
      <c r="R77" s="134"/>
    </row>
    <row r="78" spans="1:21" ht="32.25" customHeight="1" x14ac:dyDescent="0.25">
      <c r="A78" s="135">
        <v>64</v>
      </c>
      <c r="B78" s="37" t="s">
        <v>222</v>
      </c>
      <c r="C78" s="37">
        <v>6</v>
      </c>
      <c r="D78" s="63" t="s">
        <v>153</v>
      </c>
      <c r="E78" s="63" t="s">
        <v>251</v>
      </c>
      <c r="F78" s="64" t="s">
        <v>154</v>
      </c>
      <c r="G78" s="62" t="s">
        <v>152</v>
      </c>
      <c r="H78" s="63" t="s">
        <v>353</v>
      </c>
      <c r="I78" s="66" t="s">
        <v>309</v>
      </c>
      <c r="J78" s="119" t="s">
        <v>334</v>
      </c>
      <c r="K78" s="119" t="s">
        <v>334</v>
      </c>
      <c r="L78" s="119" t="s">
        <v>334</v>
      </c>
      <c r="M78" s="59">
        <v>44256</v>
      </c>
      <c r="N78" s="111">
        <v>2932746.87</v>
      </c>
      <c r="O78" s="125" t="s">
        <v>332</v>
      </c>
      <c r="P78" s="59">
        <v>44256</v>
      </c>
      <c r="Q78" s="122" t="s">
        <v>217</v>
      </c>
      <c r="R78" s="134"/>
    </row>
    <row r="79" spans="1:21" ht="32.25" customHeight="1" x14ac:dyDescent="0.25">
      <c r="A79" s="135">
        <v>68</v>
      </c>
      <c r="B79" s="37" t="s">
        <v>51</v>
      </c>
      <c r="C79" s="37">
        <v>51</v>
      </c>
      <c r="D79" s="63" t="s">
        <v>182</v>
      </c>
      <c r="E79" s="63" t="s">
        <v>251</v>
      </c>
      <c r="F79" s="64" t="s">
        <v>154</v>
      </c>
      <c r="G79" s="62" t="s">
        <v>181</v>
      </c>
      <c r="H79" s="63" t="s">
        <v>353</v>
      </c>
      <c r="I79" s="66">
        <v>2491710</v>
      </c>
      <c r="J79" s="117">
        <v>43425</v>
      </c>
      <c r="K79" s="117">
        <v>44334</v>
      </c>
      <c r="L79" s="117">
        <v>44670</v>
      </c>
      <c r="M79" s="59">
        <v>44637</v>
      </c>
      <c r="N79" s="111">
        <v>8618936.5</v>
      </c>
      <c r="O79" s="125" t="s">
        <v>332</v>
      </c>
      <c r="P79" s="59">
        <v>44637</v>
      </c>
      <c r="Q79" s="122" t="s">
        <v>217</v>
      </c>
      <c r="R79" s="134"/>
    </row>
    <row r="80" spans="1:21" ht="32.25" customHeight="1" x14ac:dyDescent="0.25">
      <c r="A80" s="135">
        <v>67</v>
      </c>
      <c r="B80" s="37" t="s">
        <v>51</v>
      </c>
      <c r="C80" s="37">
        <v>25</v>
      </c>
      <c r="D80" s="63" t="s">
        <v>188</v>
      </c>
      <c r="E80" s="63" t="s">
        <v>251</v>
      </c>
      <c r="F80" s="64" t="s">
        <v>154</v>
      </c>
      <c r="G80" s="62" t="s">
        <v>187</v>
      </c>
      <c r="H80" s="63" t="s">
        <v>353</v>
      </c>
      <c r="I80" s="66" t="s">
        <v>312</v>
      </c>
      <c r="J80" s="117">
        <v>44102</v>
      </c>
      <c r="K80" s="117">
        <v>44768</v>
      </c>
      <c r="L80" s="117">
        <v>45099</v>
      </c>
      <c r="M80" s="59">
        <v>45069</v>
      </c>
      <c r="N80" s="111">
        <v>14212659.75</v>
      </c>
      <c r="O80" s="125" t="s">
        <v>331</v>
      </c>
      <c r="P80" s="59">
        <v>45069</v>
      </c>
      <c r="Q80" s="122" t="s">
        <v>217</v>
      </c>
      <c r="R80" s="134"/>
    </row>
    <row r="81" spans="1:18" ht="32.25" customHeight="1" x14ac:dyDescent="0.25">
      <c r="A81" s="144">
        <v>69</v>
      </c>
      <c r="B81" s="64" t="s">
        <v>12</v>
      </c>
      <c r="C81" s="64"/>
      <c r="D81" s="62" t="s">
        <v>47</v>
      </c>
      <c r="E81" s="61" t="s">
        <v>250</v>
      </c>
      <c r="F81" s="64" t="s">
        <v>48</v>
      </c>
      <c r="G81" s="62" t="s">
        <v>46</v>
      </c>
      <c r="H81" s="62" t="s">
        <v>355</v>
      </c>
      <c r="I81" s="66" t="s">
        <v>313</v>
      </c>
      <c r="J81" s="117">
        <v>42347</v>
      </c>
      <c r="K81" s="117">
        <v>43006</v>
      </c>
      <c r="L81" s="117">
        <v>43217</v>
      </c>
      <c r="M81" s="59">
        <v>43157</v>
      </c>
      <c r="N81" s="145">
        <v>4563858.58</v>
      </c>
      <c r="O81" s="151" t="s">
        <v>332</v>
      </c>
      <c r="P81" s="59">
        <v>43157</v>
      </c>
      <c r="Q81" s="150" t="s">
        <v>217</v>
      </c>
      <c r="R81" s="134"/>
    </row>
    <row r="82" spans="1:18" ht="32.25" customHeight="1" x14ac:dyDescent="0.25">
      <c r="A82" s="135">
        <v>70</v>
      </c>
      <c r="B82" s="37" t="s">
        <v>222</v>
      </c>
      <c r="C82" s="37">
        <v>2</v>
      </c>
      <c r="D82" s="63" t="s">
        <v>203</v>
      </c>
      <c r="E82" s="63" t="s">
        <v>253</v>
      </c>
      <c r="F82" s="64" t="s">
        <v>87</v>
      </c>
      <c r="G82" s="62" t="s">
        <v>92</v>
      </c>
      <c r="H82" s="63" t="s">
        <v>353</v>
      </c>
      <c r="I82" s="66" t="s">
        <v>316</v>
      </c>
      <c r="J82" s="119" t="s">
        <v>334</v>
      </c>
      <c r="K82" s="119" t="s">
        <v>334</v>
      </c>
      <c r="L82" s="119" t="s">
        <v>334</v>
      </c>
      <c r="M82" s="59">
        <v>44357</v>
      </c>
      <c r="N82" s="111">
        <v>3628332.77</v>
      </c>
      <c r="O82" s="125" t="s">
        <v>332</v>
      </c>
      <c r="P82" s="59">
        <v>44357</v>
      </c>
      <c r="Q82" s="122" t="s">
        <v>217</v>
      </c>
      <c r="R82" s="134"/>
    </row>
    <row r="83" spans="1:18" ht="32.25" customHeight="1" x14ac:dyDescent="0.25">
      <c r="A83" s="135">
        <v>71</v>
      </c>
      <c r="B83" s="64" t="s">
        <v>51</v>
      </c>
      <c r="C83" s="64"/>
      <c r="D83" s="94" t="s">
        <v>114</v>
      </c>
      <c r="E83" s="121" t="s">
        <v>253</v>
      </c>
      <c r="F83" s="66" t="s">
        <v>87</v>
      </c>
      <c r="G83" s="121" t="s">
        <v>113</v>
      </c>
      <c r="H83" s="94" t="s">
        <v>355</v>
      </c>
      <c r="I83" s="66">
        <v>2790602</v>
      </c>
      <c r="J83" s="117">
        <v>44792</v>
      </c>
      <c r="K83" s="118">
        <v>45512</v>
      </c>
      <c r="L83" s="118">
        <v>45799</v>
      </c>
      <c r="M83" s="59">
        <v>45710</v>
      </c>
      <c r="N83" s="111">
        <v>10953431.51</v>
      </c>
      <c r="O83" s="125" t="s">
        <v>331</v>
      </c>
      <c r="P83" s="59">
        <v>45807</v>
      </c>
      <c r="Q83" s="122" t="s">
        <v>217</v>
      </c>
      <c r="R83" s="134"/>
    </row>
    <row r="84" spans="1:18" ht="32.25" customHeight="1" x14ac:dyDescent="0.25">
      <c r="A84" s="135">
        <v>72</v>
      </c>
      <c r="B84" s="64" t="s">
        <v>51</v>
      </c>
      <c r="C84" s="64">
        <v>7</v>
      </c>
      <c r="D84" s="63" t="s">
        <v>105</v>
      </c>
      <c r="E84" s="63" t="s">
        <v>253</v>
      </c>
      <c r="F84" s="64" t="s">
        <v>87</v>
      </c>
      <c r="G84" s="62" t="s">
        <v>104</v>
      </c>
      <c r="H84" s="63" t="s">
        <v>353</v>
      </c>
      <c r="I84" s="66">
        <v>2704900</v>
      </c>
      <c r="J84" s="117">
        <v>43411</v>
      </c>
      <c r="K84" s="117">
        <v>43816</v>
      </c>
      <c r="L84" s="117">
        <v>44098</v>
      </c>
      <c r="M84" s="59">
        <v>43998</v>
      </c>
      <c r="N84" s="111">
        <v>8413790.1899999995</v>
      </c>
      <c r="O84" s="125" t="s">
        <v>332</v>
      </c>
      <c r="P84" s="59">
        <v>43998</v>
      </c>
      <c r="Q84" s="122" t="s">
        <v>217</v>
      </c>
      <c r="R84" s="134"/>
    </row>
    <row r="85" spans="1:18" ht="32.25" customHeight="1" x14ac:dyDescent="0.25">
      <c r="A85" s="135">
        <v>90</v>
      </c>
      <c r="B85" s="64" t="s">
        <v>51</v>
      </c>
      <c r="C85" s="64">
        <v>20</v>
      </c>
      <c r="D85" s="94" t="s">
        <v>129</v>
      </c>
      <c r="E85" s="121" t="s">
        <v>253</v>
      </c>
      <c r="F85" s="66" t="s">
        <v>87</v>
      </c>
      <c r="G85" s="121" t="s">
        <v>128</v>
      </c>
      <c r="H85" s="94" t="s">
        <v>353</v>
      </c>
      <c r="I85" s="66">
        <v>2081512</v>
      </c>
      <c r="J85" s="117">
        <v>44865</v>
      </c>
      <c r="K85" s="119">
        <v>45687</v>
      </c>
      <c r="L85" s="120">
        <v>45915</v>
      </c>
      <c r="M85" s="59">
        <v>45912</v>
      </c>
      <c r="N85" s="111">
        <v>13164640.26</v>
      </c>
      <c r="O85" s="125" t="s">
        <v>331</v>
      </c>
      <c r="P85" s="59">
        <v>45954</v>
      </c>
      <c r="Q85" s="122" t="s">
        <v>217</v>
      </c>
      <c r="R85" s="134"/>
    </row>
    <row r="86" spans="1:18" ht="32.25" customHeight="1" x14ac:dyDescent="0.25">
      <c r="A86" s="135">
        <v>88</v>
      </c>
      <c r="B86" s="64" t="s">
        <v>51</v>
      </c>
      <c r="C86" s="64">
        <v>23</v>
      </c>
      <c r="D86" s="94" t="s">
        <v>133</v>
      </c>
      <c r="E86" s="121" t="s">
        <v>253</v>
      </c>
      <c r="F86" s="66" t="s">
        <v>87</v>
      </c>
      <c r="G86" s="121" t="s">
        <v>132</v>
      </c>
      <c r="H86" s="94" t="s">
        <v>353</v>
      </c>
      <c r="I86" s="66">
        <v>2027186</v>
      </c>
      <c r="J86" s="117">
        <v>44788</v>
      </c>
      <c r="K86" s="117">
        <v>45553</v>
      </c>
      <c r="L86" s="117">
        <v>45841</v>
      </c>
      <c r="M86" s="59">
        <v>45832</v>
      </c>
      <c r="N86" s="111">
        <v>14855359.800000001</v>
      </c>
      <c r="O86" s="125" t="s">
        <v>331</v>
      </c>
      <c r="P86" s="59">
        <v>45856</v>
      </c>
      <c r="Q86" s="122" t="s">
        <v>217</v>
      </c>
      <c r="R86" s="134"/>
    </row>
    <row r="87" spans="1:18" ht="32.25" customHeight="1" x14ac:dyDescent="0.25">
      <c r="A87" s="135">
        <v>73</v>
      </c>
      <c r="B87" s="37" t="s">
        <v>51</v>
      </c>
      <c r="C87" s="37">
        <v>24</v>
      </c>
      <c r="D87" s="94" t="s">
        <v>103</v>
      </c>
      <c r="E87" s="121" t="s">
        <v>253</v>
      </c>
      <c r="F87" s="66" t="s">
        <v>87</v>
      </c>
      <c r="G87" s="121" t="s">
        <v>102</v>
      </c>
      <c r="H87" s="94" t="s">
        <v>353</v>
      </c>
      <c r="I87" s="66" t="s">
        <v>317</v>
      </c>
      <c r="J87" s="117">
        <v>44803</v>
      </c>
      <c r="K87" s="118">
        <v>45246</v>
      </c>
      <c r="L87" s="118">
        <v>45523</v>
      </c>
      <c r="M87" s="59">
        <v>45391</v>
      </c>
      <c r="N87" s="111">
        <v>9858742.0199999996</v>
      </c>
      <c r="O87" s="125" t="s">
        <v>331</v>
      </c>
      <c r="P87" s="59">
        <v>45524</v>
      </c>
      <c r="Q87" s="122" t="s">
        <v>217</v>
      </c>
      <c r="R87" s="134"/>
    </row>
    <row r="88" spans="1:18" ht="32.25" customHeight="1" x14ac:dyDescent="0.25">
      <c r="A88" s="135">
        <v>74</v>
      </c>
      <c r="B88" s="64" t="s">
        <v>12</v>
      </c>
      <c r="C88" s="64">
        <v>27</v>
      </c>
      <c r="D88" s="63" t="s">
        <v>95</v>
      </c>
      <c r="E88" s="63" t="s">
        <v>253</v>
      </c>
      <c r="F88" s="64" t="s">
        <v>87</v>
      </c>
      <c r="G88" s="62" t="s">
        <v>94</v>
      </c>
      <c r="H88" s="63" t="s">
        <v>353</v>
      </c>
      <c r="I88" s="66" t="s">
        <v>318</v>
      </c>
      <c r="J88" s="117">
        <v>43185</v>
      </c>
      <c r="K88" s="117">
        <v>43166</v>
      </c>
      <c r="L88" s="117">
        <v>43565</v>
      </c>
      <c r="M88" s="59">
        <v>43676</v>
      </c>
      <c r="N88" s="111">
        <v>4207075.18</v>
      </c>
      <c r="O88" s="125" t="s">
        <v>332</v>
      </c>
      <c r="P88" s="59">
        <v>43676</v>
      </c>
      <c r="Q88" s="122" t="s">
        <v>217</v>
      </c>
      <c r="R88" s="134"/>
    </row>
    <row r="89" spans="1:18" ht="32.25" customHeight="1" x14ac:dyDescent="0.25">
      <c r="A89" s="135">
        <v>75</v>
      </c>
      <c r="B89" s="64" t="s">
        <v>51</v>
      </c>
      <c r="C89" s="64">
        <v>31</v>
      </c>
      <c r="D89" s="94" t="s">
        <v>116</v>
      </c>
      <c r="E89" s="121" t="s">
        <v>253</v>
      </c>
      <c r="F89" s="66" t="s">
        <v>87</v>
      </c>
      <c r="G89" s="121" t="s">
        <v>138</v>
      </c>
      <c r="H89" s="94" t="s">
        <v>353</v>
      </c>
      <c r="I89" s="66" t="s">
        <v>319</v>
      </c>
      <c r="J89" s="117">
        <v>44802</v>
      </c>
      <c r="K89" s="117">
        <v>45463</v>
      </c>
      <c r="L89" s="117">
        <v>45863</v>
      </c>
      <c r="M89" s="59">
        <v>45660</v>
      </c>
      <c r="N89" s="111">
        <v>12552772.02</v>
      </c>
      <c r="O89" s="125" t="s">
        <v>331</v>
      </c>
      <c r="P89" s="59">
        <v>45702</v>
      </c>
      <c r="Q89" s="122" t="s">
        <v>217</v>
      </c>
      <c r="R89" s="134"/>
    </row>
    <row r="90" spans="1:18" ht="32.25" customHeight="1" x14ac:dyDescent="0.25">
      <c r="A90" s="135">
        <v>89</v>
      </c>
      <c r="B90" s="64" t="s">
        <v>12</v>
      </c>
      <c r="C90" s="64"/>
      <c r="D90" s="94" t="s">
        <v>116</v>
      </c>
      <c r="E90" s="121" t="s">
        <v>253</v>
      </c>
      <c r="F90" s="66" t="s">
        <v>87</v>
      </c>
      <c r="G90" s="121" t="s">
        <v>115</v>
      </c>
      <c r="H90" s="94" t="s">
        <v>355</v>
      </c>
      <c r="I90" s="66">
        <v>2025507</v>
      </c>
      <c r="J90" s="119">
        <v>44754</v>
      </c>
      <c r="K90" s="119">
        <v>45554</v>
      </c>
      <c r="L90" s="119">
        <v>45862</v>
      </c>
      <c r="M90" s="119">
        <v>45854</v>
      </c>
      <c r="N90" s="111">
        <v>7804079.8099999996</v>
      </c>
      <c r="O90" s="125" t="s">
        <v>331</v>
      </c>
      <c r="P90" s="119">
        <v>45973</v>
      </c>
      <c r="Q90" s="122" t="s">
        <v>217</v>
      </c>
      <c r="R90" s="134"/>
    </row>
    <row r="91" spans="1:18" ht="32.25" customHeight="1" x14ac:dyDescent="0.25">
      <c r="A91" s="135">
        <v>76</v>
      </c>
      <c r="B91" s="37" t="s">
        <v>222</v>
      </c>
      <c r="C91" s="37"/>
      <c r="D91" s="63" t="s">
        <v>86</v>
      </c>
      <c r="E91" s="63" t="s">
        <v>253</v>
      </c>
      <c r="F91" s="64" t="s">
        <v>87</v>
      </c>
      <c r="G91" s="62" t="s">
        <v>85</v>
      </c>
      <c r="H91" s="63" t="s">
        <v>355</v>
      </c>
      <c r="I91" s="66" t="s">
        <v>314</v>
      </c>
      <c r="J91" s="119" t="s">
        <v>334</v>
      </c>
      <c r="K91" s="119" t="s">
        <v>334</v>
      </c>
      <c r="L91" s="119" t="s">
        <v>334</v>
      </c>
      <c r="M91" s="59">
        <v>43851</v>
      </c>
      <c r="N91" s="111">
        <v>2335182.9</v>
      </c>
      <c r="O91" s="125" t="s">
        <v>332</v>
      </c>
      <c r="P91" s="59">
        <v>43851</v>
      </c>
      <c r="Q91" s="122" t="s">
        <v>217</v>
      </c>
      <c r="R91" s="134"/>
    </row>
    <row r="92" spans="1:18" ht="32.25" customHeight="1" x14ac:dyDescent="0.25">
      <c r="A92" s="135">
        <v>77</v>
      </c>
      <c r="B92" s="64" t="s">
        <v>51</v>
      </c>
      <c r="C92" s="64"/>
      <c r="D92" s="63" t="s">
        <v>112</v>
      </c>
      <c r="E92" s="63" t="s">
        <v>253</v>
      </c>
      <c r="F92" s="64" t="s">
        <v>87</v>
      </c>
      <c r="G92" s="62" t="s">
        <v>111</v>
      </c>
      <c r="H92" s="63" t="s">
        <v>357</v>
      </c>
      <c r="I92" s="66" t="s">
        <v>320</v>
      </c>
      <c r="J92" s="117">
        <v>43410</v>
      </c>
      <c r="K92" s="117">
        <v>44222</v>
      </c>
      <c r="L92" s="117">
        <v>44659</v>
      </c>
      <c r="M92" s="59">
        <v>44635</v>
      </c>
      <c r="N92" s="111">
        <v>8460279.0500000007</v>
      </c>
      <c r="O92" s="125" t="s">
        <v>332</v>
      </c>
      <c r="P92" s="59">
        <v>44635</v>
      </c>
      <c r="Q92" s="122" t="s">
        <v>217</v>
      </c>
      <c r="R92" s="134"/>
    </row>
    <row r="93" spans="1:18" ht="32.25" customHeight="1" x14ac:dyDescent="0.25">
      <c r="A93" s="135">
        <v>92</v>
      </c>
      <c r="B93" s="37" t="s">
        <v>51</v>
      </c>
      <c r="C93" s="37"/>
      <c r="D93" s="121" t="s">
        <v>135</v>
      </c>
      <c r="E93" s="121" t="s">
        <v>253</v>
      </c>
      <c r="F93" s="96" t="s">
        <v>87</v>
      </c>
      <c r="G93" s="121" t="s">
        <v>134</v>
      </c>
      <c r="H93" s="121" t="s">
        <v>355</v>
      </c>
      <c r="I93" s="66">
        <v>2077434</v>
      </c>
      <c r="J93" s="119">
        <v>44788</v>
      </c>
      <c r="K93" s="119">
        <v>45752</v>
      </c>
      <c r="L93" s="119">
        <v>46247</v>
      </c>
      <c r="M93" s="119">
        <v>46216</v>
      </c>
      <c r="N93" s="153">
        <v>14285288.689999999</v>
      </c>
      <c r="O93" s="154" t="s">
        <v>331</v>
      </c>
      <c r="P93" s="119" t="s">
        <v>205</v>
      </c>
      <c r="Q93" s="126" t="s">
        <v>256</v>
      </c>
      <c r="R93" s="134" t="s">
        <v>359</v>
      </c>
    </row>
    <row r="94" spans="1:18" ht="32.25" customHeight="1" x14ac:dyDescent="0.25">
      <c r="A94" s="135">
        <v>78</v>
      </c>
      <c r="B94" s="37" t="s">
        <v>223</v>
      </c>
      <c r="C94" s="37">
        <v>37</v>
      </c>
      <c r="D94" s="63" t="s">
        <v>89</v>
      </c>
      <c r="E94" s="63" t="s">
        <v>253</v>
      </c>
      <c r="F94" s="64" t="s">
        <v>87</v>
      </c>
      <c r="G94" s="62" t="s">
        <v>88</v>
      </c>
      <c r="H94" s="63" t="s">
        <v>353</v>
      </c>
      <c r="I94" s="66" t="s">
        <v>315</v>
      </c>
      <c r="J94" s="119" t="s">
        <v>334</v>
      </c>
      <c r="K94" s="119" t="s">
        <v>334</v>
      </c>
      <c r="L94" s="119" t="s">
        <v>334</v>
      </c>
      <c r="M94" s="59">
        <v>44183</v>
      </c>
      <c r="N94" s="111">
        <v>2932746.87</v>
      </c>
      <c r="O94" s="125" t="s">
        <v>332</v>
      </c>
      <c r="P94" s="59">
        <v>44183</v>
      </c>
      <c r="Q94" s="122" t="s">
        <v>217</v>
      </c>
      <c r="R94" s="134"/>
    </row>
    <row r="95" spans="1:18" ht="32.25" customHeight="1" x14ac:dyDescent="0.25">
      <c r="A95" s="135">
        <v>91</v>
      </c>
      <c r="B95" s="37" t="s">
        <v>51</v>
      </c>
      <c r="C95" s="37"/>
      <c r="D95" s="121" t="s">
        <v>131</v>
      </c>
      <c r="E95" s="121" t="s">
        <v>253</v>
      </c>
      <c r="F95" s="96" t="s">
        <v>87</v>
      </c>
      <c r="G95" s="121" t="s">
        <v>130</v>
      </c>
      <c r="H95" s="121" t="s">
        <v>355</v>
      </c>
      <c r="I95" s="66" t="s">
        <v>321</v>
      </c>
      <c r="J95" s="119">
        <v>45152</v>
      </c>
      <c r="K95" s="119">
        <v>45615</v>
      </c>
      <c r="L95" s="119">
        <v>45950</v>
      </c>
      <c r="M95" s="119">
        <v>46027</v>
      </c>
      <c r="N95" s="153">
        <v>13442010.6</v>
      </c>
      <c r="O95" s="154" t="s">
        <v>331</v>
      </c>
      <c r="P95" s="119">
        <v>46139</v>
      </c>
      <c r="Q95" s="122" t="s">
        <v>217</v>
      </c>
      <c r="R95" s="134"/>
    </row>
    <row r="96" spans="1:18" ht="32.25" customHeight="1" x14ac:dyDescent="0.25">
      <c r="A96" s="135">
        <v>79</v>
      </c>
      <c r="B96" s="64" t="s">
        <v>51</v>
      </c>
      <c r="C96" s="64"/>
      <c r="D96" s="63" t="s">
        <v>110</v>
      </c>
      <c r="E96" s="63" t="s">
        <v>253</v>
      </c>
      <c r="F96" s="64" t="s">
        <v>87</v>
      </c>
      <c r="G96" s="62" t="s">
        <v>109</v>
      </c>
      <c r="H96" s="63" t="s">
        <v>355</v>
      </c>
      <c r="I96" s="66" t="s">
        <v>322</v>
      </c>
      <c r="J96" s="117">
        <v>43388</v>
      </c>
      <c r="K96" s="117">
        <v>44336</v>
      </c>
      <c r="L96" s="117">
        <v>44512</v>
      </c>
      <c r="M96" s="59">
        <v>44509</v>
      </c>
      <c r="N96" s="111">
        <v>9290160.3300000001</v>
      </c>
      <c r="O96" s="125" t="s">
        <v>332</v>
      </c>
      <c r="P96" s="59">
        <v>44509</v>
      </c>
      <c r="Q96" s="122" t="s">
        <v>217</v>
      </c>
      <c r="R96" s="134"/>
    </row>
    <row r="97" spans="1:21" ht="32.25" customHeight="1" x14ac:dyDescent="0.25">
      <c r="A97" s="135">
        <v>80</v>
      </c>
      <c r="B97" s="64" t="s">
        <v>51</v>
      </c>
      <c r="C97" s="64"/>
      <c r="D97" s="63" t="s">
        <v>108</v>
      </c>
      <c r="E97" s="63" t="s">
        <v>253</v>
      </c>
      <c r="F97" s="64" t="s">
        <v>87</v>
      </c>
      <c r="G97" s="62" t="s">
        <v>107</v>
      </c>
      <c r="H97" s="63" t="s">
        <v>357</v>
      </c>
      <c r="I97" s="66">
        <v>2025361</v>
      </c>
      <c r="J97" s="117">
        <v>43353</v>
      </c>
      <c r="K97" s="117">
        <v>44309</v>
      </c>
      <c r="L97" s="117">
        <v>44511</v>
      </c>
      <c r="M97" s="59">
        <v>44487</v>
      </c>
      <c r="N97" s="111">
        <v>9232116.2599999998</v>
      </c>
      <c r="O97" s="125" t="s">
        <v>332</v>
      </c>
      <c r="P97" s="59">
        <v>44487</v>
      </c>
      <c r="Q97" s="122" t="s">
        <v>217</v>
      </c>
      <c r="R97" s="134"/>
    </row>
    <row r="98" spans="1:21" ht="32.25" customHeight="1" x14ac:dyDescent="0.25">
      <c r="A98" s="135">
        <v>83</v>
      </c>
      <c r="B98" s="64" t="s">
        <v>12</v>
      </c>
      <c r="C98" s="64">
        <v>43</v>
      </c>
      <c r="D98" s="63" t="s">
        <v>91</v>
      </c>
      <c r="E98" s="63" t="s">
        <v>253</v>
      </c>
      <c r="F98" s="64" t="s">
        <v>87</v>
      </c>
      <c r="G98" s="62" t="s">
        <v>93</v>
      </c>
      <c r="H98" s="63" t="s">
        <v>353</v>
      </c>
      <c r="I98" s="66" t="s">
        <v>324</v>
      </c>
      <c r="J98" s="117">
        <v>42535</v>
      </c>
      <c r="K98" s="117">
        <v>43032</v>
      </c>
      <c r="L98" s="117">
        <v>43208</v>
      </c>
      <c r="M98" s="59">
        <v>43180</v>
      </c>
      <c r="N98" s="111">
        <v>4858191.12</v>
      </c>
      <c r="O98" s="125" t="s">
        <v>332</v>
      </c>
      <c r="P98" s="59">
        <v>43180</v>
      </c>
      <c r="Q98" s="122" t="s">
        <v>217</v>
      </c>
      <c r="R98" s="134"/>
      <c r="T98">
        <v>45843</v>
      </c>
      <c r="U98">
        <f>M98-T98</f>
        <v>-2663</v>
      </c>
    </row>
    <row r="99" spans="1:21" ht="32.25" customHeight="1" x14ac:dyDescent="0.25">
      <c r="A99" s="135">
        <v>84</v>
      </c>
      <c r="B99" s="64" t="s">
        <v>12</v>
      </c>
      <c r="C99" s="64">
        <v>44</v>
      </c>
      <c r="D99" s="63" t="s">
        <v>91</v>
      </c>
      <c r="E99" s="63" t="s">
        <v>253</v>
      </c>
      <c r="F99" s="64" t="s">
        <v>87</v>
      </c>
      <c r="G99" s="62" t="s">
        <v>90</v>
      </c>
      <c r="H99" s="63" t="s">
        <v>353</v>
      </c>
      <c r="I99" s="66">
        <v>2077477</v>
      </c>
      <c r="J99" s="117">
        <v>43137</v>
      </c>
      <c r="K99" s="117">
        <v>43570</v>
      </c>
      <c r="L99" s="117">
        <v>43718</v>
      </c>
      <c r="M99" s="59">
        <v>43822</v>
      </c>
      <c r="N99" s="111">
        <v>5585603.7999999998</v>
      </c>
      <c r="O99" s="125" t="s">
        <v>332</v>
      </c>
      <c r="P99" s="59">
        <v>43822</v>
      </c>
      <c r="Q99" s="122" t="s">
        <v>217</v>
      </c>
      <c r="R99" s="134"/>
    </row>
    <row r="100" spans="1:21" ht="32.25" customHeight="1" x14ac:dyDescent="0.25">
      <c r="A100" s="135">
        <v>82</v>
      </c>
      <c r="B100" s="37" t="s">
        <v>223</v>
      </c>
      <c r="C100" s="37">
        <v>45</v>
      </c>
      <c r="D100" s="63" t="s">
        <v>91</v>
      </c>
      <c r="E100" s="63" t="s">
        <v>253</v>
      </c>
      <c r="F100" s="64" t="s">
        <v>87</v>
      </c>
      <c r="G100" s="62" t="s">
        <v>90</v>
      </c>
      <c r="H100" s="63" t="s">
        <v>353</v>
      </c>
      <c r="I100" s="66">
        <v>2077477</v>
      </c>
      <c r="J100" s="119" t="s">
        <v>334</v>
      </c>
      <c r="K100" s="119" t="s">
        <v>334</v>
      </c>
      <c r="L100" s="119" t="s">
        <v>334</v>
      </c>
      <c r="M100" s="59">
        <v>44321</v>
      </c>
      <c r="N100" s="111">
        <v>2970478.12</v>
      </c>
      <c r="O100" s="125" t="s">
        <v>332</v>
      </c>
      <c r="P100" s="59">
        <v>44321</v>
      </c>
      <c r="Q100" s="122" t="s">
        <v>217</v>
      </c>
      <c r="R100" s="134"/>
    </row>
    <row r="101" spans="1:21" ht="32.25" customHeight="1" x14ac:dyDescent="0.25">
      <c r="A101" s="135">
        <v>81</v>
      </c>
      <c r="B101" s="64" t="s">
        <v>12</v>
      </c>
      <c r="C101" s="64"/>
      <c r="D101" s="94" t="s">
        <v>91</v>
      </c>
      <c r="E101" s="121" t="s">
        <v>253</v>
      </c>
      <c r="F101" s="66" t="s">
        <v>87</v>
      </c>
      <c r="G101" s="121" t="s">
        <v>136</v>
      </c>
      <c r="H101" s="94" t="s">
        <v>355</v>
      </c>
      <c r="I101" s="66" t="s">
        <v>323</v>
      </c>
      <c r="J101" s="119">
        <v>44699</v>
      </c>
      <c r="K101" s="119">
        <v>45169</v>
      </c>
      <c r="L101" s="119">
        <v>45807</v>
      </c>
      <c r="M101" s="119">
        <v>45679</v>
      </c>
      <c r="N101" s="111">
        <v>6860449.4900000002</v>
      </c>
      <c r="O101" s="125" t="s">
        <v>331</v>
      </c>
      <c r="P101" s="119">
        <v>45807</v>
      </c>
      <c r="Q101" s="122" t="s">
        <v>217</v>
      </c>
      <c r="R101" s="134"/>
    </row>
    <row r="102" spans="1:21" ht="32.25" customHeight="1" x14ac:dyDescent="0.25">
      <c r="A102" s="135">
        <v>85</v>
      </c>
      <c r="B102" s="64" t="s">
        <v>12</v>
      </c>
      <c r="C102" s="64">
        <v>48</v>
      </c>
      <c r="D102" s="63" t="s">
        <v>97</v>
      </c>
      <c r="E102" s="63" t="s">
        <v>253</v>
      </c>
      <c r="F102" s="64" t="s">
        <v>87</v>
      </c>
      <c r="G102" s="62" t="s">
        <v>96</v>
      </c>
      <c r="H102" s="63" t="s">
        <v>353</v>
      </c>
      <c r="I102" s="66" t="s">
        <v>326</v>
      </c>
      <c r="J102" s="117">
        <v>42523</v>
      </c>
      <c r="K102" s="117">
        <v>43796</v>
      </c>
      <c r="L102" s="117">
        <v>43853</v>
      </c>
      <c r="M102" s="59">
        <v>43829</v>
      </c>
      <c r="N102" s="111">
        <v>4886773.37</v>
      </c>
      <c r="O102" s="125" t="s">
        <v>332</v>
      </c>
      <c r="P102" s="59">
        <v>43829</v>
      </c>
      <c r="Q102" s="122" t="s">
        <v>217</v>
      </c>
      <c r="R102" s="134"/>
      <c r="T102">
        <v>45769</v>
      </c>
      <c r="U102">
        <f>M102-T102</f>
        <v>-1940</v>
      </c>
    </row>
    <row r="103" spans="1:21" ht="32.25" customHeight="1" x14ac:dyDescent="0.25">
      <c r="A103" s="135">
        <v>86</v>
      </c>
      <c r="B103" s="64" t="s">
        <v>51</v>
      </c>
      <c r="C103" s="64"/>
      <c r="D103" s="63" t="s">
        <v>97</v>
      </c>
      <c r="E103" s="63" t="s">
        <v>253</v>
      </c>
      <c r="F103" s="64" t="s">
        <v>87</v>
      </c>
      <c r="G103" s="62" t="s">
        <v>106</v>
      </c>
      <c r="H103" s="63" t="s">
        <v>355</v>
      </c>
      <c r="I103" s="66" t="s">
        <v>325</v>
      </c>
      <c r="J103" s="117">
        <v>43446</v>
      </c>
      <c r="K103" s="117">
        <v>44054</v>
      </c>
      <c r="L103" s="117">
        <v>44449</v>
      </c>
      <c r="M103" s="59">
        <v>44433</v>
      </c>
      <c r="N103" s="111">
        <v>9802634.5500000007</v>
      </c>
      <c r="O103" s="125" t="s">
        <v>332</v>
      </c>
      <c r="P103" s="59">
        <v>44433</v>
      </c>
      <c r="Q103" s="122" t="s">
        <v>217</v>
      </c>
      <c r="R103" s="134"/>
    </row>
    <row r="104" spans="1:21" ht="32.25" customHeight="1" thickBot="1" x14ac:dyDescent="0.3">
      <c r="A104" s="136">
        <v>87</v>
      </c>
      <c r="B104" s="201" t="s">
        <v>12</v>
      </c>
      <c r="C104" s="201">
        <v>49</v>
      </c>
      <c r="D104" s="202" t="s">
        <v>99</v>
      </c>
      <c r="E104" s="202" t="s">
        <v>253</v>
      </c>
      <c r="F104" s="201" t="s">
        <v>87</v>
      </c>
      <c r="G104" s="217" t="s">
        <v>98</v>
      </c>
      <c r="H104" s="202" t="s">
        <v>353</v>
      </c>
      <c r="I104" s="140" t="s">
        <v>327</v>
      </c>
      <c r="J104" s="203">
        <v>43206</v>
      </c>
      <c r="K104" s="203">
        <v>43959</v>
      </c>
      <c r="L104" s="203">
        <v>44420</v>
      </c>
      <c r="M104" s="204">
        <v>44168</v>
      </c>
      <c r="N104" s="205">
        <v>5813244.2400000002</v>
      </c>
      <c r="O104" s="206" t="s">
        <v>332</v>
      </c>
      <c r="P104" s="204">
        <v>44168</v>
      </c>
      <c r="Q104" s="207" t="s">
        <v>217</v>
      </c>
      <c r="R104" s="181"/>
    </row>
    <row r="105" spans="1:21" x14ac:dyDescent="0.25">
      <c r="A105" s="55"/>
      <c r="B105" s="55"/>
      <c r="C105" s="55"/>
      <c r="D105" s="152"/>
      <c r="E105" s="55"/>
      <c r="F105" s="55"/>
      <c r="G105" s="218"/>
      <c r="H105" s="55"/>
      <c r="I105" s="55"/>
      <c r="M105" s="55"/>
      <c r="N105" s="55"/>
      <c r="O105" s="55"/>
      <c r="P105" s="55"/>
      <c r="Q105" s="55"/>
    </row>
    <row r="106" spans="1:21" x14ac:dyDescent="0.25">
      <c r="N106" s="168">
        <f>SUM(N13:N104)</f>
        <v>761908334.00999999</v>
      </c>
    </row>
    <row r="107" spans="1:21" x14ac:dyDescent="0.25">
      <c r="G107" s="184" t="s">
        <v>350</v>
      </c>
      <c r="H107" s="184"/>
      <c r="I107" s="209"/>
    </row>
    <row r="108" spans="1:21" x14ac:dyDescent="0.25">
      <c r="G108" s="219" t="s">
        <v>7</v>
      </c>
      <c r="H108" s="167"/>
      <c r="I108" s="210" t="s">
        <v>210</v>
      </c>
    </row>
    <row r="109" spans="1:21" x14ac:dyDescent="0.25">
      <c r="G109" s="220" t="s">
        <v>213</v>
      </c>
      <c r="H109" s="165"/>
      <c r="I109" s="211">
        <v>28</v>
      </c>
    </row>
    <row r="110" spans="1:21" x14ac:dyDescent="0.25">
      <c r="G110" s="220" t="s">
        <v>214</v>
      </c>
      <c r="H110" s="165"/>
      <c r="I110" s="211">
        <v>44</v>
      </c>
    </row>
    <row r="111" spans="1:21" x14ac:dyDescent="0.25">
      <c r="G111" s="220" t="s">
        <v>225</v>
      </c>
      <c r="H111" s="165"/>
      <c r="I111" s="211">
        <v>9</v>
      </c>
    </row>
    <row r="112" spans="1:21" x14ac:dyDescent="0.25">
      <c r="G112" s="220" t="s">
        <v>345</v>
      </c>
      <c r="H112" s="165"/>
      <c r="I112" s="211">
        <v>11</v>
      </c>
    </row>
    <row r="113" spans="7:9" x14ac:dyDescent="0.25">
      <c r="G113" s="221" t="s">
        <v>351</v>
      </c>
      <c r="H113" s="176"/>
      <c r="I113" s="176">
        <f>I109+I110+I111+I112</f>
        <v>92</v>
      </c>
    </row>
    <row r="139" spans="7:11" ht="15.75" thickBot="1" x14ac:dyDescent="0.3"/>
    <row r="140" spans="7:11" ht="15.75" thickBot="1" x14ac:dyDescent="0.3">
      <c r="G140" s="185" t="s">
        <v>349</v>
      </c>
      <c r="H140" s="186"/>
      <c r="I140" s="212"/>
      <c r="J140" s="186"/>
      <c r="K140" s="187"/>
    </row>
    <row r="141" spans="7:11" x14ac:dyDescent="0.25">
      <c r="G141" s="222" t="s">
        <v>7</v>
      </c>
      <c r="H141" s="177"/>
      <c r="I141" s="213" t="s">
        <v>210</v>
      </c>
      <c r="J141" s="172" t="s">
        <v>346</v>
      </c>
      <c r="K141" s="173" t="s">
        <v>347</v>
      </c>
    </row>
    <row r="142" spans="7:11" x14ac:dyDescent="0.25">
      <c r="G142" s="223" t="s">
        <v>213</v>
      </c>
      <c r="H142" s="178"/>
      <c r="I142" s="211">
        <v>28</v>
      </c>
      <c r="J142" s="166">
        <v>28</v>
      </c>
      <c r="K142" s="174">
        <f>J142/I142</f>
        <v>1</v>
      </c>
    </row>
    <row r="143" spans="7:11" x14ac:dyDescent="0.25">
      <c r="G143" s="223" t="s">
        <v>214</v>
      </c>
      <c r="H143" s="178"/>
      <c r="I143" s="211">
        <v>44</v>
      </c>
      <c r="J143" s="166">
        <v>39</v>
      </c>
      <c r="K143" s="174">
        <f t="shared" ref="K143:K146" si="1">J143/I143</f>
        <v>0.88636363636363635</v>
      </c>
    </row>
    <row r="144" spans="7:11" x14ac:dyDescent="0.25">
      <c r="G144" s="223" t="s">
        <v>225</v>
      </c>
      <c r="H144" s="178"/>
      <c r="I144" s="211">
        <v>9</v>
      </c>
      <c r="J144" s="166">
        <v>9</v>
      </c>
      <c r="K144" s="174">
        <f t="shared" si="1"/>
        <v>1</v>
      </c>
    </row>
    <row r="145" spans="7:11" ht="15.75" thickBot="1" x14ac:dyDescent="0.3">
      <c r="G145" s="224" t="s">
        <v>345</v>
      </c>
      <c r="H145" s="179"/>
      <c r="I145" s="214">
        <v>11</v>
      </c>
      <c r="J145" s="169">
        <v>11</v>
      </c>
      <c r="K145" s="175">
        <f t="shared" si="1"/>
        <v>1</v>
      </c>
    </row>
    <row r="146" spans="7:11" ht="15.75" thickBot="1" x14ac:dyDescent="0.3">
      <c r="G146" s="225" t="s">
        <v>348</v>
      </c>
      <c r="H146" s="170"/>
      <c r="I146" s="215">
        <f>I142+I143+I144+I145</f>
        <v>92</v>
      </c>
      <c r="J146" s="170">
        <f>J142+J143+J144+J145</f>
        <v>87</v>
      </c>
      <c r="K146" s="171">
        <f t="shared" si="1"/>
        <v>0.94565217391304346</v>
      </c>
    </row>
  </sheetData>
  <sheetProtection sort="0" autoFilter="0" pivotTables="0"/>
  <autoFilter ref="A12:R104">
    <sortState ref="A82:R104">
      <sortCondition ref="D12:D104"/>
    </sortState>
  </autoFilter>
  <mergeCells count="3">
    <mergeCell ref="G7:R7"/>
    <mergeCell ref="G107:I107"/>
    <mergeCell ref="G140:K14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S45"/>
  <sheetViews>
    <sheetView topLeftCell="D9" zoomScale="70" zoomScaleNormal="70" workbookViewId="0">
      <selection activeCell="E18" sqref="E18:H29"/>
    </sheetView>
  </sheetViews>
  <sheetFormatPr defaultRowHeight="15" x14ac:dyDescent="0.25"/>
  <cols>
    <col min="3" max="3" width="9.140625" style="22"/>
    <col min="4" max="4" width="15.5703125" customWidth="1"/>
    <col min="5" max="6" width="33.85546875" customWidth="1"/>
    <col min="7" max="7" width="9.7109375" bestFit="1" customWidth="1"/>
    <col min="8" max="8" width="71.42578125" style="14" customWidth="1"/>
    <col min="9" max="11" width="29.5703125" style="14" hidden="1" customWidth="1"/>
    <col min="12" max="12" width="33.140625" style="54" customWidth="1"/>
    <col min="13" max="13" width="33.140625" style="90" customWidth="1"/>
    <col min="14" max="14" width="57.140625" style="21" bestFit="1" customWidth="1"/>
    <col min="15" max="15" width="68.140625" style="35" customWidth="1"/>
    <col min="16" max="16" width="51" style="15" customWidth="1"/>
    <col min="17" max="17" width="27.140625" customWidth="1"/>
    <col min="18" max="18" width="17.28515625" bestFit="1" customWidth="1"/>
    <col min="19" max="19" width="15" style="5" bestFit="1" customWidth="1"/>
  </cols>
  <sheetData>
    <row r="1" spans="3:19" s="15" customFormat="1" x14ac:dyDescent="0.25">
      <c r="C1" s="22"/>
      <c r="D1"/>
      <c r="E1"/>
      <c r="F1"/>
      <c r="G1"/>
      <c r="H1" s="14"/>
      <c r="I1" s="14"/>
      <c r="J1" s="14"/>
      <c r="K1" s="14"/>
      <c r="L1" s="54"/>
      <c r="M1" s="90"/>
      <c r="N1" s="21"/>
      <c r="O1" s="35"/>
      <c r="S1" s="5"/>
    </row>
    <row r="2" spans="3:19" s="15" customFormat="1" x14ac:dyDescent="0.25">
      <c r="C2" s="22"/>
      <c r="D2"/>
      <c r="E2"/>
      <c r="F2"/>
      <c r="G2"/>
      <c r="H2" s="14"/>
      <c r="I2" s="14"/>
      <c r="J2" s="14"/>
      <c r="K2" s="14"/>
      <c r="L2" s="54"/>
      <c r="M2" s="90"/>
      <c r="N2" s="21"/>
      <c r="O2" s="35"/>
      <c r="S2" s="5"/>
    </row>
    <row r="3" spans="3:19" s="15" customFormat="1" x14ac:dyDescent="0.25">
      <c r="C3" s="22"/>
      <c r="D3"/>
      <c r="E3"/>
      <c r="F3"/>
      <c r="G3"/>
      <c r="H3" s="14"/>
      <c r="I3" s="14"/>
      <c r="J3" s="14"/>
      <c r="K3" s="14"/>
      <c r="L3" s="54"/>
      <c r="M3" s="90"/>
      <c r="N3" s="21"/>
      <c r="O3" s="35"/>
      <c r="S3" s="5"/>
    </row>
    <row r="4" spans="3:19" s="15" customFormat="1" x14ac:dyDescent="0.25">
      <c r="C4" s="22"/>
      <c r="D4"/>
      <c r="E4"/>
      <c r="F4"/>
      <c r="G4"/>
      <c r="H4" s="14"/>
      <c r="I4" s="14"/>
      <c r="J4" s="14"/>
      <c r="K4" s="14"/>
      <c r="L4" s="54"/>
      <c r="M4" s="90"/>
      <c r="N4" s="21"/>
      <c r="O4" s="35"/>
      <c r="S4" s="5"/>
    </row>
    <row r="5" spans="3:19" s="15" customFormat="1" x14ac:dyDescent="0.25">
      <c r="C5" s="22"/>
      <c r="D5"/>
      <c r="E5"/>
      <c r="F5"/>
      <c r="G5"/>
      <c r="H5" s="14"/>
      <c r="I5" s="14"/>
      <c r="J5" s="14"/>
      <c r="K5" s="14"/>
      <c r="L5" s="54"/>
      <c r="M5" s="90"/>
      <c r="N5" s="21"/>
      <c r="O5" s="35"/>
      <c r="S5" s="5"/>
    </row>
    <row r="6" spans="3:19" s="15" customFormat="1" x14ac:dyDescent="0.25">
      <c r="C6" s="22"/>
      <c r="D6"/>
      <c r="E6"/>
      <c r="F6"/>
      <c r="G6"/>
      <c r="H6" s="14"/>
      <c r="I6" s="14"/>
      <c r="J6" s="14"/>
      <c r="K6" s="14"/>
      <c r="L6" s="54"/>
      <c r="M6" s="90"/>
      <c r="N6" s="21"/>
      <c r="O6" s="35"/>
      <c r="S6" s="5"/>
    </row>
    <row r="7" spans="3:19" s="15" customFormat="1" x14ac:dyDescent="0.25">
      <c r="C7" s="22"/>
      <c r="D7"/>
      <c r="E7"/>
      <c r="F7"/>
      <c r="G7"/>
      <c r="H7" s="182"/>
      <c r="I7" s="182"/>
      <c r="J7" s="182"/>
      <c r="K7" s="182"/>
      <c r="L7" s="182"/>
      <c r="M7" s="183"/>
      <c r="N7" s="182"/>
      <c r="O7" s="182"/>
    </row>
    <row r="8" spans="3:19" s="15" customFormat="1" x14ac:dyDescent="0.25">
      <c r="C8" s="22"/>
      <c r="D8"/>
      <c r="E8" s="21"/>
      <c r="F8" s="21"/>
      <c r="G8" s="21"/>
      <c r="H8" s="21"/>
      <c r="I8" s="21"/>
      <c r="J8" s="21"/>
      <c r="K8" s="21"/>
      <c r="L8" s="5"/>
      <c r="M8" s="8"/>
      <c r="N8" s="21"/>
      <c r="O8" s="50"/>
    </row>
    <row r="9" spans="3:19" ht="15.75" thickBot="1" x14ac:dyDescent="0.3">
      <c r="E9" s="21"/>
      <c r="F9" s="21"/>
      <c r="G9" s="21"/>
      <c r="H9" s="21"/>
      <c r="I9" s="21"/>
      <c r="J9" s="21"/>
      <c r="K9" s="21"/>
      <c r="L9" s="5"/>
      <c r="M9" s="8"/>
    </row>
    <row r="10" spans="3:19" ht="16.5" thickTop="1" thickBot="1" x14ac:dyDescent="0.3">
      <c r="E10" s="21"/>
      <c r="F10" s="21"/>
      <c r="G10" s="21"/>
      <c r="H10" s="80" t="s">
        <v>235</v>
      </c>
      <c r="I10" s="74" t="s">
        <v>210</v>
      </c>
      <c r="J10" s="74" t="s">
        <v>1</v>
      </c>
      <c r="K10" s="21"/>
      <c r="L10" s="19" t="s">
        <v>218</v>
      </c>
      <c r="M10" s="20" t="s">
        <v>210</v>
      </c>
    </row>
    <row r="11" spans="3:19" s="15" customFormat="1" ht="17.25" thickTop="1" thickBot="1" x14ac:dyDescent="0.3">
      <c r="C11" s="22"/>
      <c r="D11"/>
      <c r="E11" s="21"/>
      <c r="F11" s="21"/>
      <c r="G11" s="21"/>
      <c r="H11" s="82" t="s">
        <v>236</v>
      </c>
      <c r="I11" s="76">
        <v>28</v>
      </c>
      <c r="J11" s="76">
        <v>28</v>
      </c>
      <c r="K11" s="21"/>
      <c r="L11" s="25" t="s">
        <v>208</v>
      </c>
      <c r="M11" s="16">
        <v>13</v>
      </c>
      <c r="N11" s="21"/>
      <c r="O11" s="50"/>
      <c r="P11" s="188" t="s">
        <v>200</v>
      </c>
      <c r="Q11" s="188"/>
      <c r="R11" s="188"/>
      <c r="S11" s="188"/>
    </row>
    <row r="12" spans="3:19" s="15" customFormat="1" ht="15.75" x14ac:dyDescent="0.25">
      <c r="C12" s="22"/>
      <c r="D12"/>
      <c r="E12" s="21"/>
      <c r="F12" s="21"/>
      <c r="G12" s="21"/>
      <c r="H12" s="83" t="s">
        <v>237</v>
      </c>
      <c r="I12" s="77">
        <v>36</v>
      </c>
      <c r="J12" s="77">
        <v>24</v>
      </c>
      <c r="K12" s="21"/>
      <c r="L12" s="26" t="s">
        <v>209</v>
      </c>
      <c r="M12" s="17">
        <v>3</v>
      </c>
      <c r="N12" s="21"/>
      <c r="O12" s="50"/>
      <c r="P12" s="43" t="s">
        <v>230</v>
      </c>
      <c r="Q12" s="46" t="s">
        <v>231</v>
      </c>
      <c r="R12" s="47" t="s">
        <v>232</v>
      </c>
    </row>
    <row r="13" spans="3:19" s="15" customFormat="1" ht="16.5" thickBot="1" x14ac:dyDescent="0.3">
      <c r="C13" s="22"/>
      <c r="D13"/>
      <c r="E13" s="21"/>
      <c r="F13" s="21"/>
      <c r="G13" s="21"/>
      <c r="H13" s="84" t="s">
        <v>239</v>
      </c>
      <c r="I13" s="78">
        <v>8</v>
      </c>
      <c r="J13" s="78">
        <v>2</v>
      </c>
      <c r="K13" s="21"/>
      <c r="L13" s="27" t="s">
        <v>246</v>
      </c>
      <c r="M13" s="18">
        <v>19</v>
      </c>
      <c r="N13" s="21"/>
      <c r="O13" s="50"/>
      <c r="P13" s="41" t="s">
        <v>3</v>
      </c>
      <c r="Q13" s="42">
        <v>28</v>
      </c>
      <c r="R13" s="48">
        <v>28</v>
      </c>
      <c r="S13"/>
    </row>
    <row r="14" spans="3:19" s="15" customFormat="1" ht="17.25" thickTop="1" thickBot="1" x14ac:dyDescent="0.3">
      <c r="C14" s="22"/>
      <c r="D14"/>
      <c r="E14" s="21"/>
      <c r="F14" s="21"/>
      <c r="G14" s="21"/>
      <c r="H14" s="85" t="s">
        <v>238</v>
      </c>
      <c r="I14" s="79">
        <v>20</v>
      </c>
      <c r="J14" s="79">
        <v>18</v>
      </c>
      <c r="K14" s="21"/>
      <c r="L14" s="30" t="s">
        <v>219</v>
      </c>
      <c r="M14" s="24">
        <f>M11+M12+M13</f>
        <v>35</v>
      </c>
      <c r="N14" s="21"/>
      <c r="O14" s="50"/>
      <c r="P14" s="71"/>
      <c r="Q14" s="72"/>
      <c r="R14" s="73"/>
      <c r="S14"/>
    </row>
    <row r="15" spans="3:19" s="15" customFormat="1" ht="16.5" thickBot="1" x14ac:dyDescent="0.3">
      <c r="C15" s="22"/>
      <c r="D15"/>
      <c r="E15" s="21"/>
      <c r="F15" s="21"/>
      <c r="G15" s="21"/>
      <c r="H15" s="81" t="s">
        <v>219</v>
      </c>
      <c r="I15" s="75">
        <f>I11+I12+I13+I14</f>
        <v>92</v>
      </c>
      <c r="J15" s="75">
        <f>J11+J12+J13+J14</f>
        <v>72</v>
      </c>
      <c r="K15" s="21"/>
      <c r="L15" s="5"/>
      <c r="M15" s="8"/>
      <c r="N15" s="21"/>
      <c r="O15" s="50"/>
      <c r="P15" s="44" t="s">
        <v>4</v>
      </c>
      <c r="Q15" s="45">
        <v>8</v>
      </c>
      <c r="R15" s="49">
        <v>3</v>
      </c>
      <c r="S15"/>
    </row>
    <row r="16" spans="3:19" ht="15.75" thickTop="1" x14ac:dyDescent="0.25"/>
    <row r="17" spans="3:19" s="22" customFormat="1" ht="24.95" customHeight="1" x14ac:dyDescent="0.25">
      <c r="C17" s="23" t="s">
        <v>6</v>
      </c>
      <c r="D17" s="23" t="s">
        <v>7</v>
      </c>
      <c r="E17" s="23" t="s">
        <v>9</v>
      </c>
      <c r="F17" s="23" t="s">
        <v>249</v>
      </c>
      <c r="G17" s="23" t="s">
        <v>10</v>
      </c>
      <c r="H17" s="32" t="s">
        <v>8</v>
      </c>
      <c r="I17" s="53" t="s">
        <v>228</v>
      </c>
      <c r="J17" s="32" t="s">
        <v>229</v>
      </c>
      <c r="K17" s="52" t="s">
        <v>234</v>
      </c>
      <c r="L17" s="52" t="s">
        <v>227</v>
      </c>
      <c r="M17" s="51" t="s">
        <v>233</v>
      </c>
      <c r="N17" s="23" t="s">
        <v>11</v>
      </c>
      <c r="O17" s="23" t="s">
        <v>211</v>
      </c>
    </row>
    <row r="18" spans="3:19" s="22" customFormat="1" ht="24.95" customHeight="1" x14ac:dyDescent="0.25">
      <c r="C18" s="37">
        <v>6</v>
      </c>
      <c r="D18" s="64" t="s">
        <v>20</v>
      </c>
      <c r="E18" s="94" t="s">
        <v>142</v>
      </c>
      <c r="F18" s="159" t="s">
        <v>252</v>
      </c>
      <c r="G18" s="66" t="s">
        <v>143</v>
      </c>
      <c r="H18" s="94" t="s">
        <v>151</v>
      </c>
      <c r="I18" s="56">
        <v>45159</v>
      </c>
      <c r="J18" s="68" t="s">
        <v>244</v>
      </c>
      <c r="K18" s="67" t="s">
        <v>205</v>
      </c>
      <c r="L18" s="66" t="s">
        <v>205</v>
      </c>
      <c r="M18" s="70">
        <v>16367923.220000001</v>
      </c>
      <c r="N18" s="86" t="s">
        <v>243</v>
      </c>
      <c r="O18" s="22" t="s">
        <v>205</v>
      </c>
    </row>
    <row r="19" spans="3:19" s="22" customFormat="1" ht="24.95" customHeight="1" x14ac:dyDescent="0.25">
      <c r="C19" s="37">
        <v>38</v>
      </c>
      <c r="D19" s="64" t="s">
        <v>20</v>
      </c>
      <c r="E19" s="94" t="s">
        <v>72</v>
      </c>
      <c r="F19" s="159" t="s">
        <v>250</v>
      </c>
      <c r="G19" s="66" t="s">
        <v>73</v>
      </c>
      <c r="H19" s="94" t="s">
        <v>71</v>
      </c>
      <c r="I19" s="56">
        <v>44963</v>
      </c>
      <c r="J19" s="67">
        <v>45425</v>
      </c>
      <c r="K19" s="59">
        <v>45972</v>
      </c>
      <c r="L19" s="59">
        <v>45972</v>
      </c>
      <c r="M19" s="70">
        <v>15349988.98</v>
      </c>
      <c r="N19" s="92" t="s">
        <v>241</v>
      </c>
      <c r="O19" s="22" t="s">
        <v>205</v>
      </c>
    </row>
    <row r="20" spans="3:19" s="15" customFormat="1" ht="24.95" customHeight="1" x14ac:dyDescent="0.25">
      <c r="C20" s="37">
        <v>3</v>
      </c>
      <c r="D20" s="64" t="s">
        <v>20</v>
      </c>
      <c r="E20" s="94" t="s">
        <v>150</v>
      </c>
      <c r="F20" s="159" t="s">
        <v>252</v>
      </c>
      <c r="G20" s="66" t="s">
        <v>141</v>
      </c>
      <c r="H20" s="94" t="s">
        <v>149</v>
      </c>
      <c r="I20" s="56">
        <v>45166</v>
      </c>
      <c r="J20" s="67">
        <v>45685</v>
      </c>
      <c r="K20" s="67" t="s">
        <v>205</v>
      </c>
      <c r="L20" s="66" t="s">
        <v>205</v>
      </c>
      <c r="M20" s="70">
        <v>17568185.850000001</v>
      </c>
      <c r="N20" s="86" t="s">
        <v>243</v>
      </c>
      <c r="O20" s="22" t="s">
        <v>205</v>
      </c>
      <c r="Q20"/>
      <c r="R20"/>
      <c r="S20" s="5"/>
    </row>
    <row r="21" spans="3:19" s="15" customFormat="1" ht="24.95" customHeight="1" x14ac:dyDescent="0.25">
      <c r="C21" s="37">
        <v>17</v>
      </c>
      <c r="D21" s="64" t="s">
        <v>20</v>
      </c>
      <c r="E21" s="94" t="s">
        <v>63</v>
      </c>
      <c r="F21" s="159" t="s">
        <v>250</v>
      </c>
      <c r="G21" s="66" t="s">
        <v>32</v>
      </c>
      <c r="H21" s="94" t="s">
        <v>62</v>
      </c>
      <c r="I21" s="56">
        <v>45187</v>
      </c>
      <c r="J21" s="65">
        <v>45785</v>
      </c>
      <c r="K21" s="67" t="s">
        <v>205</v>
      </c>
      <c r="L21" s="67" t="s">
        <v>248</v>
      </c>
      <c r="M21" s="70">
        <v>15564231.5</v>
      </c>
      <c r="N21" s="88" t="s">
        <v>247</v>
      </c>
      <c r="O21" s="22" t="s">
        <v>205</v>
      </c>
      <c r="Q21"/>
      <c r="R21"/>
      <c r="S21" s="5"/>
    </row>
    <row r="22" spans="3:19" s="15" customFormat="1" ht="24.95" customHeight="1" x14ac:dyDescent="0.25">
      <c r="C22" s="37">
        <v>69</v>
      </c>
      <c r="D22" s="64" t="s">
        <v>51</v>
      </c>
      <c r="E22" s="94" t="s">
        <v>131</v>
      </c>
      <c r="F22" s="94" t="s">
        <v>253</v>
      </c>
      <c r="G22" s="66" t="s">
        <v>87</v>
      </c>
      <c r="H22" s="94" t="s">
        <v>130</v>
      </c>
      <c r="I22" s="56">
        <v>45152</v>
      </c>
      <c r="J22" s="67">
        <v>45615</v>
      </c>
      <c r="K22" s="67" t="s">
        <v>205</v>
      </c>
      <c r="L22" s="66" t="s">
        <v>205</v>
      </c>
      <c r="M22" s="70">
        <v>13442010.6</v>
      </c>
      <c r="N22" s="89" t="s">
        <v>245</v>
      </c>
      <c r="O22" s="22" t="s">
        <v>205</v>
      </c>
      <c r="Q22"/>
      <c r="R22"/>
      <c r="S22" s="5"/>
    </row>
    <row r="23" spans="3:19" s="15" customFormat="1" ht="24.95" customHeight="1" x14ac:dyDescent="0.25">
      <c r="C23" s="37">
        <v>83</v>
      </c>
      <c r="D23" s="64" t="s">
        <v>51</v>
      </c>
      <c r="E23" s="94" t="s">
        <v>74</v>
      </c>
      <c r="F23" s="159" t="s">
        <v>250</v>
      </c>
      <c r="G23" s="66" t="s">
        <v>32</v>
      </c>
      <c r="H23" s="94" t="s">
        <v>216</v>
      </c>
      <c r="I23" s="56">
        <v>45068</v>
      </c>
      <c r="J23" s="65">
        <v>45364</v>
      </c>
      <c r="K23" s="67" t="s">
        <v>205</v>
      </c>
      <c r="L23" s="66" t="s">
        <v>205</v>
      </c>
      <c r="M23" s="70">
        <v>13096536.960000001</v>
      </c>
      <c r="N23" s="87" t="s">
        <v>242</v>
      </c>
      <c r="O23" s="22" t="s">
        <v>205</v>
      </c>
      <c r="Q23"/>
      <c r="R23"/>
      <c r="S23" s="5"/>
    </row>
    <row r="24" spans="3:19" s="15" customFormat="1" ht="24.95" customHeight="1" x14ac:dyDescent="0.25">
      <c r="C24" s="37">
        <v>15</v>
      </c>
      <c r="D24" s="64" t="s">
        <v>51</v>
      </c>
      <c r="E24" s="94" t="s">
        <v>190</v>
      </c>
      <c r="F24" s="159" t="s">
        <v>251</v>
      </c>
      <c r="G24" s="66" t="s">
        <v>161</v>
      </c>
      <c r="H24" s="94" t="s">
        <v>189</v>
      </c>
      <c r="I24" s="56">
        <v>45054</v>
      </c>
      <c r="J24" s="57">
        <v>45834</v>
      </c>
      <c r="K24" s="67" t="s">
        <v>205</v>
      </c>
      <c r="L24" s="66" t="s">
        <v>205</v>
      </c>
      <c r="M24" s="70">
        <v>13584016.949999999</v>
      </c>
      <c r="N24" s="86" t="s">
        <v>243</v>
      </c>
      <c r="O24" s="22" t="s">
        <v>205</v>
      </c>
      <c r="Q24"/>
      <c r="R24"/>
      <c r="S24" s="5"/>
    </row>
    <row r="25" spans="3:19" s="15" customFormat="1" ht="24.95" customHeight="1" x14ac:dyDescent="0.25">
      <c r="C25" s="37">
        <v>58</v>
      </c>
      <c r="D25" s="69" t="s">
        <v>20</v>
      </c>
      <c r="E25" s="95" t="s">
        <v>22</v>
      </c>
      <c r="F25" s="159" t="s">
        <v>254</v>
      </c>
      <c r="G25" s="97" t="s">
        <v>220</v>
      </c>
      <c r="H25" s="95" t="s">
        <v>21</v>
      </c>
      <c r="I25" s="58">
        <v>45460</v>
      </c>
      <c r="J25" s="93" t="s">
        <v>244</v>
      </c>
      <c r="K25" s="67" t="s">
        <v>205</v>
      </c>
      <c r="L25" s="66" t="s">
        <v>205</v>
      </c>
      <c r="M25" s="70">
        <v>16970310.579999998</v>
      </c>
      <c r="N25" s="91" t="s">
        <v>243</v>
      </c>
      <c r="O25" s="22" t="s">
        <v>205</v>
      </c>
      <c r="Q25"/>
      <c r="R25"/>
      <c r="S25" s="5"/>
    </row>
    <row r="26" spans="3:19" s="15" customFormat="1" ht="24.95" customHeight="1" x14ac:dyDescent="0.25">
      <c r="C26" s="98"/>
      <c r="D26" s="64" t="s">
        <v>20</v>
      </c>
      <c r="E26" s="94" t="s">
        <v>145</v>
      </c>
      <c r="F26" s="159" t="s">
        <v>252</v>
      </c>
      <c r="G26" s="66" t="s">
        <v>146</v>
      </c>
      <c r="H26" s="94" t="s">
        <v>144</v>
      </c>
      <c r="I26" s="56">
        <v>44756</v>
      </c>
      <c r="J26" s="57">
        <v>45121</v>
      </c>
      <c r="K26" s="67" t="s">
        <v>205</v>
      </c>
      <c r="L26" s="67" t="s">
        <v>205</v>
      </c>
      <c r="M26" s="70">
        <v>14572794.65</v>
      </c>
      <c r="N26" s="92" t="s">
        <v>241</v>
      </c>
      <c r="O26" s="22"/>
      <c r="Q26"/>
      <c r="R26"/>
      <c r="S26" s="5"/>
    </row>
    <row r="27" spans="3:19" s="15" customFormat="1" ht="24.95" customHeight="1" x14ac:dyDescent="0.25">
      <c r="C27" s="98"/>
      <c r="D27" s="37" t="s">
        <v>12</v>
      </c>
      <c r="E27" s="94" t="s">
        <v>178</v>
      </c>
      <c r="F27" s="94" t="s">
        <v>251</v>
      </c>
      <c r="G27" s="66" t="s">
        <v>157</v>
      </c>
      <c r="H27" s="94" t="s">
        <v>177</v>
      </c>
      <c r="I27" s="56">
        <v>44810</v>
      </c>
      <c r="J27" s="57">
        <v>45078</v>
      </c>
      <c r="K27" s="57">
        <v>45330</v>
      </c>
      <c r="L27" s="59">
        <v>45301</v>
      </c>
      <c r="M27" s="70">
        <v>7379186.75</v>
      </c>
      <c r="N27" s="88" t="s">
        <v>240</v>
      </c>
      <c r="O27" s="22"/>
      <c r="Q27"/>
      <c r="R27"/>
      <c r="S27" s="5"/>
    </row>
    <row r="28" spans="3:19" s="15" customFormat="1" ht="24.95" customHeight="1" x14ac:dyDescent="0.25">
      <c r="C28" s="98"/>
      <c r="D28" s="37" t="s">
        <v>51</v>
      </c>
      <c r="E28" s="94" t="s">
        <v>103</v>
      </c>
      <c r="F28" s="94" t="s">
        <v>253</v>
      </c>
      <c r="G28" s="66" t="s">
        <v>87</v>
      </c>
      <c r="H28" s="94" t="s">
        <v>102</v>
      </c>
      <c r="I28" s="56">
        <v>44803</v>
      </c>
      <c r="J28" s="57">
        <v>45246</v>
      </c>
      <c r="K28" s="57">
        <v>45523</v>
      </c>
      <c r="L28" s="59">
        <v>45391</v>
      </c>
      <c r="M28" s="70">
        <v>9858742.0199999996</v>
      </c>
      <c r="N28" s="88" t="s">
        <v>240</v>
      </c>
      <c r="O28" s="22"/>
      <c r="Q28"/>
      <c r="R28"/>
      <c r="S28" s="5"/>
    </row>
    <row r="29" spans="3:19" s="15" customFormat="1" ht="24.95" customHeight="1" x14ac:dyDescent="0.25">
      <c r="C29" s="98"/>
      <c r="D29" s="64" t="s">
        <v>51</v>
      </c>
      <c r="E29" s="94" t="s">
        <v>114</v>
      </c>
      <c r="F29" s="94" t="s">
        <v>253</v>
      </c>
      <c r="G29" s="66" t="s">
        <v>87</v>
      </c>
      <c r="H29" s="94" t="s">
        <v>113</v>
      </c>
      <c r="I29" s="56">
        <v>44792</v>
      </c>
      <c r="J29" s="57">
        <v>45512</v>
      </c>
      <c r="K29" s="57">
        <v>45799</v>
      </c>
      <c r="L29" s="59">
        <v>45710</v>
      </c>
      <c r="M29" s="70">
        <v>10953431.51</v>
      </c>
      <c r="N29" s="88" t="s">
        <v>240</v>
      </c>
      <c r="O29" s="22"/>
      <c r="Q29"/>
      <c r="R29"/>
      <c r="S29" s="5"/>
    </row>
    <row r="30" spans="3:19" s="15" customFormat="1" ht="24.95" customHeight="1" x14ac:dyDescent="0.25">
      <c r="C30" s="98"/>
      <c r="D30" s="99"/>
      <c r="E30" s="100"/>
      <c r="F30" s="101"/>
      <c r="G30" s="102"/>
      <c r="H30" s="103"/>
      <c r="I30" s="104"/>
      <c r="J30" s="105"/>
      <c r="K30" s="106"/>
      <c r="L30" s="102"/>
      <c r="M30" s="107"/>
      <c r="N30" s="108"/>
      <c r="O30" s="22"/>
      <c r="Q30"/>
      <c r="R30"/>
      <c r="S30" s="5"/>
    </row>
    <row r="31" spans="3:19" s="15" customFormat="1" x14ac:dyDescent="0.25">
      <c r="C31" s="55"/>
      <c r="D31" s="55"/>
      <c r="E31" s="55"/>
      <c r="F31" s="55"/>
      <c r="G31" s="55"/>
      <c r="H31" s="55"/>
      <c r="I31" s="14"/>
      <c r="J31" s="14"/>
      <c r="K31" s="14"/>
      <c r="L31" s="55"/>
      <c r="M31" s="55"/>
      <c r="N31" s="55"/>
      <c r="O31" s="35"/>
      <c r="Q31"/>
      <c r="R31"/>
      <c r="S31" s="5"/>
    </row>
    <row r="32" spans="3:19" s="15" customFormat="1" x14ac:dyDescent="0.25">
      <c r="C32" s="55"/>
      <c r="D32" s="189" t="s">
        <v>212</v>
      </c>
      <c r="E32" s="190"/>
      <c r="F32" s="190"/>
      <c r="G32" s="191"/>
      <c r="H32" s="55"/>
      <c r="I32" s="14"/>
      <c r="J32" s="55"/>
      <c r="K32" s="38"/>
      <c r="L32" s="55"/>
      <c r="M32" s="55"/>
      <c r="N32" s="55"/>
      <c r="O32" s="35"/>
      <c r="Q32"/>
      <c r="R32"/>
      <c r="S32" s="5"/>
    </row>
    <row r="33" spans="3:19" s="15" customFormat="1" x14ac:dyDescent="0.25">
      <c r="C33" s="55"/>
      <c r="D33" s="28" t="s">
        <v>12</v>
      </c>
      <c r="E33" s="29" t="s">
        <v>213</v>
      </c>
      <c r="F33" s="31"/>
      <c r="G33" s="33"/>
      <c r="H33" s="55"/>
      <c r="I33" s="39"/>
      <c r="J33" s="39"/>
      <c r="K33" s="39"/>
      <c r="L33" s="55"/>
      <c r="M33" s="55"/>
      <c r="N33" s="55"/>
      <c r="O33" s="35"/>
      <c r="Q33"/>
      <c r="R33"/>
      <c r="S33" s="5"/>
    </row>
    <row r="34" spans="3:19" s="35" customFormat="1" x14ac:dyDescent="0.25">
      <c r="C34" s="55"/>
      <c r="D34" s="28" t="s">
        <v>51</v>
      </c>
      <c r="E34" s="29" t="s">
        <v>214</v>
      </c>
      <c r="F34" s="31"/>
      <c r="G34" s="33"/>
      <c r="H34" s="55"/>
      <c r="I34" s="39"/>
      <c r="J34" s="39"/>
      <c r="K34" s="39"/>
      <c r="L34" s="55"/>
      <c r="M34" s="55"/>
      <c r="N34" s="55"/>
      <c r="P34" s="15"/>
      <c r="Q34"/>
      <c r="R34"/>
      <c r="S34" s="5"/>
    </row>
    <row r="35" spans="3:19" s="35" customFormat="1" x14ac:dyDescent="0.25">
      <c r="C35" s="55"/>
      <c r="D35" s="28" t="s">
        <v>20</v>
      </c>
      <c r="E35" s="29" t="s">
        <v>215</v>
      </c>
      <c r="F35" s="31"/>
      <c r="G35" s="33"/>
      <c r="H35" s="55"/>
      <c r="I35" s="39"/>
      <c r="J35" s="39"/>
      <c r="K35" s="39"/>
      <c r="L35" s="55"/>
      <c r="M35" s="55"/>
      <c r="N35" s="55"/>
      <c r="P35" s="15"/>
      <c r="Q35"/>
      <c r="R35"/>
      <c r="S35" s="5"/>
    </row>
    <row r="36" spans="3:19" s="35" customFormat="1" x14ac:dyDescent="0.25">
      <c r="C36" s="55"/>
      <c r="D36" s="28" t="s">
        <v>222</v>
      </c>
      <c r="E36" s="29" t="s">
        <v>224</v>
      </c>
      <c r="F36" s="31"/>
      <c r="G36" s="33"/>
      <c r="H36" s="55"/>
      <c r="I36" s="39"/>
      <c r="J36" s="39"/>
      <c r="K36" s="39"/>
      <c r="L36" s="55"/>
      <c r="M36" s="55"/>
      <c r="N36" s="55"/>
      <c r="P36" s="15"/>
      <c r="Q36"/>
      <c r="R36"/>
      <c r="S36" s="5"/>
    </row>
    <row r="37" spans="3:19" s="35" customFormat="1" x14ac:dyDescent="0.25">
      <c r="C37" s="55"/>
      <c r="D37" s="28" t="s">
        <v>223</v>
      </c>
      <c r="E37" s="29" t="s">
        <v>225</v>
      </c>
      <c r="F37" s="31"/>
      <c r="G37" s="33"/>
      <c r="H37" s="55"/>
      <c r="I37" s="39"/>
      <c r="J37" s="39"/>
      <c r="K37" s="39"/>
      <c r="L37" s="55"/>
      <c r="M37" s="55"/>
      <c r="N37" s="55"/>
      <c r="P37" s="15"/>
      <c r="Q37"/>
      <c r="R37"/>
      <c r="S37" s="5"/>
    </row>
    <row r="38" spans="3:19" s="35" customFormat="1" x14ac:dyDescent="0.25">
      <c r="C38" s="55"/>
      <c r="D38" s="36" t="s">
        <v>221</v>
      </c>
      <c r="E38" s="29" t="s">
        <v>226</v>
      </c>
      <c r="F38" s="31"/>
      <c r="G38" s="34"/>
      <c r="H38" s="55"/>
      <c r="I38" s="40"/>
      <c r="J38" s="40"/>
      <c r="K38" s="40"/>
      <c r="L38" s="55"/>
      <c r="M38" s="55"/>
      <c r="N38" s="55"/>
      <c r="P38" s="15"/>
      <c r="Q38"/>
      <c r="R38"/>
      <c r="S38" s="5"/>
    </row>
    <row r="39" spans="3:19" s="35" customFormat="1" x14ac:dyDescent="0.25">
      <c r="C39" s="22"/>
      <c r="D39" s="55"/>
      <c r="E39" s="55"/>
      <c r="F39" s="55"/>
      <c r="G39" s="55"/>
      <c r="H39" s="55"/>
      <c r="I39" s="14"/>
      <c r="J39" s="14"/>
      <c r="K39" s="14"/>
      <c r="L39" s="54"/>
      <c r="M39" s="90"/>
      <c r="N39" s="21"/>
      <c r="P39" s="15"/>
      <c r="Q39"/>
      <c r="R39"/>
      <c r="S39" s="5"/>
    </row>
    <row r="40" spans="3:19" s="35" customFormat="1" x14ac:dyDescent="0.25">
      <c r="C40" s="22"/>
      <c r="D40" s="55"/>
      <c r="E40" s="55"/>
      <c r="F40" s="55"/>
      <c r="G40" s="55"/>
      <c r="H40" s="55"/>
      <c r="I40" s="14"/>
      <c r="J40" s="14"/>
      <c r="K40" s="14"/>
      <c r="L40" s="54"/>
      <c r="M40" s="90"/>
      <c r="N40" s="21"/>
      <c r="P40" s="15"/>
      <c r="Q40"/>
      <c r="R40"/>
      <c r="S40" s="5"/>
    </row>
    <row r="41" spans="3:19" s="35" customFormat="1" x14ac:dyDescent="0.25">
      <c r="C41" s="22"/>
      <c r="D41" s="55"/>
      <c r="E41" s="55"/>
      <c r="F41" s="55"/>
      <c r="G41" s="55"/>
      <c r="H41" s="55"/>
      <c r="I41" s="14"/>
      <c r="J41" s="14"/>
      <c r="K41" s="14"/>
      <c r="L41" s="54"/>
      <c r="M41" s="90"/>
      <c r="N41" s="21"/>
      <c r="P41" s="15"/>
      <c r="Q41"/>
      <c r="R41"/>
      <c r="S41" s="5"/>
    </row>
    <row r="45" spans="3:19" s="35" customFormat="1" x14ac:dyDescent="0.25">
      <c r="C45" s="22"/>
      <c r="D45"/>
      <c r="E45"/>
      <c r="F45"/>
      <c r="G45"/>
      <c r="H45" s="14" t="s">
        <v>255</v>
      </c>
      <c r="I45" s="14"/>
      <c r="J45" s="14"/>
      <c r="K45" s="14"/>
      <c r="L45" s="54"/>
      <c r="M45" s="90"/>
      <c r="N45" s="21"/>
      <c r="P45" s="15"/>
      <c r="Q45"/>
      <c r="R45"/>
      <c r="S45" s="5"/>
    </row>
  </sheetData>
  <autoFilter ref="C17:O25">
    <sortState ref="C22:O109">
      <sortCondition ref="F17:F109"/>
    </sortState>
  </autoFilter>
  <mergeCells count="3">
    <mergeCell ref="H7:O7"/>
    <mergeCell ref="P11:S11"/>
    <mergeCell ref="D32:G3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1:O18"/>
  <sheetViews>
    <sheetView workbookViewId="0">
      <selection activeCell="A8" sqref="A8"/>
    </sheetView>
  </sheetViews>
  <sheetFormatPr defaultRowHeight="15" x14ac:dyDescent="0.25"/>
  <cols>
    <col min="2" max="2" width="13.42578125" customWidth="1"/>
    <col min="3" max="3" width="13" style="5" customWidth="1"/>
    <col min="4" max="4" width="12" customWidth="1"/>
    <col min="5" max="5" width="11.5703125" bestFit="1" customWidth="1"/>
    <col min="6" max="6" width="62.42578125" style="8" customWidth="1"/>
    <col min="7" max="7" width="21.85546875" bestFit="1" customWidth="1"/>
    <col min="8" max="8" width="20.7109375" bestFit="1" customWidth="1"/>
    <col min="9" max="9" width="15.140625" customWidth="1"/>
    <col min="10" max="10" width="16" customWidth="1"/>
    <col min="11" max="11" width="16.85546875" customWidth="1"/>
  </cols>
  <sheetData>
    <row r="1" spans="1:15" ht="15.75" thickBot="1" x14ac:dyDescent="0.3"/>
    <row r="2" spans="1:15" ht="58.5" x14ac:dyDescent="0.25">
      <c r="A2" s="129" t="s">
        <v>6</v>
      </c>
      <c r="B2" s="129" t="s">
        <v>7</v>
      </c>
      <c r="C2" s="129" t="s">
        <v>335</v>
      </c>
      <c r="D2" s="129" t="s">
        <v>249</v>
      </c>
      <c r="E2" s="129" t="s">
        <v>10</v>
      </c>
      <c r="F2" s="129" t="s">
        <v>8</v>
      </c>
      <c r="G2" s="131" t="s">
        <v>227</v>
      </c>
      <c r="H2" s="132" t="s">
        <v>233</v>
      </c>
      <c r="I2" s="132" t="s">
        <v>330</v>
      </c>
      <c r="J2" s="131" t="s">
        <v>333</v>
      </c>
      <c r="K2" s="129" t="s">
        <v>11</v>
      </c>
    </row>
    <row r="3" spans="1:15" ht="17.25" x14ac:dyDescent="0.25">
      <c r="A3" s="37">
        <v>1</v>
      </c>
      <c r="B3" s="37" t="s">
        <v>12</v>
      </c>
      <c r="C3" s="94" t="s">
        <v>207</v>
      </c>
      <c r="D3" s="63" t="s">
        <v>254</v>
      </c>
      <c r="E3" s="96" t="s">
        <v>17</v>
      </c>
      <c r="F3" s="63" t="s">
        <v>16</v>
      </c>
      <c r="G3" s="59">
        <v>44215</v>
      </c>
      <c r="H3" s="111">
        <v>5227397.8499999996</v>
      </c>
      <c r="I3" s="124" t="s">
        <v>332</v>
      </c>
      <c r="J3" s="59">
        <v>44215</v>
      </c>
      <c r="K3" s="122" t="s">
        <v>217</v>
      </c>
    </row>
    <row r="4" spans="1:15" ht="17.25" x14ac:dyDescent="0.25">
      <c r="A4" s="37">
        <v>2</v>
      </c>
      <c r="B4" s="37" t="s">
        <v>12</v>
      </c>
      <c r="C4" s="94" t="s">
        <v>14</v>
      </c>
      <c r="D4" s="63" t="s">
        <v>254</v>
      </c>
      <c r="E4" s="96" t="s">
        <v>15</v>
      </c>
      <c r="F4" s="63" t="s">
        <v>13</v>
      </c>
      <c r="G4" s="59">
        <v>43668</v>
      </c>
      <c r="H4" s="111">
        <v>5298817.88</v>
      </c>
      <c r="I4" s="124" t="s">
        <v>332</v>
      </c>
      <c r="J4" s="59">
        <v>43668</v>
      </c>
      <c r="K4" s="122" t="s">
        <v>217</v>
      </c>
      <c r="O4" s="7">
        <v>45460</v>
      </c>
    </row>
    <row r="5" spans="1:15" ht="17.25" x14ac:dyDescent="0.25">
      <c r="A5" s="64">
        <v>3</v>
      </c>
      <c r="B5" s="64" t="s">
        <v>20</v>
      </c>
      <c r="C5" s="94" t="s">
        <v>24</v>
      </c>
      <c r="D5" s="121" t="s">
        <v>254</v>
      </c>
      <c r="E5" s="66" t="s">
        <v>25</v>
      </c>
      <c r="F5" s="94" t="s">
        <v>23</v>
      </c>
      <c r="G5" s="59">
        <v>45992</v>
      </c>
      <c r="H5" s="111">
        <v>17072142.829999998</v>
      </c>
      <c r="I5" s="124" t="s">
        <v>331</v>
      </c>
      <c r="J5" s="59">
        <v>45996</v>
      </c>
      <c r="K5" s="122" t="s">
        <v>217</v>
      </c>
    </row>
    <row r="6" spans="1:15" ht="20.25" customHeight="1" x14ac:dyDescent="0.25">
      <c r="A6" s="37">
        <v>4</v>
      </c>
      <c r="B6" s="37" t="s">
        <v>222</v>
      </c>
      <c r="C6" s="94" t="s">
        <v>18</v>
      </c>
      <c r="D6" s="63" t="s">
        <v>254</v>
      </c>
      <c r="E6" s="96" t="s">
        <v>19</v>
      </c>
      <c r="F6" s="63" t="s">
        <v>328</v>
      </c>
      <c r="G6" s="59">
        <v>43840</v>
      </c>
      <c r="H6" s="111">
        <v>2018793.04</v>
      </c>
      <c r="I6" s="125" t="s">
        <v>332</v>
      </c>
      <c r="J6" s="59">
        <v>43840</v>
      </c>
      <c r="K6" s="122" t="s">
        <v>217</v>
      </c>
    </row>
    <row r="7" spans="1:15" ht="17.25" x14ac:dyDescent="0.25">
      <c r="A7" s="37">
        <v>5</v>
      </c>
      <c r="B7" s="37" t="s">
        <v>20</v>
      </c>
      <c r="C7" s="121" t="s">
        <v>22</v>
      </c>
      <c r="D7" s="121" t="s">
        <v>254</v>
      </c>
      <c r="E7" s="96" t="s">
        <v>220</v>
      </c>
      <c r="F7" s="121" t="s">
        <v>21</v>
      </c>
      <c r="G7" s="119" t="s">
        <v>205</v>
      </c>
      <c r="H7" s="153">
        <v>16970310.579999998</v>
      </c>
      <c r="I7" s="154" t="s">
        <v>331</v>
      </c>
      <c r="J7" s="119" t="s">
        <v>205</v>
      </c>
      <c r="K7" s="126" t="s">
        <v>256</v>
      </c>
    </row>
    <row r="9" spans="1:15" x14ac:dyDescent="0.25">
      <c r="H9" s="160">
        <f>SUM(H3:H7)</f>
        <v>46587462.179999992</v>
      </c>
    </row>
    <row r="12" spans="1:15" x14ac:dyDescent="0.25">
      <c r="J12" s="10"/>
      <c r="K12" s="10"/>
      <c r="L12" s="10"/>
      <c r="M12" s="10"/>
      <c r="N12" s="10"/>
      <c r="O12" s="10"/>
    </row>
    <row r="13" spans="1:15" x14ac:dyDescent="0.25">
      <c r="J13" s="10"/>
      <c r="K13" s="9" t="s">
        <v>26</v>
      </c>
      <c r="L13" s="9" t="s">
        <v>0</v>
      </c>
      <c r="M13" s="9" t="s">
        <v>1</v>
      </c>
      <c r="N13" s="6" t="s">
        <v>2</v>
      </c>
      <c r="O13" s="10"/>
    </row>
    <row r="14" spans="1:15" x14ac:dyDescent="0.25">
      <c r="J14" s="10"/>
      <c r="K14" s="1" t="s">
        <v>3</v>
      </c>
      <c r="L14" s="2">
        <v>2</v>
      </c>
      <c r="M14" s="3">
        <v>2</v>
      </c>
      <c r="N14" s="4">
        <f>M14/L14</f>
        <v>1</v>
      </c>
      <c r="O14" s="10"/>
    </row>
    <row r="15" spans="1:15" x14ac:dyDescent="0.25">
      <c r="J15" s="10"/>
      <c r="K15" s="1" t="s">
        <v>4</v>
      </c>
      <c r="L15" s="2">
        <v>2</v>
      </c>
      <c r="M15" s="3">
        <v>0</v>
      </c>
      <c r="N15" s="4">
        <f>M15/L15</f>
        <v>0</v>
      </c>
      <c r="O15" s="10"/>
    </row>
    <row r="16" spans="1:15" x14ac:dyDescent="0.25">
      <c r="J16" s="10"/>
      <c r="K16" s="1" t="s">
        <v>5</v>
      </c>
      <c r="L16" s="2">
        <v>1</v>
      </c>
      <c r="M16" s="3">
        <v>1</v>
      </c>
      <c r="N16" s="4">
        <f>M16/L16</f>
        <v>1</v>
      </c>
      <c r="O16" s="10"/>
    </row>
    <row r="17" spans="10:15" x14ac:dyDescent="0.25">
      <c r="J17" s="10"/>
      <c r="K17" s="11" t="s">
        <v>206</v>
      </c>
      <c r="L17" s="12">
        <f>L16+L15+L14</f>
        <v>5</v>
      </c>
      <c r="M17" s="12">
        <f>M16+M15+M14</f>
        <v>3</v>
      </c>
      <c r="N17" s="13">
        <f>M17/L17</f>
        <v>0.6</v>
      </c>
      <c r="O17" s="10"/>
    </row>
    <row r="18" spans="10:15" x14ac:dyDescent="0.25">
      <c r="J18" s="10"/>
      <c r="K18" s="10"/>
      <c r="L18" s="10"/>
      <c r="M18" s="10"/>
      <c r="N18" s="10"/>
      <c r="O18" s="10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B2:L26"/>
  <sheetViews>
    <sheetView zoomScale="77" zoomScaleNormal="77" workbookViewId="0">
      <selection activeCell="D30" sqref="D30"/>
    </sheetView>
  </sheetViews>
  <sheetFormatPr defaultRowHeight="15" x14ac:dyDescent="0.25"/>
  <cols>
    <col min="3" max="3" width="14.7109375" customWidth="1"/>
    <col min="4" max="4" width="50.42578125" bestFit="1" customWidth="1"/>
    <col min="5" max="5" width="19.140625" bestFit="1" customWidth="1"/>
    <col min="7" max="7" width="60.85546875" customWidth="1"/>
    <col min="8" max="8" width="18.28515625" customWidth="1"/>
    <col min="9" max="9" width="20.42578125" bestFit="1" customWidth="1"/>
    <col min="10" max="10" width="18" bestFit="1" customWidth="1"/>
    <col min="11" max="11" width="17.28515625" customWidth="1"/>
    <col min="12" max="12" width="19" customWidth="1"/>
  </cols>
  <sheetData>
    <row r="2" spans="2:12" ht="15.75" thickBot="1" x14ac:dyDescent="0.3"/>
    <row r="3" spans="2:12" ht="39" x14ac:dyDescent="0.25">
      <c r="B3" s="129" t="s">
        <v>6</v>
      </c>
      <c r="C3" s="129" t="s">
        <v>7</v>
      </c>
      <c r="D3" s="129" t="s">
        <v>335</v>
      </c>
      <c r="E3" s="129" t="s">
        <v>249</v>
      </c>
      <c r="F3" s="129" t="s">
        <v>10</v>
      </c>
      <c r="G3" s="129" t="s">
        <v>8</v>
      </c>
      <c r="H3" s="131" t="s">
        <v>227</v>
      </c>
      <c r="I3" s="132" t="s">
        <v>233</v>
      </c>
      <c r="J3" s="132" t="s">
        <v>330</v>
      </c>
      <c r="K3" s="131" t="s">
        <v>333</v>
      </c>
      <c r="L3" s="129" t="s">
        <v>11</v>
      </c>
    </row>
    <row r="4" spans="2:12" ht="17.25" x14ac:dyDescent="0.25">
      <c r="B4" s="163">
        <v>1</v>
      </c>
      <c r="C4" s="161" t="s">
        <v>12</v>
      </c>
      <c r="D4" s="116" t="s">
        <v>41</v>
      </c>
      <c r="E4" s="61" t="s">
        <v>250</v>
      </c>
      <c r="F4" s="109" t="s">
        <v>42</v>
      </c>
      <c r="G4" s="116" t="s">
        <v>40</v>
      </c>
      <c r="H4" s="60">
        <v>42692</v>
      </c>
      <c r="I4" s="145">
        <v>5167324.72</v>
      </c>
      <c r="J4" s="146" t="s">
        <v>332</v>
      </c>
      <c r="K4" s="60">
        <v>42692</v>
      </c>
      <c r="L4" s="147" t="s">
        <v>217</v>
      </c>
    </row>
    <row r="5" spans="2:12" ht="17.25" x14ac:dyDescent="0.25">
      <c r="B5" s="64">
        <v>2</v>
      </c>
      <c r="C5" s="162" t="s">
        <v>12</v>
      </c>
      <c r="D5" s="62" t="s">
        <v>31</v>
      </c>
      <c r="E5" s="61" t="s">
        <v>250</v>
      </c>
      <c r="F5" s="64" t="s">
        <v>32</v>
      </c>
      <c r="G5" s="62" t="s">
        <v>30</v>
      </c>
      <c r="H5" s="59">
        <v>42828</v>
      </c>
      <c r="I5" s="145">
        <v>5449642.9800000004</v>
      </c>
      <c r="J5" s="146" t="s">
        <v>332</v>
      </c>
      <c r="K5" s="59">
        <v>42828</v>
      </c>
      <c r="L5" s="148" t="s">
        <v>217</v>
      </c>
    </row>
    <row r="6" spans="2:12" ht="17.25" x14ac:dyDescent="0.25">
      <c r="B6" s="64">
        <v>3</v>
      </c>
      <c r="C6" s="162" t="s">
        <v>12</v>
      </c>
      <c r="D6" s="62" t="s">
        <v>28</v>
      </c>
      <c r="E6" s="61" t="s">
        <v>250</v>
      </c>
      <c r="F6" s="64" t="s">
        <v>29</v>
      </c>
      <c r="G6" s="62" t="s">
        <v>27</v>
      </c>
      <c r="H6" s="59">
        <v>42940</v>
      </c>
      <c r="I6" s="145">
        <v>4675974.6500000004</v>
      </c>
      <c r="J6" s="146" t="s">
        <v>332</v>
      </c>
      <c r="K6" s="59">
        <v>42940</v>
      </c>
      <c r="L6" s="149" t="s">
        <v>217</v>
      </c>
    </row>
    <row r="7" spans="2:12" ht="17.25" x14ac:dyDescent="0.25">
      <c r="B7" s="64">
        <v>4</v>
      </c>
      <c r="C7" s="162" t="s">
        <v>12</v>
      </c>
      <c r="D7" s="62" t="s">
        <v>47</v>
      </c>
      <c r="E7" s="61" t="s">
        <v>250</v>
      </c>
      <c r="F7" s="64" t="s">
        <v>48</v>
      </c>
      <c r="G7" s="62" t="s">
        <v>46</v>
      </c>
      <c r="H7" s="59">
        <v>43157</v>
      </c>
      <c r="I7" s="145">
        <v>4563858.58</v>
      </c>
      <c r="J7" s="146" t="s">
        <v>332</v>
      </c>
      <c r="K7" s="59">
        <v>43157</v>
      </c>
      <c r="L7" s="149" t="s">
        <v>217</v>
      </c>
    </row>
    <row r="8" spans="2:12" ht="17.25" x14ac:dyDescent="0.25">
      <c r="B8" s="64">
        <v>5</v>
      </c>
      <c r="C8" s="162" t="s">
        <v>12</v>
      </c>
      <c r="D8" s="62" t="s">
        <v>34</v>
      </c>
      <c r="E8" s="61" t="s">
        <v>250</v>
      </c>
      <c r="F8" s="64" t="s">
        <v>35</v>
      </c>
      <c r="G8" s="62" t="s">
        <v>33</v>
      </c>
      <c r="H8" s="59">
        <v>43249</v>
      </c>
      <c r="I8" s="145">
        <v>4774456.93</v>
      </c>
      <c r="J8" s="146" t="s">
        <v>332</v>
      </c>
      <c r="K8" s="59">
        <v>43249</v>
      </c>
      <c r="L8" s="150" t="s">
        <v>217</v>
      </c>
    </row>
    <row r="9" spans="2:12" ht="17.25" x14ac:dyDescent="0.25">
      <c r="B9" s="64">
        <v>6</v>
      </c>
      <c r="C9" s="162" t="s">
        <v>12</v>
      </c>
      <c r="D9" s="62" t="s">
        <v>37</v>
      </c>
      <c r="E9" s="61" t="s">
        <v>250</v>
      </c>
      <c r="F9" s="64" t="s">
        <v>35</v>
      </c>
      <c r="G9" s="62" t="s">
        <v>36</v>
      </c>
      <c r="H9" s="59">
        <v>43605</v>
      </c>
      <c r="I9" s="145">
        <v>4516108.6399999997</v>
      </c>
      <c r="J9" s="146" t="s">
        <v>332</v>
      </c>
      <c r="K9" s="59">
        <v>43605</v>
      </c>
      <c r="L9" s="150" t="s">
        <v>217</v>
      </c>
    </row>
    <row r="10" spans="2:12" ht="17.25" x14ac:dyDescent="0.25">
      <c r="B10" s="64">
        <v>7</v>
      </c>
      <c r="C10" s="162" t="s">
        <v>12</v>
      </c>
      <c r="D10" s="62" t="s">
        <v>39</v>
      </c>
      <c r="E10" s="61" t="s">
        <v>250</v>
      </c>
      <c r="F10" s="64" t="s">
        <v>35</v>
      </c>
      <c r="G10" s="62" t="s">
        <v>38</v>
      </c>
      <c r="H10" s="59">
        <v>43788</v>
      </c>
      <c r="I10" s="145">
        <v>5411105.3200000003</v>
      </c>
      <c r="J10" s="146" t="s">
        <v>332</v>
      </c>
      <c r="K10" s="59">
        <v>43788</v>
      </c>
      <c r="L10" s="150" t="s">
        <v>217</v>
      </c>
    </row>
    <row r="11" spans="2:12" ht="17.25" x14ac:dyDescent="0.25">
      <c r="B11" s="64">
        <v>8</v>
      </c>
      <c r="C11" s="162" t="s">
        <v>12</v>
      </c>
      <c r="D11" s="62" t="s">
        <v>44</v>
      </c>
      <c r="E11" s="61" t="s">
        <v>250</v>
      </c>
      <c r="F11" s="64" t="s">
        <v>45</v>
      </c>
      <c r="G11" s="62" t="s">
        <v>43</v>
      </c>
      <c r="H11" s="59">
        <v>44172</v>
      </c>
      <c r="I11" s="145">
        <v>5143052.8499999996</v>
      </c>
      <c r="J11" s="146" t="s">
        <v>332</v>
      </c>
      <c r="K11" s="59">
        <v>44172</v>
      </c>
      <c r="L11" s="150" t="s">
        <v>217</v>
      </c>
    </row>
    <row r="12" spans="2:12" ht="17.25" x14ac:dyDescent="0.25">
      <c r="B12" s="64">
        <v>9</v>
      </c>
      <c r="C12" s="162" t="s">
        <v>223</v>
      </c>
      <c r="D12" s="62" t="s">
        <v>58</v>
      </c>
      <c r="E12" s="63" t="s">
        <v>250</v>
      </c>
      <c r="F12" s="64" t="s">
        <v>59</v>
      </c>
      <c r="G12" s="62" t="s">
        <v>57</v>
      </c>
      <c r="H12" s="59">
        <v>44258</v>
      </c>
      <c r="I12" s="145">
        <v>2932746.87</v>
      </c>
      <c r="J12" s="146" t="s">
        <v>332</v>
      </c>
      <c r="K12" s="59">
        <v>44258</v>
      </c>
      <c r="L12" s="150" t="s">
        <v>217</v>
      </c>
    </row>
    <row r="13" spans="2:12" ht="17.25" x14ac:dyDescent="0.25">
      <c r="B13" s="64">
        <v>10</v>
      </c>
      <c r="C13" s="162" t="s">
        <v>20</v>
      </c>
      <c r="D13" s="94" t="s">
        <v>72</v>
      </c>
      <c r="E13" s="121" t="s">
        <v>250</v>
      </c>
      <c r="F13" s="66" t="s">
        <v>73</v>
      </c>
      <c r="G13" s="94" t="s">
        <v>71</v>
      </c>
      <c r="H13" s="59">
        <v>45972</v>
      </c>
      <c r="I13" s="145">
        <v>15349988.98</v>
      </c>
      <c r="J13" s="146" t="s">
        <v>331</v>
      </c>
      <c r="K13" s="119">
        <v>45973</v>
      </c>
      <c r="L13" s="150" t="s">
        <v>217</v>
      </c>
    </row>
    <row r="14" spans="2:12" ht="17.25" x14ac:dyDescent="0.25">
      <c r="B14" s="64">
        <v>11</v>
      </c>
      <c r="C14" s="162" t="s">
        <v>51</v>
      </c>
      <c r="D14" s="62" t="s">
        <v>44</v>
      </c>
      <c r="E14" s="63" t="s">
        <v>250</v>
      </c>
      <c r="F14" s="64" t="s">
        <v>45</v>
      </c>
      <c r="G14" s="62" t="s">
        <v>53</v>
      </c>
      <c r="H14" s="59">
        <v>44323</v>
      </c>
      <c r="I14" s="145">
        <v>9276920.1600000001</v>
      </c>
      <c r="J14" s="146" t="s">
        <v>332</v>
      </c>
      <c r="K14" s="59">
        <v>44323</v>
      </c>
      <c r="L14" s="150" t="s">
        <v>217</v>
      </c>
    </row>
    <row r="15" spans="2:12" ht="17.25" x14ac:dyDescent="0.25">
      <c r="B15" s="64">
        <v>12</v>
      </c>
      <c r="C15" s="162" t="s">
        <v>20</v>
      </c>
      <c r="D15" s="62" t="s">
        <v>50</v>
      </c>
      <c r="E15" s="63" t="s">
        <v>250</v>
      </c>
      <c r="F15" s="64" t="s">
        <v>32</v>
      </c>
      <c r="G15" s="62" t="s">
        <v>49</v>
      </c>
      <c r="H15" s="59">
        <v>44522</v>
      </c>
      <c r="I15" s="145">
        <v>10236744.66</v>
      </c>
      <c r="J15" s="146" t="s">
        <v>332</v>
      </c>
      <c r="K15" s="59">
        <v>44522</v>
      </c>
      <c r="L15" s="150" t="s">
        <v>217</v>
      </c>
    </row>
    <row r="16" spans="2:12" ht="17.25" x14ac:dyDescent="0.25">
      <c r="B16" s="64">
        <v>13</v>
      </c>
      <c r="C16" s="162" t="s">
        <v>223</v>
      </c>
      <c r="D16" s="62" t="s">
        <v>28</v>
      </c>
      <c r="E16" s="63" t="s">
        <v>250</v>
      </c>
      <c r="F16" s="64" t="s">
        <v>29</v>
      </c>
      <c r="G16" s="62" t="s">
        <v>54</v>
      </c>
      <c r="H16" s="59">
        <v>44763</v>
      </c>
      <c r="I16" s="145">
        <v>2997223</v>
      </c>
      <c r="J16" s="146" t="s">
        <v>332</v>
      </c>
      <c r="K16" s="59">
        <v>44763</v>
      </c>
      <c r="L16" s="150" t="s">
        <v>217</v>
      </c>
    </row>
    <row r="17" spans="2:12" ht="17.25" x14ac:dyDescent="0.25">
      <c r="B17" s="64">
        <v>14</v>
      </c>
      <c r="C17" s="162" t="s">
        <v>222</v>
      </c>
      <c r="D17" s="62" t="s">
        <v>61</v>
      </c>
      <c r="E17" s="63" t="s">
        <v>250</v>
      </c>
      <c r="F17" s="64" t="s">
        <v>59</v>
      </c>
      <c r="G17" s="62" t="s">
        <v>60</v>
      </c>
      <c r="H17" s="59">
        <v>44782</v>
      </c>
      <c r="I17" s="145">
        <v>2805032.32</v>
      </c>
      <c r="J17" s="146" t="s">
        <v>332</v>
      </c>
      <c r="K17" s="59">
        <v>44782</v>
      </c>
      <c r="L17" s="150" t="s">
        <v>217</v>
      </c>
    </row>
    <row r="18" spans="2:12" ht="17.25" x14ac:dyDescent="0.25">
      <c r="B18" s="64">
        <v>15</v>
      </c>
      <c r="C18" s="162" t="s">
        <v>222</v>
      </c>
      <c r="D18" s="62" t="s">
        <v>56</v>
      </c>
      <c r="E18" s="63" t="s">
        <v>250</v>
      </c>
      <c r="F18" s="64" t="s">
        <v>32</v>
      </c>
      <c r="G18" s="62" t="s">
        <v>55</v>
      </c>
      <c r="H18" s="59">
        <v>45005</v>
      </c>
      <c r="I18" s="145">
        <v>3092532.98</v>
      </c>
      <c r="J18" s="151" t="s">
        <v>331</v>
      </c>
      <c r="K18" s="59">
        <v>45005</v>
      </c>
      <c r="L18" s="150" t="s">
        <v>217</v>
      </c>
    </row>
    <row r="19" spans="2:12" ht="17.25" x14ac:dyDescent="0.25">
      <c r="B19" s="64">
        <v>16</v>
      </c>
      <c r="C19" s="162" t="s">
        <v>51</v>
      </c>
      <c r="D19" s="62" t="s">
        <v>39</v>
      </c>
      <c r="E19" s="63" t="s">
        <v>250</v>
      </c>
      <c r="F19" s="64" t="s">
        <v>35</v>
      </c>
      <c r="G19" s="62" t="s">
        <v>52</v>
      </c>
      <c r="H19" s="59">
        <v>45218</v>
      </c>
      <c r="I19" s="145">
        <v>9818350.0700000003</v>
      </c>
      <c r="J19" s="151" t="s">
        <v>331</v>
      </c>
      <c r="K19" s="59">
        <v>45218</v>
      </c>
      <c r="L19" s="150" t="s">
        <v>217</v>
      </c>
    </row>
    <row r="20" spans="2:12" ht="17.25" x14ac:dyDescent="0.25">
      <c r="B20" s="64">
        <v>17</v>
      </c>
      <c r="C20" s="162" t="s">
        <v>51</v>
      </c>
      <c r="D20" s="121" t="s">
        <v>70</v>
      </c>
      <c r="E20" s="121" t="s">
        <v>250</v>
      </c>
      <c r="F20" s="66" t="s">
        <v>68</v>
      </c>
      <c r="G20" s="121" t="s">
        <v>69</v>
      </c>
      <c r="H20" s="59">
        <v>45772</v>
      </c>
      <c r="I20" s="145">
        <v>12805628.25</v>
      </c>
      <c r="J20" s="151" t="s">
        <v>331</v>
      </c>
      <c r="K20" s="119">
        <v>45807</v>
      </c>
      <c r="L20" s="150" t="s">
        <v>217</v>
      </c>
    </row>
    <row r="21" spans="2:12" ht="17.25" x14ac:dyDescent="0.25">
      <c r="B21" s="64">
        <v>18</v>
      </c>
      <c r="C21" s="162" t="s">
        <v>51</v>
      </c>
      <c r="D21" s="94" t="s">
        <v>39</v>
      </c>
      <c r="E21" s="121" t="s">
        <v>250</v>
      </c>
      <c r="F21" s="66" t="s">
        <v>35</v>
      </c>
      <c r="G21" s="94" t="s">
        <v>75</v>
      </c>
      <c r="H21" s="59">
        <v>45832</v>
      </c>
      <c r="I21" s="145">
        <v>13594058.57</v>
      </c>
      <c r="J21" s="151" t="s">
        <v>331</v>
      </c>
      <c r="K21" s="59">
        <v>45856</v>
      </c>
      <c r="L21" s="150" t="s">
        <v>217</v>
      </c>
    </row>
    <row r="22" spans="2:12" ht="17.25" x14ac:dyDescent="0.25">
      <c r="B22" s="64">
        <v>19</v>
      </c>
      <c r="C22" s="162" t="s">
        <v>51</v>
      </c>
      <c r="D22" s="94" t="s">
        <v>67</v>
      </c>
      <c r="E22" s="121" t="s">
        <v>250</v>
      </c>
      <c r="F22" s="66" t="s">
        <v>68</v>
      </c>
      <c r="G22" s="94" t="s">
        <v>66</v>
      </c>
      <c r="H22" s="59">
        <v>45832</v>
      </c>
      <c r="I22" s="145">
        <v>14427537.07</v>
      </c>
      <c r="J22" s="151" t="s">
        <v>331</v>
      </c>
      <c r="K22" s="119">
        <v>45856</v>
      </c>
      <c r="L22" s="150" t="s">
        <v>217</v>
      </c>
    </row>
    <row r="23" spans="2:12" ht="17.25" x14ac:dyDescent="0.25">
      <c r="B23" s="64">
        <v>20</v>
      </c>
      <c r="C23" s="162" t="s">
        <v>20</v>
      </c>
      <c r="D23" s="121" t="s">
        <v>63</v>
      </c>
      <c r="E23" s="121" t="s">
        <v>250</v>
      </c>
      <c r="F23" s="66" t="s">
        <v>32</v>
      </c>
      <c r="G23" s="121" t="s">
        <v>62</v>
      </c>
      <c r="H23" s="59">
        <v>46006</v>
      </c>
      <c r="I23" s="145">
        <v>15564231.5</v>
      </c>
      <c r="J23" s="151" t="s">
        <v>331</v>
      </c>
      <c r="K23" s="119">
        <v>45989</v>
      </c>
      <c r="L23" s="150" t="s">
        <v>217</v>
      </c>
    </row>
    <row r="24" spans="2:12" ht="17.25" x14ac:dyDescent="0.25">
      <c r="B24" s="64">
        <v>21</v>
      </c>
      <c r="C24" s="162" t="s">
        <v>51</v>
      </c>
      <c r="D24" s="121" t="s">
        <v>65</v>
      </c>
      <c r="E24" s="121" t="s">
        <v>250</v>
      </c>
      <c r="F24" s="66" t="s">
        <v>45</v>
      </c>
      <c r="G24" s="121" t="s">
        <v>64</v>
      </c>
      <c r="H24" s="59">
        <v>46073</v>
      </c>
      <c r="I24" s="145">
        <v>12592144.66</v>
      </c>
      <c r="J24" s="151" t="s">
        <v>331</v>
      </c>
      <c r="K24" s="119">
        <v>46114</v>
      </c>
      <c r="L24" s="150" t="s">
        <v>217</v>
      </c>
    </row>
    <row r="25" spans="2:12" ht="17.25" x14ac:dyDescent="0.25">
      <c r="B25" s="64">
        <v>22</v>
      </c>
      <c r="C25" s="162" t="s">
        <v>51</v>
      </c>
      <c r="D25" s="121" t="s">
        <v>74</v>
      </c>
      <c r="E25" s="121" t="s">
        <v>250</v>
      </c>
      <c r="F25" s="66" t="s">
        <v>32</v>
      </c>
      <c r="G25" s="121" t="s">
        <v>216</v>
      </c>
      <c r="H25" s="59">
        <v>46154</v>
      </c>
      <c r="I25" s="145">
        <v>13096536.960000001</v>
      </c>
      <c r="J25" s="151" t="s">
        <v>331</v>
      </c>
      <c r="K25" s="119">
        <v>46119</v>
      </c>
      <c r="L25" s="150" t="s">
        <v>217</v>
      </c>
    </row>
    <row r="26" spans="2:12" ht="17.25" x14ac:dyDescent="0.25">
      <c r="B26" s="64">
        <v>23</v>
      </c>
      <c r="C26" s="162" t="s">
        <v>223</v>
      </c>
      <c r="D26" s="121" t="s">
        <v>202</v>
      </c>
      <c r="E26" s="121" t="s">
        <v>250</v>
      </c>
      <c r="F26" s="66" t="s">
        <v>32</v>
      </c>
      <c r="G26" s="121" t="s">
        <v>201</v>
      </c>
      <c r="H26" s="59" t="s">
        <v>205</v>
      </c>
      <c r="I26" s="155">
        <v>3316062.03</v>
      </c>
      <c r="J26" s="156" t="s">
        <v>331</v>
      </c>
      <c r="K26" s="119" t="s">
        <v>205</v>
      </c>
      <c r="L26" s="143" t="s">
        <v>256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3:L14"/>
  <sheetViews>
    <sheetView topLeftCell="E1" workbookViewId="0">
      <selection activeCell="G20" sqref="G20"/>
    </sheetView>
  </sheetViews>
  <sheetFormatPr defaultRowHeight="15" x14ac:dyDescent="0.25"/>
  <cols>
    <col min="2" max="2" width="13.28515625" customWidth="1"/>
    <col min="3" max="3" width="20" customWidth="1"/>
    <col min="4" max="4" width="55.7109375" customWidth="1"/>
    <col min="5" max="5" width="9.42578125" bestFit="1" customWidth="1"/>
    <col min="6" max="6" width="61.140625" customWidth="1"/>
    <col min="7" max="7" width="21.7109375" customWidth="1"/>
    <col min="8" max="8" width="43.28515625" bestFit="1" customWidth="1"/>
    <col min="9" max="9" width="15.28515625" customWidth="1"/>
    <col min="10" max="10" width="17.140625" customWidth="1"/>
    <col min="11" max="11" width="16.85546875" customWidth="1"/>
  </cols>
  <sheetData>
    <row r="3" spans="1:12" ht="15.75" thickBot="1" x14ac:dyDescent="0.3"/>
    <row r="4" spans="1:12" ht="39" x14ac:dyDescent="0.25">
      <c r="A4" s="129" t="s">
        <v>6</v>
      </c>
      <c r="B4" s="129" t="s">
        <v>7</v>
      </c>
      <c r="C4" s="129" t="s">
        <v>335</v>
      </c>
      <c r="D4" s="129" t="s">
        <v>249</v>
      </c>
      <c r="E4" s="129" t="s">
        <v>10</v>
      </c>
      <c r="F4" s="129" t="s">
        <v>8</v>
      </c>
      <c r="G4" s="131" t="s">
        <v>227</v>
      </c>
      <c r="H4" s="132" t="s">
        <v>233</v>
      </c>
      <c r="I4" s="132" t="s">
        <v>330</v>
      </c>
      <c r="J4" s="131" t="s">
        <v>333</v>
      </c>
      <c r="K4" s="129" t="s">
        <v>11</v>
      </c>
      <c r="L4" s="10"/>
    </row>
    <row r="5" spans="1:12" ht="17.25" x14ac:dyDescent="0.25">
      <c r="A5" s="64">
        <v>1</v>
      </c>
      <c r="B5" s="64" t="s">
        <v>12</v>
      </c>
      <c r="C5" s="63" t="s">
        <v>196</v>
      </c>
      <c r="D5" s="63" t="s">
        <v>252</v>
      </c>
      <c r="E5" s="64" t="s">
        <v>197</v>
      </c>
      <c r="F5" s="63" t="s">
        <v>195</v>
      </c>
      <c r="G5" s="59">
        <v>43026</v>
      </c>
      <c r="H5" s="111">
        <v>4351299.84</v>
      </c>
      <c r="I5" s="124" t="s">
        <v>332</v>
      </c>
      <c r="J5" s="59">
        <v>43026</v>
      </c>
      <c r="K5" s="122" t="s">
        <v>217</v>
      </c>
      <c r="L5" s="10"/>
    </row>
    <row r="6" spans="1:12" ht="17.25" x14ac:dyDescent="0.25">
      <c r="A6" s="64">
        <v>2</v>
      </c>
      <c r="B6" s="64" t="s">
        <v>51</v>
      </c>
      <c r="C6" s="63" t="s">
        <v>199</v>
      </c>
      <c r="D6" s="63" t="s">
        <v>252</v>
      </c>
      <c r="E6" s="64" t="s">
        <v>197</v>
      </c>
      <c r="F6" s="63" t="s">
        <v>198</v>
      </c>
      <c r="G6" s="59">
        <v>44061</v>
      </c>
      <c r="H6" s="111">
        <v>9088582.4399999995</v>
      </c>
      <c r="I6" s="124" t="s">
        <v>332</v>
      </c>
      <c r="J6" s="59">
        <v>44061</v>
      </c>
      <c r="K6" s="122" t="s">
        <v>217</v>
      </c>
    </row>
    <row r="7" spans="1:12" ht="17.25" x14ac:dyDescent="0.25">
      <c r="A7" s="64">
        <v>3</v>
      </c>
      <c r="B7" s="64" t="s">
        <v>12</v>
      </c>
      <c r="C7" s="63" t="s">
        <v>142</v>
      </c>
      <c r="D7" s="63" t="s">
        <v>252</v>
      </c>
      <c r="E7" s="64" t="s">
        <v>143</v>
      </c>
      <c r="F7" s="63" t="s">
        <v>194</v>
      </c>
      <c r="G7" s="59">
        <v>44529</v>
      </c>
      <c r="H7" s="111">
        <v>5391352.4400000004</v>
      </c>
      <c r="I7" s="124" t="s">
        <v>332</v>
      </c>
      <c r="J7" s="59">
        <v>44529</v>
      </c>
      <c r="K7" s="122" t="s">
        <v>217</v>
      </c>
    </row>
    <row r="8" spans="1:12" ht="17.25" x14ac:dyDescent="0.25">
      <c r="A8" s="64">
        <v>4</v>
      </c>
      <c r="B8" s="64" t="s">
        <v>20</v>
      </c>
      <c r="C8" s="94" t="s">
        <v>145</v>
      </c>
      <c r="D8" s="121" t="s">
        <v>252</v>
      </c>
      <c r="E8" s="66" t="s">
        <v>146</v>
      </c>
      <c r="F8" s="94" t="s">
        <v>144</v>
      </c>
      <c r="G8" s="119">
        <v>45989</v>
      </c>
      <c r="H8" s="111">
        <v>14572794.65</v>
      </c>
      <c r="I8" s="125" t="s">
        <v>331</v>
      </c>
      <c r="J8" s="119">
        <v>45973</v>
      </c>
      <c r="K8" s="122" t="s">
        <v>217</v>
      </c>
    </row>
    <row r="9" spans="1:12" ht="18" customHeight="1" x14ac:dyDescent="0.25">
      <c r="A9" s="64">
        <v>5</v>
      </c>
      <c r="B9" s="64" t="s">
        <v>20</v>
      </c>
      <c r="C9" s="63" t="s">
        <v>140</v>
      </c>
      <c r="D9" s="63" t="s">
        <v>252</v>
      </c>
      <c r="E9" s="64" t="s">
        <v>141</v>
      </c>
      <c r="F9" s="63" t="s">
        <v>139</v>
      </c>
      <c r="G9" s="59">
        <v>44295</v>
      </c>
      <c r="H9" s="111">
        <v>10097947.77</v>
      </c>
      <c r="I9" s="125" t="s">
        <v>332</v>
      </c>
      <c r="J9" s="59">
        <v>44295</v>
      </c>
      <c r="K9" s="122" t="s">
        <v>217</v>
      </c>
    </row>
    <row r="10" spans="1:12" ht="17.25" x14ac:dyDescent="0.25">
      <c r="A10" s="64">
        <v>6</v>
      </c>
      <c r="B10" s="37" t="s">
        <v>20</v>
      </c>
      <c r="C10" s="121" t="s">
        <v>150</v>
      </c>
      <c r="D10" s="121" t="s">
        <v>252</v>
      </c>
      <c r="E10" s="96" t="s">
        <v>141</v>
      </c>
      <c r="F10" s="121" t="s">
        <v>149</v>
      </c>
      <c r="G10" s="119" t="s">
        <v>205</v>
      </c>
      <c r="H10" s="153">
        <v>17568185.850000001</v>
      </c>
      <c r="I10" s="154" t="s">
        <v>331</v>
      </c>
      <c r="J10" s="119" t="s">
        <v>205</v>
      </c>
      <c r="K10" s="126" t="s">
        <v>256</v>
      </c>
    </row>
    <row r="11" spans="1:12" ht="17.25" x14ac:dyDescent="0.25">
      <c r="A11" s="64">
        <v>7</v>
      </c>
      <c r="B11" s="37" t="s">
        <v>51</v>
      </c>
      <c r="C11" s="121" t="s">
        <v>148</v>
      </c>
      <c r="D11" s="121" t="s">
        <v>252</v>
      </c>
      <c r="E11" s="96" t="s">
        <v>146</v>
      </c>
      <c r="F11" s="121" t="s">
        <v>147</v>
      </c>
      <c r="G11" s="119">
        <v>46128</v>
      </c>
      <c r="H11" s="153">
        <v>13466660.439999999</v>
      </c>
      <c r="I11" s="154" t="s">
        <v>331</v>
      </c>
      <c r="J11" s="119">
        <v>46139</v>
      </c>
      <c r="K11" s="122" t="s">
        <v>217</v>
      </c>
    </row>
    <row r="12" spans="1:12" ht="17.25" x14ac:dyDescent="0.25">
      <c r="A12" s="64">
        <v>8</v>
      </c>
      <c r="B12" s="37" t="s">
        <v>20</v>
      </c>
      <c r="C12" s="121" t="s">
        <v>142</v>
      </c>
      <c r="D12" s="121" t="s">
        <v>252</v>
      </c>
      <c r="E12" s="96" t="s">
        <v>143</v>
      </c>
      <c r="F12" s="121" t="s">
        <v>151</v>
      </c>
      <c r="G12" s="119" t="s">
        <v>205</v>
      </c>
      <c r="H12" s="153">
        <v>16367923.220000001</v>
      </c>
      <c r="I12" s="154" t="s">
        <v>331</v>
      </c>
      <c r="J12" s="119" t="s">
        <v>205</v>
      </c>
      <c r="K12" s="126" t="s">
        <v>256</v>
      </c>
    </row>
    <row r="14" spans="1:12" x14ac:dyDescent="0.25">
      <c r="H14" s="160">
        <f>SUM(H5:H12)</f>
        <v>90904746.650000006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B2:K38"/>
  <sheetViews>
    <sheetView topLeftCell="A22" zoomScale="91" zoomScaleNormal="91" workbookViewId="0">
      <selection activeCell="G47" sqref="G47"/>
    </sheetView>
  </sheetViews>
  <sheetFormatPr defaultRowHeight="15" x14ac:dyDescent="0.25"/>
  <cols>
    <col min="2" max="2" width="12.5703125" customWidth="1"/>
    <col min="3" max="3" width="26" style="5" customWidth="1"/>
    <col min="4" max="5" width="9.42578125" style="14" bestFit="1" customWidth="1"/>
    <col min="6" max="6" width="58.85546875" customWidth="1"/>
    <col min="7" max="7" width="13.85546875" style="14" bestFit="1" customWidth="1"/>
    <col min="8" max="8" width="20.140625" customWidth="1"/>
    <col min="9" max="9" width="14.28515625" customWidth="1"/>
    <col min="10" max="10" width="19.42578125" customWidth="1"/>
    <col min="11" max="11" width="19.7109375" customWidth="1"/>
  </cols>
  <sheetData>
    <row r="2" spans="2:11" ht="15.75" thickBot="1" x14ac:dyDescent="0.3"/>
    <row r="3" spans="2:11" ht="39" x14ac:dyDescent="0.25">
      <c r="B3" s="129" t="s">
        <v>7</v>
      </c>
      <c r="C3" s="129" t="s">
        <v>335</v>
      </c>
      <c r="D3" s="129" t="s">
        <v>249</v>
      </c>
      <c r="E3" s="129" t="s">
        <v>10</v>
      </c>
      <c r="F3" s="129" t="s">
        <v>8</v>
      </c>
      <c r="G3" s="131" t="s">
        <v>227</v>
      </c>
      <c r="H3" s="132" t="s">
        <v>233</v>
      </c>
      <c r="I3" s="132" t="s">
        <v>330</v>
      </c>
      <c r="J3" s="131" t="s">
        <v>333</v>
      </c>
      <c r="K3" s="129" t="s">
        <v>11</v>
      </c>
    </row>
    <row r="4" spans="2:11" ht="17.25" x14ac:dyDescent="0.25">
      <c r="B4" s="64" t="s">
        <v>12</v>
      </c>
      <c r="C4" s="63" t="s">
        <v>91</v>
      </c>
      <c r="D4" s="63" t="s">
        <v>253</v>
      </c>
      <c r="E4" s="64" t="s">
        <v>87</v>
      </c>
      <c r="F4" s="63" t="s">
        <v>93</v>
      </c>
      <c r="G4" s="59">
        <v>43180</v>
      </c>
      <c r="H4" s="111">
        <v>4858191.12</v>
      </c>
      <c r="I4" s="124" t="s">
        <v>332</v>
      </c>
      <c r="J4" s="59">
        <v>43180</v>
      </c>
      <c r="K4" s="123" t="s">
        <v>217</v>
      </c>
    </row>
    <row r="5" spans="2:11" ht="17.25" x14ac:dyDescent="0.25">
      <c r="B5" s="64" t="s">
        <v>12</v>
      </c>
      <c r="C5" s="63" t="s">
        <v>95</v>
      </c>
      <c r="D5" s="63" t="s">
        <v>253</v>
      </c>
      <c r="E5" s="64" t="s">
        <v>87</v>
      </c>
      <c r="F5" s="63" t="s">
        <v>94</v>
      </c>
      <c r="G5" s="59">
        <v>43676</v>
      </c>
      <c r="H5" s="111">
        <v>4207075.18</v>
      </c>
      <c r="I5" s="124" t="s">
        <v>332</v>
      </c>
      <c r="J5" s="59">
        <v>43676</v>
      </c>
      <c r="K5" s="122" t="s">
        <v>217</v>
      </c>
    </row>
    <row r="6" spans="2:11" ht="17.25" x14ac:dyDescent="0.25">
      <c r="B6" s="64" t="s">
        <v>12</v>
      </c>
      <c r="C6" s="63" t="s">
        <v>91</v>
      </c>
      <c r="D6" s="63" t="s">
        <v>253</v>
      </c>
      <c r="E6" s="64" t="s">
        <v>87</v>
      </c>
      <c r="F6" s="63" t="s">
        <v>90</v>
      </c>
      <c r="G6" s="59">
        <v>43822</v>
      </c>
      <c r="H6" s="111">
        <v>5585603.7999999998</v>
      </c>
      <c r="I6" s="124" t="s">
        <v>332</v>
      </c>
      <c r="J6" s="59">
        <v>43822</v>
      </c>
      <c r="K6" s="122" t="s">
        <v>217</v>
      </c>
    </row>
    <row r="7" spans="2:11" ht="17.25" x14ac:dyDescent="0.25">
      <c r="B7" s="64" t="s">
        <v>12</v>
      </c>
      <c r="C7" s="63" t="s">
        <v>97</v>
      </c>
      <c r="D7" s="63" t="s">
        <v>253</v>
      </c>
      <c r="E7" s="64" t="s">
        <v>87</v>
      </c>
      <c r="F7" s="63" t="s">
        <v>96</v>
      </c>
      <c r="G7" s="59">
        <v>43829</v>
      </c>
      <c r="H7" s="111">
        <v>4886773.37</v>
      </c>
      <c r="I7" s="124" t="s">
        <v>332</v>
      </c>
      <c r="J7" s="59">
        <v>43829</v>
      </c>
      <c r="K7" s="122" t="s">
        <v>217</v>
      </c>
    </row>
    <row r="8" spans="2:11" ht="17.25" x14ac:dyDescent="0.25">
      <c r="B8" s="37" t="s">
        <v>222</v>
      </c>
      <c r="C8" s="63" t="s">
        <v>86</v>
      </c>
      <c r="D8" s="63" t="s">
        <v>253</v>
      </c>
      <c r="E8" s="64" t="s">
        <v>87</v>
      </c>
      <c r="F8" s="63" t="s">
        <v>85</v>
      </c>
      <c r="G8" s="59">
        <v>43851</v>
      </c>
      <c r="H8" s="111">
        <v>2335182.9</v>
      </c>
      <c r="I8" s="124" t="s">
        <v>332</v>
      </c>
      <c r="J8" s="59">
        <v>43851</v>
      </c>
      <c r="K8" s="122" t="s">
        <v>217</v>
      </c>
    </row>
    <row r="9" spans="2:11" ht="17.25" x14ac:dyDescent="0.25">
      <c r="B9" s="64" t="s">
        <v>51</v>
      </c>
      <c r="C9" s="63" t="s">
        <v>105</v>
      </c>
      <c r="D9" s="63" t="s">
        <v>253</v>
      </c>
      <c r="E9" s="64" t="s">
        <v>87</v>
      </c>
      <c r="F9" s="63" t="s">
        <v>104</v>
      </c>
      <c r="G9" s="59">
        <v>43998</v>
      </c>
      <c r="H9" s="111">
        <v>8413790.1899999995</v>
      </c>
      <c r="I9" s="124" t="s">
        <v>332</v>
      </c>
      <c r="J9" s="59">
        <v>43998</v>
      </c>
      <c r="K9" s="122" t="s">
        <v>217</v>
      </c>
    </row>
    <row r="10" spans="2:11" ht="17.25" x14ac:dyDescent="0.25">
      <c r="B10" s="64" t="s">
        <v>12</v>
      </c>
      <c r="C10" s="63" t="s">
        <v>99</v>
      </c>
      <c r="D10" s="63" t="s">
        <v>253</v>
      </c>
      <c r="E10" s="64" t="s">
        <v>87</v>
      </c>
      <c r="F10" s="63" t="s">
        <v>98</v>
      </c>
      <c r="G10" s="59">
        <v>44168</v>
      </c>
      <c r="H10" s="111">
        <v>5813244.2400000002</v>
      </c>
      <c r="I10" s="124" t="s">
        <v>332</v>
      </c>
      <c r="J10" s="59">
        <v>44168</v>
      </c>
      <c r="K10" s="122" t="s">
        <v>217</v>
      </c>
    </row>
    <row r="11" spans="2:11" ht="17.25" x14ac:dyDescent="0.25">
      <c r="B11" s="37" t="s">
        <v>223</v>
      </c>
      <c r="C11" s="63" t="s">
        <v>89</v>
      </c>
      <c r="D11" s="63" t="s">
        <v>253</v>
      </c>
      <c r="E11" s="64" t="s">
        <v>87</v>
      </c>
      <c r="F11" s="63" t="s">
        <v>88</v>
      </c>
      <c r="G11" s="59">
        <v>44183</v>
      </c>
      <c r="H11" s="111">
        <v>2932746.87</v>
      </c>
      <c r="I11" s="124" t="s">
        <v>332</v>
      </c>
      <c r="J11" s="59">
        <v>44183</v>
      </c>
      <c r="K11" s="122" t="s">
        <v>217</v>
      </c>
    </row>
    <row r="12" spans="2:11" ht="17.25" x14ac:dyDescent="0.25">
      <c r="B12" s="37" t="s">
        <v>223</v>
      </c>
      <c r="C12" s="63" t="s">
        <v>82</v>
      </c>
      <c r="D12" s="63" t="s">
        <v>253</v>
      </c>
      <c r="E12" s="64" t="s">
        <v>83</v>
      </c>
      <c r="F12" s="63" t="s">
        <v>81</v>
      </c>
      <c r="G12" s="59">
        <v>44244</v>
      </c>
      <c r="H12" s="111">
        <v>2386724.8199999998</v>
      </c>
      <c r="I12" s="124" t="s">
        <v>332</v>
      </c>
      <c r="J12" s="59">
        <v>44244</v>
      </c>
      <c r="K12" s="122" t="s">
        <v>217</v>
      </c>
    </row>
    <row r="13" spans="2:11" ht="17.25" x14ac:dyDescent="0.25">
      <c r="B13" s="37" t="s">
        <v>223</v>
      </c>
      <c r="C13" s="63" t="s">
        <v>91</v>
      </c>
      <c r="D13" s="63" t="s">
        <v>253</v>
      </c>
      <c r="E13" s="64" t="s">
        <v>87</v>
      </c>
      <c r="F13" s="63" t="s">
        <v>90</v>
      </c>
      <c r="G13" s="59">
        <v>44321</v>
      </c>
      <c r="H13" s="111">
        <v>2970478.12</v>
      </c>
      <c r="I13" s="124" t="s">
        <v>332</v>
      </c>
      <c r="J13" s="59">
        <v>44321</v>
      </c>
      <c r="K13" s="122" t="s">
        <v>217</v>
      </c>
    </row>
    <row r="14" spans="2:11" ht="17.25" x14ac:dyDescent="0.25">
      <c r="B14" s="37" t="s">
        <v>222</v>
      </c>
      <c r="C14" s="63" t="s">
        <v>203</v>
      </c>
      <c r="D14" s="63" t="s">
        <v>253</v>
      </c>
      <c r="E14" s="64" t="s">
        <v>87</v>
      </c>
      <c r="F14" s="63" t="s">
        <v>92</v>
      </c>
      <c r="G14" s="59">
        <v>44357</v>
      </c>
      <c r="H14" s="111">
        <v>3628332.77</v>
      </c>
      <c r="I14" s="124" t="s">
        <v>332</v>
      </c>
      <c r="J14" s="59">
        <v>44357</v>
      </c>
      <c r="K14" s="122" t="s">
        <v>217</v>
      </c>
    </row>
    <row r="15" spans="2:11" ht="17.25" x14ac:dyDescent="0.25">
      <c r="B15" s="64" t="s">
        <v>51</v>
      </c>
      <c r="C15" s="63" t="s">
        <v>97</v>
      </c>
      <c r="D15" s="63" t="s">
        <v>253</v>
      </c>
      <c r="E15" s="64" t="s">
        <v>87</v>
      </c>
      <c r="F15" s="63" t="s">
        <v>106</v>
      </c>
      <c r="G15" s="59">
        <v>44433</v>
      </c>
      <c r="H15" s="111">
        <v>9802634.5500000007</v>
      </c>
      <c r="I15" s="124" t="s">
        <v>332</v>
      </c>
      <c r="J15" s="59">
        <v>44433</v>
      </c>
      <c r="K15" s="122" t="s">
        <v>217</v>
      </c>
    </row>
    <row r="16" spans="2:11" ht="17.25" x14ac:dyDescent="0.25">
      <c r="B16" s="64" t="s">
        <v>51</v>
      </c>
      <c r="C16" s="63" t="s">
        <v>108</v>
      </c>
      <c r="D16" s="63" t="s">
        <v>253</v>
      </c>
      <c r="E16" s="64" t="s">
        <v>87</v>
      </c>
      <c r="F16" s="63" t="s">
        <v>107</v>
      </c>
      <c r="G16" s="59">
        <v>44487</v>
      </c>
      <c r="H16" s="111">
        <v>9232116.2599999998</v>
      </c>
      <c r="I16" s="124" t="s">
        <v>332</v>
      </c>
      <c r="J16" s="59">
        <v>44487</v>
      </c>
      <c r="K16" s="122" t="s">
        <v>217</v>
      </c>
    </row>
    <row r="17" spans="2:11" ht="17.25" x14ac:dyDescent="0.25">
      <c r="B17" s="64" t="s">
        <v>51</v>
      </c>
      <c r="C17" s="63" t="s">
        <v>110</v>
      </c>
      <c r="D17" s="63" t="s">
        <v>253</v>
      </c>
      <c r="E17" s="64" t="s">
        <v>87</v>
      </c>
      <c r="F17" s="63" t="s">
        <v>109</v>
      </c>
      <c r="G17" s="59">
        <v>44509</v>
      </c>
      <c r="H17" s="111">
        <v>9290160.3300000001</v>
      </c>
      <c r="I17" s="124" t="s">
        <v>332</v>
      </c>
      <c r="J17" s="59">
        <v>44509</v>
      </c>
      <c r="K17" s="122" t="s">
        <v>217</v>
      </c>
    </row>
    <row r="18" spans="2:11" ht="17.25" x14ac:dyDescent="0.25">
      <c r="B18" s="37" t="s">
        <v>222</v>
      </c>
      <c r="C18" s="63" t="s">
        <v>77</v>
      </c>
      <c r="D18" s="63" t="s">
        <v>253</v>
      </c>
      <c r="E18" s="64" t="s">
        <v>78</v>
      </c>
      <c r="F18" s="63" t="s">
        <v>76</v>
      </c>
      <c r="G18" s="59">
        <v>44582</v>
      </c>
      <c r="H18" s="111">
        <v>2961331.15</v>
      </c>
      <c r="I18" s="124" t="s">
        <v>332</v>
      </c>
      <c r="J18" s="59">
        <v>44582</v>
      </c>
      <c r="K18" s="122" t="s">
        <v>217</v>
      </c>
    </row>
    <row r="19" spans="2:11" ht="17.25" x14ac:dyDescent="0.25">
      <c r="B19" s="64" t="s">
        <v>51</v>
      </c>
      <c r="C19" s="63" t="s">
        <v>112</v>
      </c>
      <c r="D19" s="63" t="s">
        <v>253</v>
      </c>
      <c r="E19" s="64" t="s">
        <v>87</v>
      </c>
      <c r="F19" s="63" t="s">
        <v>111</v>
      </c>
      <c r="G19" s="59">
        <v>44635</v>
      </c>
      <c r="H19" s="111">
        <v>8460279.0500000007</v>
      </c>
      <c r="I19" s="124" t="s">
        <v>332</v>
      </c>
      <c r="J19" s="59">
        <v>44635</v>
      </c>
      <c r="K19" s="122" t="s">
        <v>217</v>
      </c>
    </row>
    <row r="20" spans="2:11" ht="17.25" x14ac:dyDescent="0.25">
      <c r="B20" s="64" t="s">
        <v>51</v>
      </c>
      <c r="C20" s="63" t="s">
        <v>101</v>
      </c>
      <c r="D20" s="63" t="s">
        <v>253</v>
      </c>
      <c r="E20" s="64" t="s">
        <v>83</v>
      </c>
      <c r="F20" s="63" t="s">
        <v>100</v>
      </c>
      <c r="G20" s="59">
        <v>44887</v>
      </c>
      <c r="H20" s="111">
        <v>11124089.93</v>
      </c>
      <c r="I20" s="124" t="s">
        <v>332</v>
      </c>
      <c r="J20" s="59">
        <v>44887</v>
      </c>
      <c r="K20" s="122" t="s">
        <v>217</v>
      </c>
    </row>
    <row r="21" spans="2:11" ht="17.25" x14ac:dyDescent="0.25">
      <c r="B21" s="37" t="s">
        <v>223</v>
      </c>
      <c r="C21" s="63" t="s">
        <v>82</v>
      </c>
      <c r="D21" s="63" t="s">
        <v>253</v>
      </c>
      <c r="E21" s="64" t="s">
        <v>83</v>
      </c>
      <c r="F21" s="63" t="s">
        <v>84</v>
      </c>
      <c r="G21" s="59">
        <v>44931</v>
      </c>
      <c r="H21" s="111">
        <v>3186575.26</v>
      </c>
      <c r="I21" s="125" t="s">
        <v>331</v>
      </c>
      <c r="J21" s="59">
        <v>44931</v>
      </c>
      <c r="K21" s="122" t="s">
        <v>217</v>
      </c>
    </row>
    <row r="22" spans="2:11" ht="17.25" x14ac:dyDescent="0.25">
      <c r="B22" s="37" t="s">
        <v>223</v>
      </c>
      <c r="C22" s="63" t="s">
        <v>80</v>
      </c>
      <c r="D22" s="63" t="s">
        <v>253</v>
      </c>
      <c r="E22" s="64" t="s">
        <v>78</v>
      </c>
      <c r="F22" s="63" t="s">
        <v>79</v>
      </c>
      <c r="G22" s="59">
        <v>45022</v>
      </c>
      <c r="H22" s="111">
        <v>3011067.39</v>
      </c>
      <c r="I22" s="125" t="s">
        <v>331</v>
      </c>
      <c r="J22" s="59">
        <v>45022</v>
      </c>
      <c r="K22" s="122" t="s">
        <v>217</v>
      </c>
    </row>
    <row r="23" spans="2:11" ht="17.25" x14ac:dyDescent="0.25">
      <c r="B23" s="37" t="s">
        <v>51</v>
      </c>
      <c r="C23" s="94" t="s">
        <v>103</v>
      </c>
      <c r="D23" s="121" t="s">
        <v>253</v>
      </c>
      <c r="E23" s="66" t="s">
        <v>87</v>
      </c>
      <c r="F23" s="94" t="s">
        <v>102</v>
      </c>
      <c r="G23" s="59">
        <v>45391</v>
      </c>
      <c r="H23" s="111">
        <v>9858742.0199999996</v>
      </c>
      <c r="I23" s="125" t="s">
        <v>331</v>
      </c>
      <c r="J23" s="59">
        <v>45524</v>
      </c>
      <c r="K23" s="122" t="s">
        <v>217</v>
      </c>
    </row>
    <row r="24" spans="2:11" ht="17.25" x14ac:dyDescent="0.25">
      <c r="B24" s="64" t="s">
        <v>51</v>
      </c>
      <c r="C24" s="94" t="s">
        <v>116</v>
      </c>
      <c r="D24" s="121" t="s">
        <v>253</v>
      </c>
      <c r="E24" s="66" t="s">
        <v>87</v>
      </c>
      <c r="F24" s="94" t="s">
        <v>138</v>
      </c>
      <c r="G24" s="59">
        <v>45660</v>
      </c>
      <c r="H24" s="111">
        <v>12552772.02</v>
      </c>
      <c r="I24" s="125" t="s">
        <v>331</v>
      </c>
      <c r="J24" s="59">
        <v>45702</v>
      </c>
      <c r="K24" s="122" t="s">
        <v>217</v>
      </c>
    </row>
    <row r="25" spans="2:11" ht="17.25" x14ac:dyDescent="0.25">
      <c r="B25" s="37" t="s">
        <v>51</v>
      </c>
      <c r="C25" s="94" t="s">
        <v>82</v>
      </c>
      <c r="D25" s="121" t="s">
        <v>253</v>
      </c>
      <c r="E25" s="66" t="s">
        <v>83</v>
      </c>
      <c r="F25" s="94" t="s">
        <v>137</v>
      </c>
      <c r="G25" s="59">
        <v>45603</v>
      </c>
      <c r="H25" s="111">
        <v>13452963.640000001</v>
      </c>
      <c r="I25" s="125" t="s">
        <v>331</v>
      </c>
      <c r="J25" s="59">
        <v>45807</v>
      </c>
      <c r="K25" s="122" t="s">
        <v>217</v>
      </c>
    </row>
    <row r="26" spans="2:11" ht="17.25" x14ac:dyDescent="0.25">
      <c r="B26" s="64" t="s">
        <v>51</v>
      </c>
      <c r="C26" s="94" t="s">
        <v>114</v>
      </c>
      <c r="D26" s="121" t="s">
        <v>253</v>
      </c>
      <c r="E26" s="66" t="s">
        <v>87</v>
      </c>
      <c r="F26" s="94" t="s">
        <v>113</v>
      </c>
      <c r="G26" s="59">
        <v>45710</v>
      </c>
      <c r="H26" s="111">
        <v>10953431.51</v>
      </c>
      <c r="I26" s="125" t="s">
        <v>331</v>
      </c>
      <c r="J26" s="59">
        <v>45807</v>
      </c>
      <c r="K26" s="122" t="s">
        <v>217</v>
      </c>
    </row>
    <row r="27" spans="2:11" ht="17.25" x14ac:dyDescent="0.25">
      <c r="B27" s="64" t="s">
        <v>12</v>
      </c>
      <c r="C27" s="94" t="s">
        <v>91</v>
      </c>
      <c r="D27" s="121" t="s">
        <v>253</v>
      </c>
      <c r="E27" s="66" t="s">
        <v>87</v>
      </c>
      <c r="F27" s="94" t="s">
        <v>136</v>
      </c>
      <c r="G27" s="119">
        <v>45679</v>
      </c>
      <c r="H27" s="111">
        <v>6860449.4900000002</v>
      </c>
      <c r="I27" s="125" t="s">
        <v>331</v>
      </c>
      <c r="J27" s="119">
        <v>45807</v>
      </c>
      <c r="K27" s="122" t="s">
        <v>217</v>
      </c>
    </row>
    <row r="28" spans="2:11" ht="17.25" x14ac:dyDescent="0.25">
      <c r="B28" s="64" t="s">
        <v>51</v>
      </c>
      <c r="C28" s="94" t="s">
        <v>133</v>
      </c>
      <c r="D28" s="121" t="s">
        <v>253</v>
      </c>
      <c r="E28" s="66" t="s">
        <v>87</v>
      </c>
      <c r="F28" s="94" t="s">
        <v>132</v>
      </c>
      <c r="G28" s="59">
        <v>45832</v>
      </c>
      <c r="H28" s="111">
        <v>14855359.800000001</v>
      </c>
      <c r="I28" s="125" t="s">
        <v>331</v>
      </c>
      <c r="J28" s="59">
        <v>45856</v>
      </c>
      <c r="K28" s="122" t="s">
        <v>217</v>
      </c>
    </row>
    <row r="29" spans="2:11" ht="17.25" x14ac:dyDescent="0.25">
      <c r="B29" s="64" t="s">
        <v>51</v>
      </c>
      <c r="C29" s="94" t="s">
        <v>129</v>
      </c>
      <c r="D29" s="121" t="s">
        <v>253</v>
      </c>
      <c r="E29" s="66" t="s">
        <v>87</v>
      </c>
      <c r="F29" s="94" t="s">
        <v>128</v>
      </c>
      <c r="G29" s="59">
        <v>45912</v>
      </c>
      <c r="H29" s="111">
        <v>13164640.26</v>
      </c>
      <c r="I29" s="125" t="s">
        <v>331</v>
      </c>
      <c r="J29" s="59">
        <v>45954</v>
      </c>
      <c r="K29" s="122" t="s">
        <v>217</v>
      </c>
    </row>
    <row r="30" spans="2:11" ht="17.25" x14ac:dyDescent="0.25">
      <c r="B30" s="64" t="s">
        <v>51</v>
      </c>
      <c r="C30" s="94" t="s">
        <v>118</v>
      </c>
      <c r="D30" s="121" t="s">
        <v>253</v>
      </c>
      <c r="E30" s="66" t="s">
        <v>119</v>
      </c>
      <c r="F30" s="94" t="s">
        <v>117</v>
      </c>
      <c r="G30" s="119">
        <v>45995</v>
      </c>
      <c r="H30" s="111">
        <v>15971337.460000001</v>
      </c>
      <c r="I30" s="125" t="s">
        <v>331</v>
      </c>
      <c r="J30" s="119">
        <v>45973</v>
      </c>
      <c r="K30" s="122" t="s">
        <v>217</v>
      </c>
    </row>
    <row r="31" spans="2:11" ht="17.25" x14ac:dyDescent="0.25">
      <c r="B31" s="64" t="s">
        <v>51</v>
      </c>
      <c r="C31" s="94" t="s">
        <v>123</v>
      </c>
      <c r="D31" s="121" t="s">
        <v>253</v>
      </c>
      <c r="E31" s="66" t="s">
        <v>78</v>
      </c>
      <c r="F31" s="94" t="s">
        <v>122</v>
      </c>
      <c r="G31" s="59">
        <v>45874</v>
      </c>
      <c r="H31" s="111">
        <v>13911547.26</v>
      </c>
      <c r="I31" s="125" t="s">
        <v>331</v>
      </c>
      <c r="J31" s="59">
        <v>45973</v>
      </c>
      <c r="K31" s="122" t="s">
        <v>217</v>
      </c>
    </row>
    <row r="32" spans="2:11" ht="17.25" x14ac:dyDescent="0.25">
      <c r="B32" s="64" t="s">
        <v>12</v>
      </c>
      <c r="C32" s="94" t="s">
        <v>116</v>
      </c>
      <c r="D32" s="121" t="s">
        <v>253</v>
      </c>
      <c r="E32" s="66" t="s">
        <v>87</v>
      </c>
      <c r="F32" s="94" t="s">
        <v>115</v>
      </c>
      <c r="G32" s="119">
        <v>45854</v>
      </c>
      <c r="H32" s="111">
        <v>7804079.8099999996</v>
      </c>
      <c r="I32" s="125" t="s">
        <v>331</v>
      </c>
      <c r="J32" s="119">
        <v>45973</v>
      </c>
      <c r="K32" s="122" t="s">
        <v>217</v>
      </c>
    </row>
    <row r="33" spans="2:11" ht="17.25" x14ac:dyDescent="0.25">
      <c r="B33" s="64" t="s">
        <v>51</v>
      </c>
      <c r="C33" s="94" t="s">
        <v>121</v>
      </c>
      <c r="D33" s="121" t="s">
        <v>253</v>
      </c>
      <c r="E33" s="66" t="s">
        <v>119</v>
      </c>
      <c r="F33" s="94" t="s">
        <v>120</v>
      </c>
      <c r="G33" s="119">
        <v>45995</v>
      </c>
      <c r="H33" s="111">
        <v>15294041.5</v>
      </c>
      <c r="I33" s="125" t="s">
        <v>331</v>
      </c>
      <c r="J33" s="119">
        <v>46087</v>
      </c>
      <c r="K33" s="122" t="s">
        <v>217</v>
      </c>
    </row>
    <row r="34" spans="2:11" ht="17.25" x14ac:dyDescent="0.25">
      <c r="B34" s="37" t="s">
        <v>51</v>
      </c>
      <c r="C34" s="121" t="s">
        <v>125</v>
      </c>
      <c r="D34" s="121" t="s">
        <v>253</v>
      </c>
      <c r="E34" s="96" t="s">
        <v>83</v>
      </c>
      <c r="F34" s="121" t="s">
        <v>124</v>
      </c>
      <c r="G34" s="119">
        <v>45903</v>
      </c>
      <c r="H34" s="153">
        <v>14471453.640000001</v>
      </c>
      <c r="I34" s="154" t="s">
        <v>331</v>
      </c>
      <c r="J34" s="119">
        <v>46139</v>
      </c>
      <c r="K34" s="122" t="s">
        <v>217</v>
      </c>
    </row>
    <row r="35" spans="2:11" ht="17.25" x14ac:dyDescent="0.25">
      <c r="B35" s="37" t="s">
        <v>51</v>
      </c>
      <c r="C35" s="121" t="s">
        <v>131</v>
      </c>
      <c r="D35" s="121" t="s">
        <v>253</v>
      </c>
      <c r="E35" s="96" t="s">
        <v>87</v>
      </c>
      <c r="F35" s="121" t="s">
        <v>130</v>
      </c>
      <c r="G35" s="119">
        <v>46027</v>
      </c>
      <c r="H35" s="153">
        <v>13442010.6</v>
      </c>
      <c r="I35" s="154" t="s">
        <v>331</v>
      </c>
      <c r="J35" s="119">
        <v>46139</v>
      </c>
      <c r="K35" s="122" t="s">
        <v>217</v>
      </c>
    </row>
    <row r="36" spans="2:11" ht="17.25" x14ac:dyDescent="0.25">
      <c r="B36" s="37" t="s">
        <v>51</v>
      </c>
      <c r="C36" s="121" t="s">
        <v>127</v>
      </c>
      <c r="D36" s="121" t="s">
        <v>253</v>
      </c>
      <c r="E36" s="96" t="s">
        <v>83</v>
      </c>
      <c r="F36" s="121" t="s">
        <v>126</v>
      </c>
      <c r="G36" s="119" t="s">
        <v>205</v>
      </c>
      <c r="H36" s="153">
        <v>15751807.310000001</v>
      </c>
      <c r="I36" s="154" t="s">
        <v>331</v>
      </c>
      <c r="J36" s="119" t="s">
        <v>205</v>
      </c>
      <c r="K36" s="126" t="s">
        <v>256</v>
      </c>
    </row>
    <row r="37" spans="2:11" ht="17.25" x14ac:dyDescent="0.25">
      <c r="B37" s="37" t="s">
        <v>222</v>
      </c>
      <c r="C37" s="121" t="s">
        <v>82</v>
      </c>
      <c r="D37" s="121" t="s">
        <v>253</v>
      </c>
      <c r="E37" s="96" t="s">
        <v>83</v>
      </c>
      <c r="F37" s="121" t="s">
        <v>204</v>
      </c>
      <c r="G37" s="119" t="s">
        <v>205</v>
      </c>
      <c r="H37" s="153">
        <v>3447641.8</v>
      </c>
      <c r="I37" s="154" t="s">
        <v>331</v>
      </c>
      <c r="J37" s="119" t="s">
        <v>205</v>
      </c>
      <c r="K37" s="126" t="s">
        <v>256</v>
      </c>
    </row>
    <row r="38" spans="2:11" ht="18" thickBot="1" x14ac:dyDescent="0.3">
      <c r="B38" s="137" t="s">
        <v>51</v>
      </c>
      <c r="C38" s="138" t="s">
        <v>135</v>
      </c>
      <c r="D38" s="138" t="s">
        <v>253</v>
      </c>
      <c r="E38" s="139" t="s">
        <v>87</v>
      </c>
      <c r="F38" s="138" t="s">
        <v>134</v>
      </c>
      <c r="G38" s="141" t="s">
        <v>205</v>
      </c>
      <c r="H38" s="157">
        <v>14285288.689999999</v>
      </c>
      <c r="I38" s="158" t="s">
        <v>331</v>
      </c>
      <c r="J38" s="141" t="s">
        <v>205</v>
      </c>
      <c r="K38" s="142" t="s">
        <v>256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6:K29"/>
  <sheetViews>
    <sheetView workbookViewId="0">
      <selection activeCell="B30" sqref="B30"/>
    </sheetView>
  </sheetViews>
  <sheetFormatPr defaultRowHeight="15" x14ac:dyDescent="0.25"/>
  <cols>
    <col min="2" max="2" width="14.140625" customWidth="1"/>
    <col min="3" max="3" width="25.28515625" customWidth="1"/>
    <col min="4" max="4" width="9.28515625" bestFit="1" customWidth="1"/>
    <col min="5" max="5" width="9.42578125" bestFit="1" customWidth="1"/>
    <col min="6" max="6" width="57" customWidth="1"/>
    <col min="7" max="7" width="28.5703125" bestFit="1" customWidth="1"/>
    <col min="8" max="8" width="21" customWidth="1"/>
    <col min="9" max="9" width="43.28515625" bestFit="1" customWidth="1"/>
    <col min="10" max="10" width="16.7109375" customWidth="1"/>
    <col min="11" max="11" width="19.5703125" customWidth="1"/>
  </cols>
  <sheetData>
    <row r="6" spans="1:11" ht="15.75" thickBot="1" x14ac:dyDescent="0.3"/>
    <row r="7" spans="1:11" ht="39" x14ac:dyDescent="0.25">
      <c r="A7" s="129" t="s">
        <v>6</v>
      </c>
      <c r="B7" s="129" t="s">
        <v>7</v>
      </c>
      <c r="C7" s="129" t="s">
        <v>335</v>
      </c>
      <c r="D7" s="129" t="s">
        <v>249</v>
      </c>
      <c r="E7" s="129" t="s">
        <v>10</v>
      </c>
      <c r="F7" s="129" t="s">
        <v>8</v>
      </c>
      <c r="G7" s="131" t="s">
        <v>227</v>
      </c>
      <c r="H7" s="132" t="s">
        <v>233</v>
      </c>
      <c r="I7" s="132" t="s">
        <v>330</v>
      </c>
      <c r="J7" s="131" t="s">
        <v>333</v>
      </c>
      <c r="K7" s="129" t="s">
        <v>11</v>
      </c>
    </row>
    <row r="8" spans="1:11" ht="17.25" x14ac:dyDescent="0.25">
      <c r="A8" s="37">
        <v>1</v>
      </c>
      <c r="B8" s="37" t="s">
        <v>12</v>
      </c>
      <c r="C8" s="63" t="s">
        <v>163</v>
      </c>
      <c r="D8" s="63" t="s">
        <v>251</v>
      </c>
      <c r="E8" s="64" t="s">
        <v>161</v>
      </c>
      <c r="F8" s="63" t="s">
        <v>162</v>
      </c>
      <c r="G8" s="59">
        <v>42859</v>
      </c>
      <c r="H8" s="111">
        <v>4485509.32</v>
      </c>
      <c r="I8" s="124" t="s">
        <v>332</v>
      </c>
      <c r="J8" s="59">
        <v>42859</v>
      </c>
      <c r="K8" s="122" t="s">
        <v>217</v>
      </c>
    </row>
    <row r="9" spans="1:11" ht="19.5" customHeight="1" x14ac:dyDescent="0.25">
      <c r="A9" s="37">
        <v>2</v>
      </c>
      <c r="B9" s="37" t="s">
        <v>12</v>
      </c>
      <c r="C9" s="63" t="s">
        <v>165</v>
      </c>
      <c r="D9" s="63" t="s">
        <v>251</v>
      </c>
      <c r="E9" s="64" t="s">
        <v>157</v>
      </c>
      <c r="F9" s="63" t="s">
        <v>164</v>
      </c>
      <c r="G9" s="59">
        <v>43584</v>
      </c>
      <c r="H9" s="111">
        <v>4480842.78</v>
      </c>
      <c r="I9" s="124" t="s">
        <v>332</v>
      </c>
      <c r="J9" s="59">
        <v>43584</v>
      </c>
      <c r="K9" s="122" t="s">
        <v>217</v>
      </c>
    </row>
    <row r="10" spans="1:11" ht="17.25" x14ac:dyDescent="0.25">
      <c r="A10" s="37">
        <v>3</v>
      </c>
      <c r="B10" s="37" t="s">
        <v>12</v>
      </c>
      <c r="C10" s="63" t="s">
        <v>169</v>
      </c>
      <c r="D10" s="63" t="s">
        <v>251</v>
      </c>
      <c r="E10" s="64" t="s">
        <v>154</v>
      </c>
      <c r="F10" s="63" t="s">
        <v>168</v>
      </c>
      <c r="G10" s="59">
        <v>43602</v>
      </c>
      <c r="H10" s="111">
        <v>4766471.13</v>
      </c>
      <c r="I10" s="124" t="s">
        <v>332</v>
      </c>
      <c r="J10" s="59">
        <v>43602</v>
      </c>
      <c r="K10" s="122" t="s">
        <v>217</v>
      </c>
    </row>
    <row r="11" spans="1:11" ht="17.25" x14ac:dyDescent="0.25">
      <c r="A11" s="37">
        <v>4</v>
      </c>
      <c r="B11" s="37" t="s">
        <v>12</v>
      </c>
      <c r="C11" s="63" t="s">
        <v>171</v>
      </c>
      <c r="D11" s="63" t="s">
        <v>251</v>
      </c>
      <c r="E11" s="64" t="s">
        <v>161</v>
      </c>
      <c r="F11" s="63" t="s">
        <v>170</v>
      </c>
      <c r="G11" s="59">
        <v>43676</v>
      </c>
      <c r="H11" s="111">
        <v>5115935.2300000004</v>
      </c>
      <c r="I11" s="124" t="s">
        <v>332</v>
      </c>
      <c r="J11" s="59">
        <v>43676</v>
      </c>
      <c r="K11" s="122" t="s">
        <v>217</v>
      </c>
    </row>
    <row r="12" spans="1:11" ht="17.25" x14ac:dyDescent="0.25">
      <c r="A12" s="37">
        <v>5</v>
      </c>
      <c r="B12" s="37" t="s">
        <v>12</v>
      </c>
      <c r="C12" s="63" t="s">
        <v>173</v>
      </c>
      <c r="D12" s="63" t="s">
        <v>251</v>
      </c>
      <c r="E12" s="64" t="s">
        <v>161</v>
      </c>
      <c r="F12" s="63" t="s">
        <v>172</v>
      </c>
      <c r="G12" s="59">
        <v>43819</v>
      </c>
      <c r="H12" s="111">
        <v>5030554.58</v>
      </c>
      <c r="I12" s="124" t="s">
        <v>332</v>
      </c>
      <c r="J12" s="59">
        <v>43819</v>
      </c>
      <c r="K12" s="122" t="s">
        <v>217</v>
      </c>
    </row>
    <row r="13" spans="1:11" ht="17.25" x14ac:dyDescent="0.25">
      <c r="A13" s="37">
        <v>6</v>
      </c>
      <c r="B13" s="37" t="s">
        <v>12</v>
      </c>
      <c r="C13" s="63" t="s">
        <v>167</v>
      </c>
      <c r="D13" s="63" t="s">
        <v>251</v>
      </c>
      <c r="E13" s="64" t="s">
        <v>157</v>
      </c>
      <c r="F13" s="63" t="s">
        <v>166</v>
      </c>
      <c r="G13" s="59">
        <v>43969</v>
      </c>
      <c r="H13" s="111">
        <v>5143058.12</v>
      </c>
      <c r="I13" s="124" t="s">
        <v>332</v>
      </c>
      <c r="J13" s="59">
        <v>43969</v>
      </c>
      <c r="K13" s="122" t="s">
        <v>217</v>
      </c>
    </row>
    <row r="14" spans="1:11" ht="17.25" x14ac:dyDescent="0.25">
      <c r="A14" s="37">
        <v>7</v>
      </c>
      <c r="B14" s="37" t="s">
        <v>12</v>
      </c>
      <c r="C14" s="63" t="s">
        <v>175</v>
      </c>
      <c r="D14" s="63" t="s">
        <v>251</v>
      </c>
      <c r="E14" s="64" t="s">
        <v>157</v>
      </c>
      <c r="F14" s="63" t="s">
        <v>174</v>
      </c>
      <c r="G14" s="59">
        <v>44026</v>
      </c>
      <c r="H14" s="111">
        <v>5028299.7</v>
      </c>
      <c r="I14" s="124" t="s">
        <v>332</v>
      </c>
      <c r="J14" s="59">
        <v>44026</v>
      </c>
      <c r="K14" s="122" t="s">
        <v>217</v>
      </c>
    </row>
    <row r="15" spans="1:11" ht="17.25" x14ac:dyDescent="0.25">
      <c r="A15" s="37">
        <v>8</v>
      </c>
      <c r="B15" s="37" t="s">
        <v>51</v>
      </c>
      <c r="C15" s="63" t="s">
        <v>180</v>
      </c>
      <c r="D15" s="63" t="s">
        <v>251</v>
      </c>
      <c r="E15" s="64" t="s">
        <v>154</v>
      </c>
      <c r="F15" s="63" t="s">
        <v>179</v>
      </c>
      <c r="G15" s="59">
        <v>44134</v>
      </c>
      <c r="H15" s="111">
        <v>7360299.2300000004</v>
      </c>
      <c r="I15" s="124" t="s">
        <v>332</v>
      </c>
      <c r="J15" s="59">
        <v>44134</v>
      </c>
      <c r="K15" s="122" t="s">
        <v>217</v>
      </c>
    </row>
    <row r="16" spans="1:11" ht="17.25" x14ac:dyDescent="0.25">
      <c r="A16" s="37">
        <v>9</v>
      </c>
      <c r="B16" s="37" t="s">
        <v>12</v>
      </c>
      <c r="C16" s="63" t="s">
        <v>165</v>
      </c>
      <c r="D16" s="63" t="s">
        <v>251</v>
      </c>
      <c r="E16" s="64" t="s">
        <v>157</v>
      </c>
      <c r="F16" s="63" t="s">
        <v>176</v>
      </c>
      <c r="G16" s="59">
        <v>44174</v>
      </c>
      <c r="H16" s="111">
        <v>5091502.49</v>
      </c>
      <c r="I16" s="124" t="s">
        <v>332</v>
      </c>
      <c r="J16" s="59">
        <v>44174</v>
      </c>
      <c r="K16" s="122" t="s">
        <v>217</v>
      </c>
    </row>
    <row r="17" spans="1:11" ht="17.25" x14ac:dyDescent="0.25">
      <c r="A17" s="37">
        <v>10</v>
      </c>
      <c r="B17" s="37" t="s">
        <v>222</v>
      </c>
      <c r="C17" s="63" t="s">
        <v>153</v>
      </c>
      <c r="D17" s="63" t="s">
        <v>251</v>
      </c>
      <c r="E17" s="64" t="s">
        <v>154</v>
      </c>
      <c r="F17" s="63" t="s">
        <v>152</v>
      </c>
      <c r="G17" s="59">
        <v>44256</v>
      </c>
      <c r="H17" s="111">
        <v>2932746.87</v>
      </c>
      <c r="I17" s="124" t="s">
        <v>332</v>
      </c>
      <c r="J17" s="59">
        <v>44256</v>
      </c>
      <c r="K17" s="122" t="s">
        <v>217</v>
      </c>
    </row>
    <row r="18" spans="1:11" ht="17.25" x14ac:dyDescent="0.25">
      <c r="A18" s="37">
        <v>11</v>
      </c>
      <c r="B18" s="37" t="s">
        <v>223</v>
      </c>
      <c r="C18" s="63" t="s">
        <v>156</v>
      </c>
      <c r="D18" s="63" t="s">
        <v>251</v>
      </c>
      <c r="E18" s="64" t="s">
        <v>157</v>
      </c>
      <c r="F18" s="63" t="s">
        <v>155</v>
      </c>
      <c r="G18" s="59">
        <v>44291</v>
      </c>
      <c r="H18" s="111">
        <v>3063091.18</v>
      </c>
      <c r="I18" s="124" t="s">
        <v>332</v>
      </c>
      <c r="J18" s="59">
        <v>44291</v>
      </c>
      <c r="K18" s="122" t="s">
        <v>217</v>
      </c>
    </row>
    <row r="19" spans="1:11" ht="17.25" x14ac:dyDescent="0.25">
      <c r="A19" s="37">
        <v>12</v>
      </c>
      <c r="B19" s="37" t="s">
        <v>222</v>
      </c>
      <c r="C19" s="63" t="s">
        <v>159</v>
      </c>
      <c r="D19" s="63" t="s">
        <v>251</v>
      </c>
      <c r="E19" s="64" t="s">
        <v>157</v>
      </c>
      <c r="F19" s="63" t="s">
        <v>158</v>
      </c>
      <c r="G19" s="59">
        <v>44519</v>
      </c>
      <c r="H19" s="111">
        <v>2961331.15</v>
      </c>
      <c r="I19" s="124" t="s">
        <v>332</v>
      </c>
      <c r="J19" s="59">
        <v>44519</v>
      </c>
      <c r="K19" s="122" t="s">
        <v>217</v>
      </c>
    </row>
    <row r="20" spans="1:11" ht="17.25" x14ac:dyDescent="0.25">
      <c r="A20" s="37">
        <v>13</v>
      </c>
      <c r="B20" s="37" t="s">
        <v>51</v>
      </c>
      <c r="C20" s="63" t="s">
        <v>182</v>
      </c>
      <c r="D20" s="63" t="s">
        <v>251</v>
      </c>
      <c r="E20" s="64" t="s">
        <v>154</v>
      </c>
      <c r="F20" s="63" t="s">
        <v>181</v>
      </c>
      <c r="G20" s="59">
        <v>44637</v>
      </c>
      <c r="H20" s="111">
        <v>8618936.5</v>
      </c>
      <c r="I20" s="124" t="s">
        <v>332</v>
      </c>
      <c r="J20" s="59">
        <v>44637</v>
      </c>
      <c r="K20" s="122" t="s">
        <v>217</v>
      </c>
    </row>
    <row r="21" spans="1:11" ht="17.25" x14ac:dyDescent="0.25">
      <c r="A21" s="37">
        <v>14</v>
      </c>
      <c r="B21" s="37" t="s">
        <v>51</v>
      </c>
      <c r="C21" s="63" t="s">
        <v>184</v>
      </c>
      <c r="D21" s="63" t="s">
        <v>251</v>
      </c>
      <c r="E21" s="64" t="s">
        <v>161</v>
      </c>
      <c r="F21" s="63" t="s">
        <v>183</v>
      </c>
      <c r="G21" s="59">
        <v>44677</v>
      </c>
      <c r="H21" s="111">
        <v>9157015.9900000002</v>
      </c>
      <c r="I21" s="124" t="s">
        <v>332</v>
      </c>
      <c r="J21" s="59">
        <v>44677</v>
      </c>
      <c r="K21" s="122" t="s">
        <v>217</v>
      </c>
    </row>
    <row r="22" spans="1:11" ht="17.25" x14ac:dyDescent="0.25">
      <c r="A22" s="37">
        <v>15</v>
      </c>
      <c r="B22" s="37" t="s">
        <v>51</v>
      </c>
      <c r="C22" s="63" t="s">
        <v>186</v>
      </c>
      <c r="D22" s="63" t="s">
        <v>251</v>
      </c>
      <c r="E22" s="64" t="s">
        <v>157</v>
      </c>
      <c r="F22" s="63" t="s">
        <v>185</v>
      </c>
      <c r="G22" s="59">
        <v>44813</v>
      </c>
      <c r="H22" s="111">
        <v>11913829.289999999</v>
      </c>
      <c r="I22" s="124" t="s">
        <v>332</v>
      </c>
      <c r="J22" s="59">
        <v>44813</v>
      </c>
      <c r="K22" s="122" t="s">
        <v>217</v>
      </c>
    </row>
    <row r="23" spans="1:11" ht="17.25" x14ac:dyDescent="0.25">
      <c r="A23" s="37">
        <v>16</v>
      </c>
      <c r="B23" s="37" t="s">
        <v>51</v>
      </c>
      <c r="C23" s="63" t="s">
        <v>188</v>
      </c>
      <c r="D23" s="63" t="s">
        <v>251</v>
      </c>
      <c r="E23" s="64" t="s">
        <v>154</v>
      </c>
      <c r="F23" s="63" t="s">
        <v>187</v>
      </c>
      <c r="G23" s="59">
        <v>45069</v>
      </c>
      <c r="H23" s="111">
        <v>14212659.75</v>
      </c>
      <c r="I23" s="125" t="s">
        <v>331</v>
      </c>
      <c r="J23" s="59">
        <v>45069</v>
      </c>
      <c r="K23" s="122" t="s">
        <v>217</v>
      </c>
    </row>
    <row r="24" spans="1:11" ht="23.25" customHeight="1" x14ac:dyDescent="0.25">
      <c r="A24" s="37">
        <v>17</v>
      </c>
      <c r="B24" s="37" t="s">
        <v>222</v>
      </c>
      <c r="C24" s="63" t="s">
        <v>163</v>
      </c>
      <c r="D24" s="63" t="s">
        <v>251</v>
      </c>
      <c r="E24" s="64" t="s">
        <v>161</v>
      </c>
      <c r="F24" s="63" t="s">
        <v>160</v>
      </c>
      <c r="G24" s="59">
        <v>45371</v>
      </c>
      <c r="H24" s="111">
        <v>3304342.48</v>
      </c>
      <c r="I24" s="125" t="s">
        <v>331</v>
      </c>
      <c r="J24" s="59">
        <v>45371</v>
      </c>
      <c r="K24" s="122" t="s">
        <v>217</v>
      </c>
    </row>
    <row r="25" spans="1:11" ht="17.25" x14ac:dyDescent="0.25">
      <c r="A25" s="37">
        <v>18</v>
      </c>
      <c r="B25" s="37" t="s">
        <v>12</v>
      </c>
      <c r="C25" s="94" t="s">
        <v>178</v>
      </c>
      <c r="D25" s="121" t="s">
        <v>251</v>
      </c>
      <c r="E25" s="66" t="s">
        <v>157</v>
      </c>
      <c r="F25" s="94" t="s">
        <v>177</v>
      </c>
      <c r="G25" s="59">
        <v>45301</v>
      </c>
      <c r="H25" s="111">
        <v>7379186.75</v>
      </c>
      <c r="I25" s="125" t="s">
        <v>331</v>
      </c>
      <c r="J25" s="59">
        <v>45506</v>
      </c>
      <c r="K25" s="122" t="s">
        <v>217</v>
      </c>
    </row>
    <row r="26" spans="1:11" ht="17.25" x14ac:dyDescent="0.25">
      <c r="A26" s="37">
        <v>19</v>
      </c>
      <c r="B26" s="37" t="s">
        <v>222</v>
      </c>
      <c r="C26" s="94" t="s">
        <v>167</v>
      </c>
      <c r="D26" s="121" t="s">
        <v>251</v>
      </c>
      <c r="E26" s="66" t="s">
        <v>157</v>
      </c>
      <c r="F26" s="94" t="s">
        <v>193</v>
      </c>
      <c r="G26" s="119">
        <v>45687</v>
      </c>
      <c r="H26" s="111">
        <v>3263815.5</v>
      </c>
      <c r="I26" s="125" t="s">
        <v>331</v>
      </c>
      <c r="J26" s="119">
        <v>45520</v>
      </c>
      <c r="K26" s="122" t="s">
        <v>217</v>
      </c>
    </row>
    <row r="27" spans="1:11" ht="17.25" x14ac:dyDescent="0.25">
      <c r="A27" s="37">
        <v>20</v>
      </c>
      <c r="B27" s="37" t="s">
        <v>51</v>
      </c>
      <c r="C27" s="121" t="s">
        <v>190</v>
      </c>
      <c r="D27" s="121" t="s">
        <v>251</v>
      </c>
      <c r="E27" s="96" t="s">
        <v>161</v>
      </c>
      <c r="F27" s="121" t="s">
        <v>189</v>
      </c>
      <c r="G27" s="127" t="s">
        <v>336</v>
      </c>
      <c r="H27" s="153">
        <v>13584016.949999999</v>
      </c>
      <c r="I27" s="154" t="s">
        <v>331</v>
      </c>
      <c r="J27" s="119">
        <v>46157</v>
      </c>
      <c r="K27" s="122" t="s">
        <v>217</v>
      </c>
    </row>
    <row r="28" spans="1:11" ht="17.25" x14ac:dyDescent="0.25">
      <c r="A28" s="37">
        <v>21</v>
      </c>
      <c r="B28" s="37" t="s">
        <v>51</v>
      </c>
      <c r="C28" s="121" t="s">
        <v>192</v>
      </c>
      <c r="D28" s="121" t="s">
        <v>251</v>
      </c>
      <c r="E28" s="96" t="s">
        <v>161</v>
      </c>
      <c r="F28" s="121" t="s">
        <v>191</v>
      </c>
      <c r="G28" s="119" t="s">
        <v>205</v>
      </c>
      <c r="H28" s="153">
        <v>14751453.33</v>
      </c>
      <c r="I28" s="154" t="s">
        <v>331</v>
      </c>
      <c r="J28" s="119" t="s">
        <v>205</v>
      </c>
      <c r="K28" s="126" t="s">
        <v>256</v>
      </c>
    </row>
    <row r="29" spans="1:11" x14ac:dyDescent="0.25">
      <c r="B29" s="55"/>
      <c r="C29" s="152"/>
      <c r="D29" s="55"/>
      <c r="E29" s="55"/>
      <c r="F29" s="55"/>
      <c r="G29" s="55"/>
      <c r="H29" s="55"/>
      <c r="I29" s="55"/>
      <c r="J29" s="55"/>
      <c r="K29" s="55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A431122225BD4E8C29C55E55F84705" ma:contentTypeVersion="15" ma:contentTypeDescription="Criar um novo documento." ma:contentTypeScope="" ma:versionID="3ffadd305fb5de8b6b2cf10bf7a90490">
  <xsd:schema xmlns:xsd="http://www.w3.org/2001/XMLSchema" xmlns:xs="http://www.w3.org/2001/XMLSchema" xmlns:p="http://schemas.microsoft.com/office/2006/metadata/properties" xmlns:ns2="1298b9ea-7c82-4fc5-882d-2ed3619a30ec" xmlns:ns3="6d568789-78b2-4d23-9a29-b1925e7e91b0" targetNamespace="http://schemas.microsoft.com/office/2006/metadata/properties" ma:root="true" ma:fieldsID="6e24cc3e11cc82dfc4556de10c60ddfd" ns2:_="" ns3:_="">
    <xsd:import namespace="1298b9ea-7c82-4fc5-882d-2ed3619a30ec"/>
    <xsd:import namespace="6d568789-78b2-4d23-9a29-b1925e7e9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8b9ea-7c82-4fc5-882d-2ed3619a30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68789-78b2-4d23-9a29-b1925e7e91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6fdd38-2ca6-4d5b-85d6-dd45bfebdb49}" ma:internalName="TaxCatchAll" ma:showField="CatchAllData" ma:web="6d568789-78b2-4d23-9a29-b1925e7e9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568789-78b2-4d23-9a29-b1925e7e91b0" xsi:nil="true"/>
    <lcf76f155ced4ddcb4097134ff3c332f xmlns="1298b9ea-7c82-4fc5-882d-2ed3619a30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C15E5F-873F-4993-A187-3E961C441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8b9ea-7c82-4fc5-882d-2ed3619a30ec"/>
    <ds:schemaRef ds:uri="6d568789-78b2-4d23-9a29-b1925e7e91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97A4F4-4631-4E4C-866A-2713BDB133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7B17B8-FE97-435A-A9C4-291F982B77EC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6d568789-78b2-4d23-9a29-b1925e7e91b0"/>
    <ds:schemaRef ds:uri="1298b9ea-7c82-4fc5-882d-2ed3619a30ec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Panorama PER-SUS</vt:lpstr>
      <vt:lpstr>Obras retomadas</vt:lpstr>
      <vt:lpstr>Norte</vt:lpstr>
      <vt:lpstr>Nordeste</vt:lpstr>
      <vt:lpstr>Centro Oeste</vt:lpstr>
      <vt:lpstr>Sudeste</vt:lpstr>
      <vt:lpstr>Sul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Barroso Hardman Vianna</dc:creator>
  <cp:keywords/>
  <dc:description/>
  <cp:lastModifiedBy>Leonardo Barroso Hardman Vianna</cp:lastModifiedBy>
  <cp:revision/>
  <dcterms:created xsi:type="dcterms:W3CDTF">2024-08-26T16:09:47Z</dcterms:created>
  <dcterms:modified xsi:type="dcterms:W3CDTF">2026-09-04T20:29:16Z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0x010100BDA431122225BD4E8C29C55E55F84705</vt:lpwstr>
  </property>
  <property fmtid="{D5CDD505-2E9C-101B-9397-08002B2CF9AE}" pid="3" name="MediaServiceImageTags">
    <vt:lpwstr/>
  </property>
</Properties>
</file>